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/>
  <xr:revisionPtr revIDLastSave="4648" documentId="13_ncr:1_{DC4C279E-540A-490B-B6B6-D12DA42965CF}" xr6:coauthVersionLast="47" xr6:coauthVersionMax="47" xr10:uidLastSave="{35C64823-318E-4738-80A8-4D53CD9B65F8}"/>
  <bookViews>
    <workbookView xWindow="-120" yWindow="-120" windowWidth="29040" windowHeight="15720" tabRatio="812" xr2:uid="{00000000-000D-0000-FFFF-FFFF00000000}"/>
  </bookViews>
  <sheets>
    <sheet name="Sheet1" sheetId="1" r:id="rId1"/>
    <sheet name="会員名簿" sheetId="2" r:id="rId2"/>
    <sheet name="会費および登録費用等" sheetId="3" r:id="rId3"/>
    <sheet name="狩猟登録会計" sheetId="4" r:id="rId4"/>
    <sheet name="各種設定金額" sheetId="6" r:id="rId5"/>
    <sheet name="有害安全講習参加名簿" sheetId="7" r:id="rId6"/>
    <sheet name="有害従事者名簿" sheetId="8" r:id="rId7"/>
  </sheets>
  <definedNames>
    <definedName name="_xlnm._FilterDatabase" localSheetId="0" hidden="1">Sheet1!$A$1:$CO$151</definedName>
    <definedName name="_xlnm._FilterDatabase" localSheetId="3" hidden="1">狩猟登録会計!$A$1:$U$158</definedName>
    <definedName name="_xlnm.Print_Area" localSheetId="2">会費および登録費用等!$A$1:$X$63</definedName>
    <definedName name="_xlnm.Print_Area" localSheetId="3">狩猟登録会計!$A$1:$U$158</definedName>
    <definedName name="_xlnm.Print_Area" localSheetId="6">有害従事者名簿!$A$1:$J$309</definedName>
    <definedName name="_xlnm.Print_Titles" localSheetId="5">有害安全講習参加名簿!$1:$5</definedName>
    <definedName name="_xlnm.Print_Titles" localSheetId="6">有害従事者名簿!$1:$9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R152" i="4"/>
  <c r="E3" i="1" l="1"/>
  <c r="I3" i="1"/>
  <c r="J3" i="1"/>
  <c r="K3" i="1"/>
  <c r="L3" i="1"/>
  <c r="M3" i="1"/>
  <c r="P3" i="1"/>
  <c r="Q3" i="1"/>
  <c r="U3" i="1"/>
  <c r="V3" i="1"/>
  <c r="Z3" i="1"/>
  <c r="AB3" i="1"/>
  <c r="AE3" i="1"/>
  <c r="AF3" i="1"/>
  <c r="AG3" i="1"/>
  <c r="AH3" i="1"/>
  <c r="AI3" i="1"/>
  <c r="AJ3" i="1"/>
  <c r="AL3" i="1"/>
  <c r="AO3" i="1"/>
  <c r="AS3" i="1"/>
  <c r="AT3" i="1"/>
  <c r="AU3" i="1"/>
  <c r="AV3" i="1"/>
  <c r="AW3" i="1"/>
  <c r="AX3" i="1"/>
  <c r="AZ3" i="1"/>
  <c r="BC3" i="1"/>
  <c r="BG3" i="1"/>
  <c r="BH3" i="1"/>
  <c r="BI3" i="1"/>
  <c r="BJ3" i="1"/>
  <c r="BK3" i="1"/>
  <c r="BL3" i="1"/>
  <c r="BN3" i="1"/>
  <c r="BQ3" i="1"/>
  <c r="BU3" i="1"/>
  <c r="BV3" i="1"/>
  <c r="BW3" i="1"/>
  <c r="BX3" i="1"/>
  <c r="BY3" i="1"/>
  <c r="BZ3" i="1"/>
  <c r="CB3" i="1"/>
  <c r="CC3" i="1"/>
  <c r="CH3" i="1"/>
  <c r="CL3" i="1"/>
  <c r="CM3" i="1"/>
  <c r="CO3" i="1"/>
  <c r="D3" i="1" a="1"/>
  <c r="C7" i="1" a="1"/>
  <c r="C3" i="1" a="1"/>
  <c r="G3" i="1"/>
  <c r="E7" i="1"/>
  <c r="I7" i="1"/>
  <c r="J7" i="1"/>
  <c r="K7" i="1"/>
  <c r="L7" i="1"/>
  <c r="M7" i="1"/>
  <c r="P7" i="1"/>
  <c r="Q7" i="1"/>
  <c r="U7" i="1"/>
  <c r="V7" i="1"/>
  <c r="Z7" i="1"/>
  <c r="AB7" i="1"/>
  <c r="AE7" i="1"/>
  <c r="AF7" i="1"/>
  <c r="AG7" i="1"/>
  <c r="AH7" i="1"/>
  <c r="AI7" i="1"/>
  <c r="AJ7" i="1"/>
  <c r="AL7" i="1"/>
  <c r="AO7" i="1"/>
  <c r="AS7" i="1"/>
  <c r="AT7" i="1"/>
  <c r="AU7" i="1"/>
  <c r="AV7" i="1"/>
  <c r="AW7" i="1"/>
  <c r="AX7" i="1"/>
  <c r="AZ7" i="1"/>
  <c r="BC7" i="1"/>
  <c r="BG7" i="1"/>
  <c r="BH7" i="1"/>
  <c r="BI7" i="1"/>
  <c r="BJ7" i="1"/>
  <c r="BK7" i="1"/>
  <c r="BL7" i="1"/>
  <c r="BN7" i="1"/>
  <c r="BQ7" i="1"/>
  <c r="BU7" i="1"/>
  <c r="BV7" i="1"/>
  <c r="BW7" i="1"/>
  <c r="BX7" i="1"/>
  <c r="BY7" i="1"/>
  <c r="BZ7" i="1"/>
  <c r="CB7" i="1"/>
  <c r="CC7" i="1"/>
  <c r="CH7" i="1"/>
  <c r="CL7" i="1"/>
  <c r="CM7" i="1"/>
  <c r="CO7" i="1"/>
  <c r="CJ7" i="1" s="1"/>
  <c r="D7" i="1" a="1"/>
  <c r="C5" i="1" a="1"/>
  <c r="CI7" i="1"/>
  <c r="CK7" i="1"/>
  <c r="E5" i="1"/>
  <c r="I5" i="1"/>
  <c r="J5" i="1"/>
  <c r="K5" i="1"/>
  <c r="L5" i="1"/>
  <c r="M5" i="1"/>
  <c r="P5" i="1"/>
  <c r="Q5" i="1"/>
  <c r="U5" i="1"/>
  <c r="V5" i="1"/>
  <c r="Z5" i="1"/>
  <c r="AB5" i="1"/>
  <c r="AE5" i="1"/>
  <c r="AF5" i="1"/>
  <c r="AG5" i="1"/>
  <c r="AH5" i="1"/>
  <c r="AI5" i="1"/>
  <c r="AJ5" i="1"/>
  <c r="AL5" i="1"/>
  <c r="AO5" i="1"/>
  <c r="AS5" i="1"/>
  <c r="AT5" i="1"/>
  <c r="AU5" i="1"/>
  <c r="AV5" i="1"/>
  <c r="AW5" i="1"/>
  <c r="AX5" i="1"/>
  <c r="AZ5" i="1"/>
  <c r="BC5" i="1"/>
  <c r="BG5" i="1"/>
  <c r="BH5" i="1"/>
  <c r="BI5" i="1"/>
  <c r="BJ5" i="1"/>
  <c r="BK5" i="1"/>
  <c r="BL5" i="1"/>
  <c r="BN5" i="1"/>
  <c r="BQ5" i="1"/>
  <c r="BU5" i="1"/>
  <c r="BV5" i="1"/>
  <c r="BW5" i="1"/>
  <c r="BX5" i="1"/>
  <c r="BY5" i="1"/>
  <c r="BZ5" i="1"/>
  <c r="CB5" i="1"/>
  <c r="CC5" i="1"/>
  <c r="CH5" i="1"/>
  <c r="CL5" i="1"/>
  <c r="CM5" i="1"/>
  <c r="CO5" i="1"/>
  <c r="CJ5" i="1" s="1"/>
  <c r="D5" i="1" a="1"/>
  <c r="R3" i="1" l="1"/>
  <c r="S3" i="1"/>
  <c r="W3" i="1"/>
  <c r="X3" i="1"/>
  <c r="H7" i="1"/>
  <c r="G7" i="1"/>
  <c r="F7" i="1"/>
  <c r="R7" i="1"/>
  <c r="S7" i="1"/>
  <c r="W7" i="1"/>
  <c r="X7" i="1"/>
  <c r="H3" i="1"/>
  <c r="F3" i="1"/>
  <c r="H5" i="1"/>
  <c r="F5" i="1"/>
  <c r="G5" i="1"/>
  <c r="R5" i="1"/>
  <c r="S5" i="1"/>
  <c r="W5" i="1"/>
  <c r="X5" i="1"/>
  <c r="CI3" i="1"/>
  <c r="CK3" i="1"/>
  <c r="CJ3" i="1"/>
  <c r="CI5" i="1"/>
  <c r="CK5" i="1"/>
  <c r="E6" i="1"/>
  <c r="E2" i="1"/>
  <c r="E4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309" i="8"/>
  <c r="A309" i="8" s="1"/>
  <c r="E308" i="8"/>
  <c r="G308" i="8" s="1"/>
  <c r="D308" i="8"/>
  <c r="C308" i="8"/>
  <c r="B308" i="8"/>
  <c r="A308" i="8"/>
  <c r="E307" i="8"/>
  <c r="A307" i="8" s="1"/>
  <c r="E306" i="8"/>
  <c r="F306" i="8" s="1"/>
  <c r="D306" i="8"/>
  <c r="C306" i="8"/>
  <c r="B306" i="8"/>
  <c r="A306" i="8"/>
  <c r="E305" i="8"/>
  <c r="A305" i="8" s="1"/>
  <c r="E304" i="8"/>
  <c r="G304" i="8" s="1"/>
  <c r="D304" i="8"/>
  <c r="C304" i="8"/>
  <c r="B304" i="8"/>
  <c r="A304" i="8"/>
  <c r="E303" i="8"/>
  <c r="A303" i="8" s="1"/>
  <c r="E302" i="8"/>
  <c r="G302" i="8" s="1"/>
  <c r="D302" i="8"/>
  <c r="C302" i="8"/>
  <c r="B302" i="8"/>
  <c r="A302" i="8"/>
  <c r="E301" i="8"/>
  <c r="A301" i="8" s="1"/>
  <c r="E300" i="8"/>
  <c r="G300" i="8" s="1"/>
  <c r="D300" i="8"/>
  <c r="C300" i="8"/>
  <c r="B300" i="8"/>
  <c r="A300" i="8"/>
  <c r="E299" i="8"/>
  <c r="A299" i="8" s="1"/>
  <c r="E298" i="8"/>
  <c r="F298" i="8" s="1"/>
  <c r="D298" i="8"/>
  <c r="C298" i="8"/>
  <c r="B298" i="8"/>
  <c r="A298" i="8"/>
  <c r="E297" i="8"/>
  <c r="A297" i="8" s="1"/>
  <c r="E296" i="8"/>
  <c r="G296" i="8" s="1"/>
  <c r="D296" i="8"/>
  <c r="C296" i="8"/>
  <c r="B296" i="8"/>
  <c r="A296" i="8"/>
  <c r="E295" i="8"/>
  <c r="A295" i="8" s="1"/>
  <c r="E294" i="8"/>
  <c r="F294" i="8" s="1"/>
  <c r="D294" i="8"/>
  <c r="C294" i="8"/>
  <c r="B294" i="8"/>
  <c r="A294" i="8"/>
  <c r="E293" i="8"/>
  <c r="A293" i="8" s="1"/>
  <c r="E292" i="8"/>
  <c r="G292" i="8" s="1"/>
  <c r="D292" i="8"/>
  <c r="C292" i="8"/>
  <c r="B292" i="8"/>
  <c r="A292" i="8"/>
  <c r="E291" i="8"/>
  <c r="A291" i="8" s="1"/>
  <c r="E290" i="8"/>
  <c r="F290" i="8" s="1"/>
  <c r="D290" i="8"/>
  <c r="C290" i="8"/>
  <c r="B290" i="8"/>
  <c r="A290" i="8"/>
  <c r="E289" i="8"/>
  <c r="A289" i="8" s="1"/>
  <c r="E288" i="8"/>
  <c r="G288" i="8" s="1"/>
  <c r="D288" i="8"/>
  <c r="C288" i="8"/>
  <c r="B288" i="8"/>
  <c r="A288" i="8"/>
  <c r="E287" i="8"/>
  <c r="A287" i="8" s="1"/>
  <c r="E286" i="8"/>
  <c r="G286" i="8" s="1"/>
  <c r="D286" i="8"/>
  <c r="C286" i="8"/>
  <c r="B286" i="8"/>
  <c r="A286" i="8"/>
  <c r="E285" i="8"/>
  <c r="A285" i="8" s="1"/>
  <c r="E284" i="8"/>
  <c r="G284" i="8" s="1"/>
  <c r="D284" i="8"/>
  <c r="C284" i="8"/>
  <c r="B284" i="8"/>
  <c r="A284" i="8"/>
  <c r="E283" i="8"/>
  <c r="A283" i="8" s="1"/>
  <c r="E282" i="8"/>
  <c r="F282" i="8" s="1"/>
  <c r="D282" i="8"/>
  <c r="C282" i="8"/>
  <c r="B282" i="8"/>
  <c r="A282" i="8"/>
  <c r="E281" i="8"/>
  <c r="A281" i="8" s="1"/>
  <c r="E280" i="8"/>
  <c r="G280" i="8" s="1"/>
  <c r="D280" i="8"/>
  <c r="C280" i="8"/>
  <c r="B280" i="8"/>
  <c r="A280" i="8"/>
  <c r="E279" i="8"/>
  <c r="A279" i="8" s="1"/>
  <c r="E278" i="8"/>
  <c r="G278" i="8" s="1"/>
  <c r="D278" i="8"/>
  <c r="C278" i="8"/>
  <c r="B278" i="8"/>
  <c r="A278" i="8"/>
  <c r="E277" i="8"/>
  <c r="A277" i="8" s="1"/>
  <c r="E276" i="8"/>
  <c r="G276" i="8" s="1"/>
  <c r="D276" i="8"/>
  <c r="C276" i="8"/>
  <c r="B276" i="8"/>
  <c r="A276" i="8"/>
  <c r="E275" i="8"/>
  <c r="A275" i="8" s="1"/>
  <c r="E274" i="8"/>
  <c r="F274" i="8" s="1"/>
  <c r="D274" i="8"/>
  <c r="C274" i="8"/>
  <c r="B274" i="8"/>
  <c r="A274" i="8"/>
  <c r="E273" i="8"/>
  <c r="A273" i="8" s="1"/>
  <c r="E272" i="8"/>
  <c r="G272" i="8" s="1"/>
  <c r="D272" i="8"/>
  <c r="C272" i="8"/>
  <c r="B272" i="8"/>
  <c r="A272" i="8"/>
  <c r="E271" i="8"/>
  <c r="A271" i="8" s="1"/>
  <c r="E270" i="8"/>
  <c r="F270" i="8" s="1"/>
  <c r="D270" i="8"/>
  <c r="C270" i="8"/>
  <c r="B270" i="8"/>
  <c r="A270" i="8"/>
  <c r="E269" i="8"/>
  <c r="A269" i="8" s="1"/>
  <c r="E268" i="8"/>
  <c r="G268" i="8" s="1"/>
  <c r="D268" i="8"/>
  <c r="C268" i="8"/>
  <c r="B268" i="8"/>
  <c r="A268" i="8"/>
  <c r="E267" i="8"/>
  <c r="A267" i="8" s="1"/>
  <c r="E266" i="8"/>
  <c r="F266" i="8" s="1"/>
  <c r="D266" i="8"/>
  <c r="C266" i="8"/>
  <c r="B266" i="8"/>
  <c r="A266" i="8"/>
  <c r="E265" i="8"/>
  <c r="A265" i="8" s="1"/>
  <c r="E264" i="8"/>
  <c r="G264" i="8" s="1"/>
  <c r="D264" i="8"/>
  <c r="C264" i="8"/>
  <c r="B264" i="8"/>
  <c r="A264" i="8"/>
  <c r="E263" i="8"/>
  <c r="A263" i="8" s="1"/>
  <c r="E262" i="8"/>
  <c r="F262" i="8" s="1"/>
  <c r="D262" i="8"/>
  <c r="C262" i="8"/>
  <c r="B262" i="8"/>
  <c r="A262" i="8"/>
  <c r="E261" i="8"/>
  <c r="A261" i="8" s="1"/>
  <c r="E260" i="8"/>
  <c r="G260" i="8" s="1"/>
  <c r="D260" i="8"/>
  <c r="C260" i="8"/>
  <c r="B260" i="8"/>
  <c r="A260" i="8"/>
  <c r="E259" i="8"/>
  <c r="A259" i="8" s="1"/>
  <c r="E258" i="8"/>
  <c r="F258" i="8" s="1"/>
  <c r="D258" i="8"/>
  <c r="C258" i="8"/>
  <c r="B258" i="8"/>
  <c r="A258" i="8"/>
  <c r="E257" i="8"/>
  <c r="A257" i="8" s="1"/>
  <c r="E256" i="8"/>
  <c r="F256" i="8" s="1"/>
  <c r="D256" i="8"/>
  <c r="C256" i="8"/>
  <c r="B256" i="8"/>
  <c r="A256" i="8"/>
  <c r="E255" i="8"/>
  <c r="A255" i="8" s="1"/>
  <c r="E254" i="8"/>
  <c r="F254" i="8" s="1"/>
  <c r="D254" i="8"/>
  <c r="C254" i="8"/>
  <c r="B254" i="8"/>
  <c r="A254" i="8"/>
  <c r="E253" i="8"/>
  <c r="A253" i="8" s="1"/>
  <c r="E252" i="8"/>
  <c r="G252" i="8" s="1"/>
  <c r="D252" i="8"/>
  <c r="C252" i="8"/>
  <c r="B252" i="8"/>
  <c r="A252" i="8"/>
  <c r="E251" i="8"/>
  <c r="A251" i="8" s="1"/>
  <c r="E250" i="8"/>
  <c r="F250" i="8" s="1"/>
  <c r="D250" i="8"/>
  <c r="C250" i="8"/>
  <c r="B250" i="8"/>
  <c r="A250" i="8"/>
  <c r="E249" i="8"/>
  <c r="A249" i="8" s="1"/>
  <c r="E248" i="8"/>
  <c r="G248" i="8" s="1"/>
  <c r="D248" i="8"/>
  <c r="C248" i="8"/>
  <c r="B248" i="8"/>
  <c r="A248" i="8"/>
  <c r="E247" i="8"/>
  <c r="A247" i="8" s="1"/>
  <c r="E246" i="8"/>
  <c r="F246" i="8" s="1"/>
  <c r="D246" i="8"/>
  <c r="C246" i="8"/>
  <c r="B246" i="8"/>
  <c r="A246" i="8"/>
  <c r="E245" i="8"/>
  <c r="A245" i="8" s="1"/>
  <c r="E244" i="8"/>
  <c r="G244" i="8" s="1"/>
  <c r="D244" i="8"/>
  <c r="C244" i="8"/>
  <c r="B244" i="8"/>
  <c r="A244" i="8"/>
  <c r="E243" i="8"/>
  <c r="A243" i="8" s="1"/>
  <c r="E242" i="8"/>
  <c r="F242" i="8" s="1"/>
  <c r="D242" i="8"/>
  <c r="C242" i="8"/>
  <c r="B242" i="8"/>
  <c r="A242" i="8"/>
  <c r="E241" i="8"/>
  <c r="A241" i="8" s="1"/>
  <c r="E240" i="8"/>
  <c r="G240" i="8" s="1"/>
  <c r="D240" i="8"/>
  <c r="C240" i="8"/>
  <c r="B240" i="8"/>
  <c r="A240" i="8"/>
  <c r="E239" i="8"/>
  <c r="A239" i="8" s="1"/>
  <c r="E238" i="8"/>
  <c r="G238" i="8" s="1"/>
  <c r="D238" i="8"/>
  <c r="C238" i="8"/>
  <c r="B238" i="8"/>
  <c r="A238" i="8"/>
  <c r="E237" i="8"/>
  <c r="A237" i="8" s="1"/>
  <c r="E236" i="8"/>
  <c r="G236" i="8" s="1"/>
  <c r="D236" i="8"/>
  <c r="C236" i="8"/>
  <c r="B236" i="8"/>
  <c r="A236" i="8"/>
  <c r="E235" i="8"/>
  <c r="A235" i="8" s="1"/>
  <c r="E234" i="8"/>
  <c r="F234" i="8" s="1"/>
  <c r="D234" i="8"/>
  <c r="C234" i="8"/>
  <c r="B234" i="8"/>
  <c r="A234" i="8"/>
  <c r="E233" i="8"/>
  <c r="A233" i="8" s="1"/>
  <c r="E232" i="8"/>
  <c r="F232" i="8" s="1"/>
  <c r="D232" i="8"/>
  <c r="C232" i="8"/>
  <c r="B232" i="8"/>
  <c r="A232" i="8"/>
  <c r="E231" i="8"/>
  <c r="A231" i="8" s="1"/>
  <c r="E230" i="8"/>
  <c r="F230" i="8" s="1"/>
  <c r="D230" i="8"/>
  <c r="C230" i="8"/>
  <c r="B230" i="8"/>
  <c r="A230" i="8"/>
  <c r="E229" i="8"/>
  <c r="A229" i="8" s="1"/>
  <c r="E228" i="8"/>
  <c r="G228" i="8" s="1"/>
  <c r="D228" i="8"/>
  <c r="C228" i="8"/>
  <c r="B228" i="8"/>
  <c r="A228" i="8"/>
  <c r="E227" i="8"/>
  <c r="A227" i="8" s="1"/>
  <c r="E226" i="8"/>
  <c r="F226" i="8" s="1"/>
  <c r="D226" i="8"/>
  <c r="C226" i="8"/>
  <c r="B226" i="8"/>
  <c r="A226" i="8"/>
  <c r="E225" i="8"/>
  <c r="A225" i="8" s="1"/>
  <c r="E224" i="8"/>
  <c r="G224" i="8" s="1"/>
  <c r="D224" i="8"/>
  <c r="C224" i="8"/>
  <c r="B224" i="8"/>
  <c r="A224" i="8"/>
  <c r="E223" i="8"/>
  <c r="A223" i="8" s="1"/>
  <c r="E222" i="8"/>
  <c r="F222" i="8" s="1"/>
  <c r="D222" i="8"/>
  <c r="C222" i="8"/>
  <c r="B222" i="8"/>
  <c r="A222" i="8"/>
  <c r="E221" i="8"/>
  <c r="A221" i="8" s="1"/>
  <c r="E220" i="8"/>
  <c r="G220" i="8" s="1"/>
  <c r="D220" i="8"/>
  <c r="C220" i="8"/>
  <c r="B220" i="8"/>
  <c r="A220" i="8"/>
  <c r="E219" i="8"/>
  <c r="A219" i="8" s="1"/>
  <c r="E218" i="8"/>
  <c r="F218" i="8" s="1"/>
  <c r="D218" i="8"/>
  <c r="C218" i="8"/>
  <c r="B218" i="8"/>
  <c r="A218" i="8"/>
  <c r="E217" i="8"/>
  <c r="A217" i="8" s="1"/>
  <c r="E216" i="8"/>
  <c r="G216" i="8" s="1"/>
  <c r="D216" i="8"/>
  <c r="C216" i="8"/>
  <c r="B216" i="8"/>
  <c r="A216" i="8"/>
  <c r="E215" i="8"/>
  <c r="A215" i="8" s="1"/>
  <c r="E214" i="8"/>
  <c r="F214" i="8" s="1"/>
  <c r="D214" i="8"/>
  <c r="C214" i="8"/>
  <c r="B214" i="8"/>
  <c r="A214" i="8"/>
  <c r="E213" i="8"/>
  <c r="E212" i="8"/>
  <c r="G212" i="8" s="1"/>
  <c r="D212" i="8"/>
  <c r="C212" i="8"/>
  <c r="B212" i="8"/>
  <c r="A212" i="8"/>
  <c r="E211" i="8"/>
  <c r="A211" i="8" s="1"/>
  <c r="E210" i="8"/>
  <c r="G210" i="8" s="1"/>
  <c r="D210" i="8"/>
  <c r="C210" i="8"/>
  <c r="B210" i="8"/>
  <c r="A210" i="8"/>
  <c r="E209" i="8"/>
  <c r="D209" i="8" s="1"/>
  <c r="E208" i="8"/>
  <c r="F208" i="8" s="1"/>
  <c r="D208" i="8"/>
  <c r="C208" i="8"/>
  <c r="B208" i="8"/>
  <c r="A208" i="8"/>
  <c r="E207" i="8"/>
  <c r="A207" i="8" s="1"/>
  <c r="E206" i="8"/>
  <c r="F206" i="8" s="1"/>
  <c r="D206" i="8"/>
  <c r="C206" i="8"/>
  <c r="B206" i="8"/>
  <c r="A206" i="8"/>
  <c r="E205" i="8"/>
  <c r="E204" i="8"/>
  <c r="G204" i="8" s="1"/>
  <c r="D204" i="8"/>
  <c r="C204" i="8"/>
  <c r="B204" i="8"/>
  <c r="A204" i="8"/>
  <c r="E203" i="8"/>
  <c r="A203" i="8" s="1"/>
  <c r="E202" i="8"/>
  <c r="F202" i="8" s="1"/>
  <c r="D202" i="8"/>
  <c r="C202" i="8"/>
  <c r="B202" i="8"/>
  <c r="A202" i="8"/>
  <c r="E201" i="8"/>
  <c r="A201" i="8" s="1"/>
  <c r="E200" i="8"/>
  <c r="G200" i="8" s="1"/>
  <c r="D200" i="8"/>
  <c r="C200" i="8"/>
  <c r="B200" i="8"/>
  <c r="A200" i="8"/>
  <c r="E199" i="8"/>
  <c r="A199" i="8" s="1"/>
  <c r="E198" i="8"/>
  <c r="F198" i="8" s="1"/>
  <c r="D198" i="8"/>
  <c r="C198" i="8"/>
  <c r="B198" i="8"/>
  <c r="A198" i="8"/>
  <c r="E197" i="8"/>
  <c r="E196" i="8"/>
  <c r="G196" i="8" s="1"/>
  <c r="D196" i="8"/>
  <c r="C196" i="8"/>
  <c r="B196" i="8"/>
  <c r="A196" i="8"/>
  <c r="E195" i="8"/>
  <c r="A195" i="8" s="1"/>
  <c r="E194" i="8"/>
  <c r="F194" i="8" s="1"/>
  <c r="D194" i="8"/>
  <c r="C194" i="8"/>
  <c r="B194" i="8"/>
  <c r="A194" i="8"/>
  <c r="E193" i="8"/>
  <c r="A193" i="8" s="1"/>
  <c r="E192" i="8"/>
  <c r="G192" i="8" s="1"/>
  <c r="D192" i="8"/>
  <c r="C192" i="8"/>
  <c r="B192" i="8"/>
  <c r="A192" i="8"/>
  <c r="E191" i="8"/>
  <c r="A191" i="8" s="1"/>
  <c r="E190" i="8"/>
  <c r="F190" i="8" s="1"/>
  <c r="D190" i="8"/>
  <c r="C190" i="8"/>
  <c r="B190" i="8"/>
  <c r="A190" i="8"/>
  <c r="E189" i="8"/>
  <c r="E188" i="8"/>
  <c r="G188" i="8" s="1"/>
  <c r="D188" i="8"/>
  <c r="C188" i="8"/>
  <c r="B188" i="8"/>
  <c r="A188" i="8"/>
  <c r="E187" i="8"/>
  <c r="A187" i="8" s="1"/>
  <c r="E186" i="8"/>
  <c r="F186" i="8" s="1"/>
  <c r="D186" i="8"/>
  <c r="C186" i="8"/>
  <c r="B186" i="8"/>
  <c r="A186" i="8"/>
  <c r="E185" i="8"/>
  <c r="A185" i="8" s="1"/>
  <c r="E184" i="8"/>
  <c r="G184" i="8" s="1"/>
  <c r="D184" i="8"/>
  <c r="C184" i="8"/>
  <c r="B184" i="8"/>
  <c r="A184" i="8"/>
  <c r="E183" i="8"/>
  <c r="A183" i="8" s="1"/>
  <c r="E182" i="8"/>
  <c r="F182" i="8" s="1"/>
  <c r="D182" i="8"/>
  <c r="C182" i="8"/>
  <c r="B182" i="8"/>
  <c r="A182" i="8"/>
  <c r="E181" i="8"/>
  <c r="E180" i="8"/>
  <c r="G180" i="8" s="1"/>
  <c r="D180" i="8"/>
  <c r="C180" i="8"/>
  <c r="B180" i="8"/>
  <c r="A180" i="8"/>
  <c r="E179" i="8"/>
  <c r="A179" i="8" s="1"/>
  <c r="E178" i="8"/>
  <c r="F178" i="8" s="1"/>
  <c r="D178" i="8"/>
  <c r="C178" i="8"/>
  <c r="B178" i="8"/>
  <c r="A178" i="8"/>
  <c r="E177" i="8"/>
  <c r="A177" i="8" s="1"/>
  <c r="E176" i="8"/>
  <c r="G176" i="8" s="1"/>
  <c r="D176" i="8"/>
  <c r="C176" i="8"/>
  <c r="B176" i="8"/>
  <c r="A176" i="8"/>
  <c r="E175" i="8"/>
  <c r="A175" i="8" s="1"/>
  <c r="E174" i="8"/>
  <c r="F174" i="8" s="1"/>
  <c r="D174" i="8"/>
  <c r="C174" i="8"/>
  <c r="B174" i="8"/>
  <c r="A174" i="8"/>
  <c r="E173" i="8"/>
  <c r="E172" i="8"/>
  <c r="G172" i="8" s="1"/>
  <c r="D172" i="8"/>
  <c r="C172" i="8"/>
  <c r="B172" i="8"/>
  <c r="A172" i="8"/>
  <c r="E171" i="8"/>
  <c r="A171" i="8" s="1"/>
  <c r="E170" i="8"/>
  <c r="F170" i="8" s="1"/>
  <c r="D170" i="8"/>
  <c r="C170" i="8"/>
  <c r="B170" i="8"/>
  <c r="A170" i="8"/>
  <c r="E169" i="8"/>
  <c r="A169" i="8" s="1"/>
  <c r="E168" i="8"/>
  <c r="G168" i="8" s="1"/>
  <c r="D168" i="8"/>
  <c r="C168" i="8"/>
  <c r="B168" i="8"/>
  <c r="A168" i="8"/>
  <c r="E167" i="8"/>
  <c r="A167" i="8" s="1"/>
  <c r="E166" i="8"/>
  <c r="F166" i="8" s="1"/>
  <c r="D166" i="8"/>
  <c r="C166" i="8"/>
  <c r="B166" i="8"/>
  <c r="A166" i="8"/>
  <c r="E165" i="8"/>
  <c r="E164" i="8"/>
  <c r="G164" i="8" s="1"/>
  <c r="D164" i="8"/>
  <c r="C164" i="8"/>
  <c r="B164" i="8"/>
  <c r="A164" i="8"/>
  <c r="E163" i="8"/>
  <c r="A163" i="8" s="1"/>
  <c r="E162" i="8"/>
  <c r="F162" i="8" s="1"/>
  <c r="D162" i="8"/>
  <c r="C162" i="8"/>
  <c r="B162" i="8"/>
  <c r="A162" i="8"/>
  <c r="E161" i="8"/>
  <c r="A161" i="8" s="1"/>
  <c r="E160" i="8"/>
  <c r="G160" i="8" s="1"/>
  <c r="D160" i="8"/>
  <c r="C160" i="8"/>
  <c r="B160" i="8"/>
  <c r="A160" i="8"/>
  <c r="E159" i="8"/>
  <c r="A159" i="8" s="1"/>
  <c r="E158" i="8"/>
  <c r="F158" i="8" s="1"/>
  <c r="D158" i="8"/>
  <c r="C158" i="8"/>
  <c r="B158" i="8"/>
  <c r="A158" i="8"/>
  <c r="E157" i="8"/>
  <c r="E156" i="8"/>
  <c r="G156" i="8" s="1"/>
  <c r="D156" i="8"/>
  <c r="C156" i="8"/>
  <c r="B156" i="8"/>
  <c r="A156" i="8"/>
  <c r="E155" i="8"/>
  <c r="A155" i="8" s="1"/>
  <c r="E154" i="8"/>
  <c r="F154" i="8" s="1"/>
  <c r="D154" i="8"/>
  <c r="C154" i="8"/>
  <c r="B154" i="8"/>
  <c r="A154" i="8"/>
  <c r="E153" i="8"/>
  <c r="A153" i="8" s="1"/>
  <c r="E152" i="8"/>
  <c r="G152" i="8" s="1"/>
  <c r="D152" i="8"/>
  <c r="C152" i="8"/>
  <c r="B152" i="8"/>
  <c r="A152" i="8"/>
  <c r="E151" i="8"/>
  <c r="A151" i="8" s="1"/>
  <c r="E150" i="8"/>
  <c r="F150" i="8" s="1"/>
  <c r="D150" i="8"/>
  <c r="C150" i="8"/>
  <c r="B150" i="8"/>
  <c r="A150" i="8"/>
  <c r="E149" i="8"/>
  <c r="E148" i="8"/>
  <c r="G148" i="8" s="1"/>
  <c r="D148" i="8"/>
  <c r="C148" i="8"/>
  <c r="B148" i="8"/>
  <c r="A148" i="8"/>
  <c r="E147" i="8"/>
  <c r="A147" i="8" s="1"/>
  <c r="E146" i="8"/>
  <c r="F146" i="8" s="1"/>
  <c r="D146" i="8"/>
  <c r="C146" i="8"/>
  <c r="B146" i="8"/>
  <c r="A146" i="8"/>
  <c r="E145" i="8"/>
  <c r="A145" i="8" s="1"/>
  <c r="E144" i="8"/>
  <c r="G144" i="8" s="1"/>
  <c r="D144" i="8"/>
  <c r="C144" i="8"/>
  <c r="B144" i="8"/>
  <c r="A144" i="8"/>
  <c r="E143" i="8"/>
  <c r="A143" i="8" s="1"/>
  <c r="E142" i="8"/>
  <c r="F142" i="8" s="1"/>
  <c r="D142" i="8"/>
  <c r="C142" i="8"/>
  <c r="B142" i="8"/>
  <c r="A142" i="8"/>
  <c r="E141" i="8"/>
  <c r="G141" i="8" s="1"/>
  <c r="E140" i="8"/>
  <c r="F140" i="8" s="1"/>
  <c r="D140" i="8"/>
  <c r="C140" i="8"/>
  <c r="B140" i="8"/>
  <c r="A140" i="8"/>
  <c r="E139" i="8"/>
  <c r="E138" i="8"/>
  <c r="G138" i="8" s="1"/>
  <c r="D138" i="8"/>
  <c r="C138" i="8"/>
  <c r="B138" i="8"/>
  <c r="A138" i="8"/>
  <c r="E137" i="8"/>
  <c r="A137" i="8" s="1"/>
  <c r="E136" i="8"/>
  <c r="G136" i="8" s="1"/>
  <c r="D136" i="8"/>
  <c r="C136" i="8"/>
  <c r="B136" i="8"/>
  <c r="A136" i="8"/>
  <c r="E135" i="8"/>
  <c r="A135" i="8" s="1"/>
  <c r="E134" i="8"/>
  <c r="F134" i="8" s="1"/>
  <c r="D134" i="8"/>
  <c r="C134" i="8"/>
  <c r="B134" i="8"/>
  <c r="A134" i="8"/>
  <c r="E133" i="8"/>
  <c r="A133" i="8" s="1"/>
  <c r="E132" i="8"/>
  <c r="F132" i="8" s="1"/>
  <c r="D132" i="8"/>
  <c r="C132" i="8"/>
  <c r="B132" i="8"/>
  <c r="A132" i="8"/>
  <c r="E131" i="8"/>
  <c r="E130" i="8"/>
  <c r="D130" i="8"/>
  <c r="C130" i="8"/>
  <c r="B130" i="8"/>
  <c r="A130" i="8"/>
  <c r="E129" i="8"/>
  <c r="A129" i="8" s="1"/>
  <c r="E128" i="8"/>
  <c r="G128" i="8" s="1"/>
  <c r="D128" i="8"/>
  <c r="C128" i="8"/>
  <c r="B128" i="8"/>
  <c r="A128" i="8"/>
  <c r="E127" i="8"/>
  <c r="A127" i="8" s="1"/>
  <c r="E126" i="8"/>
  <c r="F126" i="8" s="1"/>
  <c r="D126" i="8"/>
  <c r="C126" i="8"/>
  <c r="B126" i="8"/>
  <c r="A126" i="8"/>
  <c r="E125" i="8"/>
  <c r="E124" i="8"/>
  <c r="F124" i="8" s="1"/>
  <c r="D124" i="8"/>
  <c r="C124" i="8"/>
  <c r="B124" i="8"/>
  <c r="A124" i="8"/>
  <c r="E123" i="8"/>
  <c r="E122" i="8"/>
  <c r="G122" i="8" s="1"/>
  <c r="D122" i="8"/>
  <c r="C122" i="8"/>
  <c r="B122" i="8"/>
  <c r="A122" i="8"/>
  <c r="E121" i="8"/>
  <c r="A121" i="8" s="1"/>
  <c r="E120" i="8"/>
  <c r="F120" i="8" s="1"/>
  <c r="D120" i="8"/>
  <c r="C120" i="8"/>
  <c r="B120" i="8"/>
  <c r="A120" i="8"/>
  <c r="E119" i="8"/>
  <c r="F119" i="8" s="1"/>
  <c r="E118" i="8"/>
  <c r="F118" i="8" s="1"/>
  <c r="D118" i="8"/>
  <c r="C118" i="8"/>
  <c r="B118" i="8"/>
  <c r="A118" i="8"/>
  <c r="E117" i="8"/>
  <c r="B117" i="8" s="1"/>
  <c r="E116" i="8"/>
  <c r="D116" i="8"/>
  <c r="C116" i="8"/>
  <c r="B116" i="8"/>
  <c r="A116" i="8"/>
  <c r="E115" i="8"/>
  <c r="C115" i="8" s="1"/>
  <c r="E114" i="8"/>
  <c r="D114" i="8"/>
  <c r="C114" i="8"/>
  <c r="B114" i="8"/>
  <c r="A114" i="8"/>
  <c r="E113" i="8"/>
  <c r="E112" i="8"/>
  <c r="G112" i="8" s="1"/>
  <c r="D112" i="8"/>
  <c r="C112" i="8"/>
  <c r="B112" i="8"/>
  <c r="A112" i="8"/>
  <c r="E111" i="8"/>
  <c r="A111" i="8" s="1"/>
  <c r="E110" i="8"/>
  <c r="G110" i="8" s="1"/>
  <c r="D110" i="8"/>
  <c r="C110" i="8"/>
  <c r="B110" i="8"/>
  <c r="A110" i="8"/>
  <c r="E109" i="8"/>
  <c r="A109" i="8" s="1"/>
  <c r="E108" i="8"/>
  <c r="D108" i="8"/>
  <c r="C108" i="8"/>
  <c r="B108" i="8"/>
  <c r="A108" i="8"/>
  <c r="E107" i="8"/>
  <c r="A107" i="8" s="1"/>
  <c r="E106" i="8"/>
  <c r="D106" i="8"/>
  <c r="C106" i="8"/>
  <c r="B106" i="8"/>
  <c r="A106" i="8"/>
  <c r="E105" i="8"/>
  <c r="E104" i="8"/>
  <c r="G104" i="8" s="1"/>
  <c r="D104" i="8"/>
  <c r="C104" i="8"/>
  <c r="B104" i="8"/>
  <c r="A104" i="8"/>
  <c r="E103" i="8"/>
  <c r="A103" i="8" s="1"/>
  <c r="E102" i="8"/>
  <c r="G102" i="8" s="1"/>
  <c r="D102" i="8"/>
  <c r="C102" i="8"/>
  <c r="B102" i="8"/>
  <c r="A102" i="8"/>
  <c r="E101" i="8"/>
  <c r="A101" i="8" s="1"/>
  <c r="E100" i="8"/>
  <c r="D100" i="8"/>
  <c r="C100" i="8"/>
  <c r="B100" i="8"/>
  <c r="A100" i="8"/>
  <c r="E99" i="8"/>
  <c r="A99" i="8" s="1"/>
  <c r="E98" i="8"/>
  <c r="D98" i="8"/>
  <c r="C98" i="8"/>
  <c r="B98" i="8"/>
  <c r="A98" i="8"/>
  <c r="E97" i="8"/>
  <c r="E96" i="8"/>
  <c r="G96" i="8" s="1"/>
  <c r="D96" i="8"/>
  <c r="C96" i="8"/>
  <c r="B96" i="8"/>
  <c r="A96" i="8"/>
  <c r="E95" i="8"/>
  <c r="A95" i="8" s="1"/>
  <c r="E94" i="8"/>
  <c r="G94" i="8" s="1"/>
  <c r="D94" i="8"/>
  <c r="C94" i="8"/>
  <c r="B94" i="8"/>
  <c r="A94" i="8"/>
  <c r="E93" i="8"/>
  <c r="A93" i="8" s="1"/>
  <c r="E92" i="8"/>
  <c r="D92" i="8"/>
  <c r="C92" i="8"/>
  <c r="B92" i="8"/>
  <c r="A92" i="8"/>
  <c r="E91" i="8"/>
  <c r="A91" i="8" s="1"/>
  <c r="E90" i="8"/>
  <c r="D90" i="8"/>
  <c r="C90" i="8"/>
  <c r="B90" i="8"/>
  <c r="A90" i="8"/>
  <c r="E89" i="8"/>
  <c r="E88" i="8"/>
  <c r="G88" i="8" s="1"/>
  <c r="D88" i="8"/>
  <c r="C88" i="8"/>
  <c r="B88" i="8"/>
  <c r="A88" i="8"/>
  <c r="E87" i="8"/>
  <c r="A87" i="8" s="1"/>
  <c r="E86" i="8"/>
  <c r="G86" i="8" s="1"/>
  <c r="D86" i="8"/>
  <c r="C86" i="8"/>
  <c r="B86" i="8"/>
  <c r="A86" i="8"/>
  <c r="E85" i="8"/>
  <c r="A85" i="8" s="1"/>
  <c r="E84" i="8"/>
  <c r="D84" i="8"/>
  <c r="C84" i="8"/>
  <c r="B84" i="8"/>
  <c r="A84" i="8"/>
  <c r="E83" i="8"/>
  <c r="A83" i="8" s="1"/>
  <c r="E82" i="8"/>
  <c r="D82" i="8"/>
  <c r="C82" i="8"/>
  <c r="B82" i="8"/>
  <c r="A82" i="8"/>
  <c r="E81" i="8"/>
  <c r="E80" i="8"/>
  <c r="G80" i="8" s="1"/>
  <c r="D80" i="8"/>
  <c r="C80" i="8"/>
  <c r="B80" i="8"/>
  <c r="A80" i="8"/>
  <c r="E79" i="8"/>
  <c r="A79" i="8" s="1"/>
  <c r="E78" i="8"/>
  <c r="G78" i="8" s="1"/>
  <c r="D78" i="8"/>
  <c r="C78" i="8"/>
  <c r="B78" i="8"/>
  <c r="A78" i="8"/>
  <c r="E77" i="8"/>
  <c r="A77" i="8" s="1"/>
  <c r="E76" i="8"/>
  <c r="D76" i="8"/>
  <c r="C76" i="8"/>
  <c r="B76" i="8"/>
  <c r="A76" i="8"/>
  <c r="E75" i="8"/>
  <c r="A75" i="8" s="1"/>
  <c r="E74" i="8"/>
  <c r="D74" i="8"/>
  <c r="C74" i="8"/>
  <c r="B74" i="8"/>
  <c r="A74" i="8"/>
  <c r="E73" i="8"/>
  <c r="E72" i="8"/>
  <c r="G72" i="8" s="1"/>
  <c r="D72" i="8"/>
  <c r="C72" i="8"/>
  <c r="B72" i="8"/>
  <c r="A72" i="8"/>
  <c r="E71" i="8"/>
  <c r="A71" i="8" s="1"/>
  <c r="E70" i="8"/>
  <c r="G70" i="8" s="1"/>
  <c r="D70" i="8"/>
  <c r="C70" i="8"/>
  <c r="B70" i="8"/>
  <c r="A70" i="8"/>
  <c r="E69" i="8"/>
  <c r="A69" i="8" s="1"/>
  <c r="E68" i="8"/>
  <c r="F68" i="8" s="1"/>
  <c r="D68" i="8"/>
  <c r="C68" i="8"/>
  <c r="B68" i="8"/>
  <c r="A68" i="8"/>
  <c r="E67" i="8"/>
  <c r="A67" i="8" s="1"/>
  <c r="E66" i="8"/>
  <c r="F66" i="8" s="1"/>
  <c r="D66" i="8"/>
  <c r="C66" i="8"/>
  <c r="B66" i="8"/>
  <c r="A66" i="8"/>
  <c r="E65" i="8"/>
  <c r="A65" i="8" s="1"/>
  <c r="E64" i="8"/>
  <c r="G64" i="8" s="1"/>
  <c r="D64" i="8"/>
  <c r="C64" i="8"/>
  <c r="B64" i="8"/>
  <c r="A64" i="8"/>
  <c r="E63" i="8"/>
  <c r="A63" i="8" s="1"/>
  <c r="E62" i="8"/>
  <c r="G62" i="8" s="1"/>
  <c r="D62" i="8"/>
  <c r="C62" i="8"/>
  <c r="B62" i="8"/>
  <c r="A62" i="8"/>
  <c r="E61" i="8"/>
  <c r="A61" i="8" s="1"/>
  <c r="E60" i="8"/>
  <c r="F60" i="8" s="1"/>
  <c r="D60" i="8"/>
  <c r="C60" i="8"/>
  <c r="B60" i="8"/>
  <c r="A60" i="8"/>
  <c r="E59" i="8"/>
  <c r="A59" i="8" s="1"/>
  <c r="E58" i="8"/>
  <c r="F58" i="8" s="1"/>
  <c r="D58" i="8"/>
  <c r="C58" i="8"/>
  <c r="B58" i="8"/>
  <c r="A58" i="8"/>
  <c r="E57" i="8"/>
  <c r="A57" i="8" s="1"/>
  <c r="E56" i="8"/>
  <c r="G56" i="8" s="1"/>
  <c r="D56" i="8"/>
  <c r="C56" i="8"/>
  <c r="B56" i="8"/>
  <c r="A56" i="8"/>
  <c r="E55" i="8"/>
  <c r="A55" i="8" s="1"/>
  <c r="E54" i="8"/>
  <c r="G54" i="8" s="1"/>
  <c r="D54" i="8"/>
  <c r="C54" i="8"/>
  <c r="B54" i="8"/>
  <c r="A54" i="8"/>
  <c r="E53" i="8"/>
  <c r="A53" i="8" s="1"/>
  <c r="E52" i="8"/>
  <c r="F52" i="8" s="1"/>
  <c r="D52" i="8"/>
  <c r="C52" i="8"/>
  <c r="B52" i="8"/>
  <c r="A52" i="8"/>
  <c r="E51" i="8"/>
  <c r="A51" i="8" s="1"/>
  <c r="E50" i="8"/>
  <c r="F50" i="8" s="1"/>
  <c r="D50" i="8"/>
  <c r="C50" i="8"/>
  <c r="B50" i="8"/>
  <c r="A50" i="8"/>
  <c r="E49" i="8"/>
  <c r="A49" i="8" s="1"/>
  <c r="E48" i="8"/>
  <c r="G48" i="8" s="1"/>
  <c r="D48" i="8"/>
  <c r="C48" i="8"/>
  <c r="B48" i="8"/>
  <c r="A48" i="8"/>
  <c r="E47" i="8"/>
  <c r="A47" i="8" s="1"/>
  <c r="E46" i="8"/>
  <c r="G46" i="8" s="1"/>
  <c r="D46" i="8"/>
  <c r="C46" i="8"/>
  <c r="B46" i="8"/>
  <c r="A46" i="8"/>
  <c r="E45" i="8"/>
  <c r="A45" i="8" s="1"/>
  <c r="E44" i="8"/>
  <c r="F44" i="8" s="1"/>
  <c r="D44" i="8"/>
  <c r="C44" i="8"/>
  <c r="B44" i="8"/>
  <c r="A44" i="8"/>
  <c r="E43" i="8"/>
  <c r="A43" i="8" s="1"/>
  <c r="E42" i="8"/>
  <c r="F42" i="8" s="1"/>
  <c r="D42" i="8"/>
  <c r="C42" i="8"/>
  <c r="B42" i="8"/>
  <c r="A42" i="8"/>
  <c r="E41" i="8"/>
  <c r="A41" i="8" s="1"/>
  <c r="E40" i="8"/>
  <c r="G40" i="8" s="1"/>
  <c r="D40" i="8"/>
  <c r="C40" i="8"/>
  <c r="B40" i="8"/>
  <c r="A40" i="8"/>
  <c r="E39" i="8"/>
  <c r="A39" i="8" s="1"/>
  <c r="E38" i="8"/>
  <c r="G38" i="8" s="1"/>
  <c r="D38" i="8"/>
  <c r="C38" i="8"/>
  <c r="B38" i="8"/>
  <c r="A38" i="8"/>
  <c r="E37" i="8"/>
  <c r="A37" i="8" s="1"/>
  <c r="E36" i="8"/>
  <c r="F36" i="8" s="1"/>
  <c r="D36" i="8"/>
  <c r="C36" i="8"/>
  <c r="B36" i="8"/>
  <c r="A36" i="8"/>
  <c r="E35" i="8"/>
  <c r="A35" i="8" s="1"/>
  <c r="E34" i="8"/>
  <c r="F34" i="8" s="1"/>
  <c r="D34" i="8"/>
  <c r="C34" i="8"/>
  <c r="B34" i="8"/>
  <c r="A34" i="8"/>
  <c r="E33" i="8"/>
  <c r="A33" i="8" s="1"/>
  <c r="E32" i="8"/>
  <c r="G32" i="8" s="1"/>
  <c r="D32" i="8"/>
  <c r="C32" i="8"/>
  <c r="B32" i="8"/>
  <c r="A32" i="8"/>
  <c r="E31" i="8"/>
  <c r="A31" i="8" s="1"/>
  <c r="E30" i="8"/>
  <c r="G30" i="8" s="1"/>
  <c r="D30" i="8"/>
  <c r="C30" i="8"/>
  <c r="B30" i="8"/>
  <c r="A30" i="8"/>
  <c r="E29" i="8"/>
  <c r="A29" i="8" s="1"/>
  <c r="E28" i="8"/>
  <c r="F28" i="8" s="1"/>
  <c r="D28" i="8"/>
  <c r="C28" i="8"/>
  <c r="B28" i="8"/>
  <c r="A28" i="8"/>
  <c r="E27" i="8"/>
  <c r="A27" i="8" s="1"/>
  <c r="E26" i="8"/>
  <c r="F26" i="8" s="1"/>
  <c r="D26" i="8"/>
  <c r="C26" i="8"/>
  <c r="B26" i="8"/>
  <c r="A26" i="8"/>
  <c r="E25" i="8"/>
  <c r="A25" i="8" s="1"/>
  <c r="E24" i="8"/>
  <c r="G24" i="8" s="1"/>
  <c r="D24" i="8"/>
  <c r="C24" i="8"/>
  <c r="B24" i="8"/>
  <c r="A24" i="8"/>
  <c r="E23" i="8"/>
  <c r="A23" i="8" s="1"/>
  <c r="E22" i="8"/>
  <c r="G22" i="8" s="1"/>
  <c r="D22" i="8"/>
  <c r="C22" i="8"/>
  <c r="B22" i="8"/>
  <c r="A22" i="8"/>
  <c r="E21" i="8"/>
  <c r="E20" i="8"/>
  <c r="F20" i="8" s="1"/>
  <c r="D20" i="8"/>
  <c r="C20" i="8"/>
  <c r="B20" i="8"/>
  <c r="A20" i="8"/>
  <c r="E19" i="8"/>
  <c r="E18" i="8"/>
  <c r="D18" i="8"/>
  <c r="C18" i="8"/>
  <c r="B18" i="8"/>
  <c r="A18" i="8"/>
  <c r="E17" i="8"/>
  <c r="E16" i="8"/>
  <c r="G16" i="8" s="1"/>
  <c r="D16" i="8"/>
  <c r="C16" i="8"/>
  <c r="B16" i="8"/>
  <c r="A16" i="8"/>
  <c r="E15" i="8"/>
  <c r="E14" i="8"/>
  <c r="G14" i="8" s="1"/>
  <c r="D14" i="8"/>
  <c r="C14" i="8"/>
  <c r="B14" i="8"/>
  <c r="A14" i="8"/>
  <c r="E13" i="8"/>
  <c r="G13" i="8" s="1"/>
  <c r="E12" i="8"/>
  <c r="D12" i="8"/>
  <c r="C12" i="8"/>
  <c r="B12" i="8"/>
  <c r="A12" i="8"/>
  <c r="E11" i="8"/>
  <c r="E10" i="8"/>
  <c r="G10" i="8" s="1"/>
  <c r="D10" i="8"/>
  <c r="C10" i="8"/>
  <c r="B10" i="8"/>
  <c r="A10" i="8"/>
  <c r="A15" i="8" l="1"/>
  <c r="A21" i="8"/>
  <c r="A17" i="8"/>
  <c r="G254" i="8"/>
  <c r="D265" i="8"/>
  <c r="F304" i="8"/>
  <c r="B61" i="8"/>
  <c r="C169" i="8"/>
  <c r="D135" i="8"/>
  <c r="C161" i="8"/>
  <c r="C109" i="8"/>
  <c r="A19" i="8"/>
  <c r="B69" i="8"/>
  <c r="C111" i="8"/>
  <c r="G118" i="8"/>
  <c r="D121" i="8"/>
  <c r="D217" i="8"/>
  <c r="B275" i="8"/>
  <c r="C95" i="8"/>
  <c r="G134" i="8"/>
  <c r="B185" i="8"/>
  <c r="B241" i="8"/>
  <c r="G305" i="8"/>
  <c r="F136" i="8"/>
  <c r="G33" i="8"/>
  <c r="F78" i="8"/>
  <c r="C93" i="8"/>
  <c r="C193" i="8"/>
  <c r="C219" i="8"/>
  <c r="G256" i="8"/>
  <c r="B297" i="8"/>
  <c r="D297" i="8"/>
  <c r="G41" i="8"/>
  <c r="C77" i="8"/>
  <c r="C79" i="8"/>
  <c r="F110" i="8"/>
  <c r="B151" i="8"/>
  <c r="B153" i="8"/>
  <c r="G169" i="8"/>
  <c r="D175" i="8"/>
  <c r="G185" i="8"/>
  <c r="D191" i="8"/>
  <c r="B201" i="8"/>
  <c r="G206" i="8"/>
  <c r="G208" i="8"/>
  <c r="B211" i="8"/>
  <c r="G219" i="8"/>
  <c r="D241" i="8"/>
  <c r="F248" i="8"/>
  <c r="C257" i="8"/>
  <c r="F264" i="8"/>
  <c r="G275" i="8"/>
  <c r="C289" i="8"/>
  <c r="G17" i="8"/>
  <c r="B53" i="8"/>
  <c r="F94" i="8"/>
  <c r="F117" i="8"/>
  <c r="G126" i="8"/>
  <c r="C129" i="8"/>
  <c r="D151" i="8"/>
  <c r="C153" i="8"/>
  <c r="C201" i="8"/>
  <c r="C211" i="8"/>
  <c r="G270" i="8"/>
  <c r="D287" i="8"/>
  <c r="C13" i="8"/>
  <c r="G25" i="8"/>
  <c r="G150" i="8"/>
  <c r="G153" i="8"/>
  <c r="F156" i="8"/>
  <c r="D159" i="8"/>
  <c r="B169" i="8"/>
  <c r="G174" i="8"/>
  <c r="G190" i="8"/>
  <c r="G201" i="8"/>
  <c r="D207" i="8"/>
  <c r="D211" i="8"/>
  <c r="G214" i="8"/>
  <c r="C217" i="8"/>
  <c r="B219" i="8"/>
  <c r="G294" i="8"/>
  <c r="C15" i="8"/>
  <c r="B21" i="8"/>
  <c r="C23" i="8"/>
  <c r="B29" i="8"/>
  <c r="C31" i="8"/>
  <c r="B37" i="8"/>
  <c r="C39" i="8"/>
  <c r="B45" i="8"/>
  <c r="C47" i="8"/>
  <c r="C53" i="8"/>
  <c r="C55" i="8"/>
  <c r="C61" i="8"/>
  <c r="C63" i="8"/>
  <c r="C69" i="8"/>
  <c r="C71" i="8"/>
  <c r="F86" i="8"/>
  <c r="C101" i="8"/>
  <c r="C103" i="8"/>
  <c r="F115" i="8"/>
  <c r="G120" i="8"/>
  <c r="F128" i="8"/>
  <c r="C137" i="8"/>
  <c r="B143" i="8"/>
  <c r="B145" i="8"/>
  <c r="G158" i="8"/>
  <c r="G161" i="8"/>
  <c r="D167" i="8"/>
  <c r="B177" i="8"/>
  <c r="G182" i="8"/>
  <c r="G193" i="8"/>
  <c r="D199" i="8"/>
  <c r="F216" i="8"/>
  <c r="G232" i="8"/>
  <c r="G235" i="8"/>
  <c r="F238" i="8"/>
  <c r="C249" i="8"/>
  <c r="G262" i="8"/>
  <c r="F272" i="8"/>
  <c r="G283" i="8"/>
  <c r="F286" i="8"/>
  <c r="G307" i="8"/>
  <c r="C29" i="8"/>
  <c r="C37" i="8"/>
  <c r="C45" i="8"/>
  <c r="D143" i="8"/>
  <c r="C145" i="8"/>
  <c r="C177" i="8"/>
  <c r="D249" i="8"/>
  <c r="C21" i="8"/>
  <c r="F54" i="8"/>
  <c r="F62" i="8"/>
  <c r="F70" i="8"/>
  <c r="C85" i="8"/>
  <c r="C87" i="8"/>
  <c r="F102" i="8"/>
  <c r="B121" i="8"/>
  <c r="G142" i="8"/>
  <c r="G145" i="8"/>
  <c r="F148" i="8"/>
  <c r="B159" i="8"/>
  <c r="B161" i="8"/>
  <c r="G166" i="8"/>
  <c r="G177" i="8"/>
  <c r="D183" i="8"/>
  <c r="C185" i="8"/>
  <c r="B193" i="8"/>
  <c r="G198" i="8"/>
  <c r="D223" i="8"/>
  <c r="C241" i="8"/>
  <c r="G243" i="8"/>
  <c r="G246" i="8"/>
  <c r="D257" i="8"/>
  <c r="C265" i="8"/>
  <c r="D273" i="8"/>
  <c r="C275" i="8"/>
  <c r="B289" i="8"/>
  <c r="C297" i="8"/>
  <c r="A11" i="8"/>
  <c r="D13" i="8"/>
  <c r="D17" i="8"/>
  <c r="G18" i="8"/>
  <c r="G21" i="8"/>
  <c r="D25" i="8"/>
  <c r="G26" i="8"/>
  <c r="G29" i="8"/>
  <c r="D33" i="8"/>
  <c r="G34" i="8"/>
  <c r="G37" i="8"/>
  <c r="D41" i="8"/>
  <c r="G42" i="8"/>
  <c r="G45" i="8"/>
  <c r="D49" i="8"/>
  <c r="G50" i="8"/>
  <c r="G53" i="8"/>
  <c r="D57" i="8"/>
  <c r="G58" i="8"/>
  <c r="G61" i="8"/>
  <c r="D65" i="8"/>
  <c r="G66" i="8"/>
  <c r="G69" i="8"/>
  <c r="F84" i="8"/>
  <c r="G84" i="8"/>
  <c r="A89" i="8"/>
  <c r="G89" i="8"/>
  <c r="D89" i="8"/>
  <c r="B89" i="8"/>
  <c r="G98" i="8"/>
  <c r="F98" i="8"/>
  <c r="A165" i="8"/>
  <c r="D165" i="8"/>
  <c r="A197" i="8"/>
  <c r="D197" i="8"/>
  <c r="G49" i="8"/>
  <c r="G57" i="8"/>
  <c r="G65" i="8"/>
  <c r="F76" i="8"/>
  <c r="G76" i="8"/>
  <c r="A81" i="8"/>
  <c r="G81" i="8"/>
  <c r="D81" i="8"/>
  <c r="B81" i="8"/>
  <c r="G90" i="8"/>
  <c r="F90" i="8"/>
  <c r="F108" i="8"/>
  <c r="G108" i="8"/>
  <c r="A113" i="8"/>
  <c r="G113" i="8"/>
  <c r="D113" i="8"/>
  <c r="B113" i="8"/>
  <c r="A123" i="8"/>
  <c r="G123" i="8"/>
  <c r="C123" i="8"/>
  <c r="B123" i="8"/>
  <c r="A131" i="8"/>
  <c r="G131" i="8"/>
  <c r="C131" i="8"/>
  <c r="B131" i="8"/>
  <c r="A173" i="8"/>
  <c r="D173" i="8"/>
  <c r="A205" i="8"/>
  <c r="D205" i="8"/>
  <c r="F30" i="8"/>
  <c r="F38" i="8"/>
  <c r="F46" i="8"/>
  <c r="A73" i="8"/>
  <c r="G73" i="8"/>
  <c r="D73" i="8"/>
  <c r="B73" i="8"/>
  <c r="G82" i="8"/>
  <c r="F82" i="8"/>
  <c r="F100" i="8"/>
  <c r="G100" i="8"/>
  <c r="A105" i="8"/>
  <c r="G105" i="8"/>
  <c r="D105" i="8"/>
  <c r="B105" i="8"/>
  <c r="G114" i="8"/>
  <c r="F114" i="8"/>
  <c r="A139" i="8"/>
  <c r="G139" i="8"/>
  <c r="C139" i="8"/>
  <c r="B139" i="8"/>
  <c r="A157" i="8"/>
  <c r="D157" i="8"/>
  <c r="A181" i="8"/>
  <c r="D181" i="8"/>
  <c r="G12" i="8"/>
  <c r="F22" i="8"/>
  <c r="B17" i="8"/>
  <c r="G20" i="8"/>
  <c r="D21" i="8"/>
  <c r="B25" i="8"/>
  <c r="G28" i="8"/>
  <c r="D29" i="8"/>
  <c r="B33" i="8"/>
  <c r="G36" i="8"/>
  <c r="D37" i="8"/>
  <c r="B41" i="8"/>
  <c r="G44" i="8"/>
  <c r="D45" i="8"/>
  <c r="B49" i="8"/>
  <c r="G52" i="8"/>
  <c r="D53" i="8"/>
  <c r="B57" i="8"/>
  <c r="G60" i="8"/>
  <c r="D61" i="8"/>
  <c r="B65" i="8"/>
  <c r="G68" i="8"/>
  <c r="D69" i="8"/>
  <c r="G74" i="8"/>
  <c r="F74" i="8"/>
  <c r="F92" i="8"/>
  <c r="G92" i="8"/>
  <c r="A97" i="8"/>
  <c r="G97" i="8"/>
  <c r="D97" i="8"/>
  <c r="B97" i="8"/>
  <c r="G106" i="8"/>
  <c r="F106" i="8"/>
  <c r="A149" i="8"/>
  <c r="D149" i="8"/>
  <c r="A189" i="8"/>
  <c r="D189" i="8"/>
  <c r="G281" i="8"/>
  <c r="D77" i="8"/>
  <c r="D85" i="8"/>
  <c r="D93" i="8"/>
  <c r="D101" i="8"/>
  <c r="D109" i="8"/>
  <c r="G117" i="8"/>
  <c r="G121" i="8"/>
  <c r="D129" i="8"/>
  <c r="D137" i="8"/>
  <c r="G143" i="8"/>
  <c r="G151" i="8"/>
  <c r="G159" i="8"/>
  <c r="G167" i="8"/>
  <c r="G175" i="8"/>
  <c r="G183" i="8"/>
  <c r="G191" i="8"/>
  <c r="G199" i="8"/>
  <c r="G207" i="8"/>
  <c r="F210" i="8"/>
  <c r="F212" i="8"/>
  <c r="C225" i="8"/>
  <c r="B227" i="8"/>
  <c r="D231" i="8"/>
  <c r="F240" i="8"/>
  <c r="B251" i="8"/>
  <c r="B259" i="8"/>
  <c r="B267" i="8"/>
  <c r="G273" i="8"/>
  <c r="D279" i="8"/>
  <c r="B281" i="8"/>
  <c r="F296" i="8"/>
  <c r="B299" i="8"/>
  <c r="C303" i="8"/>
  <c r="G77" i="8"/>
  <c r="G85" i="8"/>
  <c r="G93" i="8"/>
  <c r="G101" i="8"/>
  <c r="G109" i="8"/>
  <c r="D127" i="8"/>
  <c r="G129" i="8"/>
  <c r="G137" i="8"/>
  <c r="F164" i="8"/>
  <c r="B167" i="8"/>
  <c r="F172" i="8"/>
  <c r="B175" i="8"/>
  <c r="F180" i="8"/>
  <c r="B183" i="8"/>
  <c r="F188" i="8"/>
  <c r="B191" i="8"/>
  <c r="F196" i="8"/>
  <c r="B199" i="8"/>
  <c r="F204" i="8"/>
  <c r="B207" i="8"/>
  <c r="C209" i="8"/>
  <c r="D215" i="8"/>
  <c r="G222" i="8"/>
  <c r="F224" i="8"/>
  <c r="D225" i="8"/>
  <c r="C227" i="8"/>
  <c r="C233" i="8"/>
  <c r="B235" i="8"/>
  <c r="B243" i="8"/>
  <c r="D247" i="8"/>
  <c r="G249" i="8"/>
  <c r="C251" i="8"/>
  <c r="D255" i="8"/>
  <c r="G257" i="8"/>
  <c r="C259" i="8"/>
  <c r="D263" i="8"/>
  <c r="G265" i="8"/>
  <c r="C267" i="8"/>
  <c r="D271" i="8"/>
  <c r="B273" i="8"/>
  <c r="F278" i="8"/>
  <c r="C281" i="8"/>
  <c r="F288" i="8"/>
  <c r="D289" i="8"/>
  <c r="B291" i="8"/>
  <c r="C295" i="8"/>
  <c r="G297" i="8"/>
  <c r="G299" i="8"/>
  <c r="F302" i="8"/>
  <c r="D303" i="8"/>
  <c r="B305" i="8"/>
  <c r="B77" i="8"/>
  <c r="B85" i="8"/>
  <c r="B93" i="8"/>
  <c r="B101" i="8"/>
  <c r="B109" i="8"/>
  <c r="B115" i="8"/>
  <c r="C121" i="8"/>
  <c r="F122" i="8"/>
  <c r="B129" i="8"/>
  <c r="B137" i="8"/>
  <c r="C143" i="8"/>
  <c r="C151" i="8"/>
  <c r="C159" i="8"/>
  <c r="C167" i="8"/>
  <c r="C175" i="8"/>
  <c r="C183" i="8"/>
  <c r="C191" i="8"/>
  <c r="C199" i="8"/>
  <c r="C207" i="8"/>
  <c r="G211" i="8"/>
  <c r="B217" i="8"/>
  <c r="G227" i="8"/>
  <c r="G230" i="8"/>
  <c r="D233" i="8"/>
  <c r="C235" i="8"/>
  <c r="D239" i="8"/>
  <c r="G241" i="8"/>
  <c r="C243" i="8"/>
  <c r="B249" i="8"/>
  <c r="G251" i="8"/>
  <c r="B257" i="8"/>
  <c r="G259" i="8"/>
  <c r="B265" i="8"/>
  <c r="G267" i="8"/>
  <c r="C273" i="8"/>
  <c r="F280" i="8"/>
  <c r="D281" i="8"/>
  <c r="B283" i="8"/>
  <c r="C287" i="8"/>
  <c r="G289" i="8"/>
  <c r="G291" i="8"/>
  <c r="D295" i="8"/>
  <c r="C305" i="8"/>
  <c r="B307" i="8"/>
  <c r="B11" i="8"/>
  <c r="G11" i="8"/>
  <c r="A13" i="8"/>
  <c r="D15" i="8"/>
  <c r="C17" i="8"/>
  <c r="B19" i="8"/>
  <c r="G19" i="8"/>
  <c r="D23" i="8"/>
  <c r="F24" i="8"/>
  <c r="C25" i="8"/>
  <c r="B27" i="8"/>
  <c r="G27" i="8"/>
  <c r="F29" i="8"/>
  <c r="D31" i="8"/>
  <c r="F32" i="8"/>
  <c r="C33" i="8"/>
  <c r="B35" i="8"/>
  <c r="G35" i="8"/>
  <c r="F37" i="8"/>
  <c r="D39" i="8"/>
  <c r="F40" i="8"/>
  <c r="C41" i="8"/>
  <c r="B43" i="8"/>
  <c r="G43" i="8"/>
  <c r="F45" i="8"/>
  <c r="D47" i="8"/>
  <c r="F48" i="8"/>
  <c r="C49" i="8"/>
  <c r="B51" i="8"/>
  <c r="G51" i="8"/>
  <c r="F53" i="8"/>
  <c r="D55" i="8"/>
  <c r="F56" i="8"/>
  <c r="C57" i="8"/>
  <c r="B59" i="8"/>
  <c r="G59" i="8"/>
  <c r="F61" i="8"/>
  <c r="D63" i="8"/>
  <c r="F64" i="8"/>
  <c r="C65" i="8"/>
  <c r="B67" i="8"/>
  <c r="G67" i="8"/>
  <c r="F69" i="8"/>
  <c r="D71" i="8"/>
  <c r="F72" i="8"/>
  <c r="C73" i="8"/>
  <c r="B75" i="8"/>
  <c r="G75" i="8"/>
  <c r="F77" i="8"/>
  <c r="D79" i="8"/>
  <c r="F80" i="8"/>
  <c r="C81" i="8"/>
  <c r="B83" i="8"/>
  <c r="G83" i="8"/>
  <c r="F85" i="8"/>
  <c r="D87" i="8"/>
  <c r="F88" i="8"/>
  <c r="C89" i="8"/>
  <c r="B91" i="8"/>
  <c r="G91" i="8"/>
  <c r="F93" i="8"/>
  <c r="D95" i="8"/>
  <c r="F96" i="8"/>
  <c r="C97" i="8"/>
  <c r="B99" i="8"/>
  <c r="G99" i="8"/>
  <c r="F101" i="8"/>
  <c r="D103" i="8"/>
  <c r="F104" i="8"/>
  <c r="C105" i="8"/>
  <c r="B107" i="8"/>
  <c r="G107" i="8"/>
  <c r="F109" i="8"/>
  <c r="D111" i="8"/>
  <c r="F112" i="8"/>
  <c r="C113" i="8"/>
  <c r="A117" i="8"/>
  <c r="C117" i="8"/>
  <c r="D117" i="8"/>
  <c r="D119" i="8"/>
  <c r="G130" i="8"/>
  <c r="F130" i="8"/>
  <c r="B13" i="8"/>
  <c r="C19" i="8"/>
  <c r="F23" i="8"/>
  <c r="C27" i="8"/>
  <c r="F31" i="8"/>
  <c r="C35" i="8"/>
  <c r="F39" i="8"/>
  <c r="C43" i="8"/>
  <c r="F47" i="8"/>
  <c r="C51" i="8"/>
  <c r="F55" i="8"/>
  <c r="C59" i="8"/>
  <c r="F63" i="8"/>
  <c r="C67" i="8"/>
  <c r="F71" i="8"/>
  <c r="C75" i="8"/>
  <c r="F79" i="8"/>
  <c r="C83" i="8"/>
  <c r="F87" i="8"/>
  <c r="C91" i="8"/>
  <c r="F95" i="8"/>
  <c r="C99" i="8"/>
  <c r="F103" i="8"/>
  <c r="C107" i="8"/>
  <c r="F111" i="8"/>
  <c r="A125" i="8"/>
  <c r="C125" i="8"/>
  <c r="G125" i="8"/>
  <c r="B125" i="8"/>
  <c r="D125" i="8"/>
  <c r="C11" i="8"/>
  <c r="D11" i="8"/>
  <c r="B15" i="8"/>
  <c r="G15" i="8"/>
  <c r="D19" i="8"/>
  <c r="B23" i="8"/>
  <c r="G23" i="8"/>
  <c r="F25" i="8"/>
  <c r="D27" i="8"/>
  <c r="B31" i="8"/>
  <c r="G31" i="8"/>
  <c r="F33" i="8"/>
  <c r="D35" i="8"/>
  <c r="B39" i="8"/>
  <c r="G39" i="8"/>
  <c r="F41" i="8"/>
  <c r="D43" i="8"/>
  <c r="B47" i="8"/>
  <c r="G47" i="8"/>
  <c r="F49" i="8"/>
  <c r="D51" i="8"/>
  <c r="B55" i="8"/>
  <c r="G55" i="8"/>
  <c r="F57" i="8"/>
  <c r="D59" i="8"/>
  <c r="B63" i="8"/>
  <c r="G63" i="8"/>
  <c r="F65" i="8"/>
  <c r="D67" i="8"/>
  <c r="B71" i="8"/>
  <c r="G71" i="8"/>
  <c r="F73" i="8"/>
  <c r="D75" i="8"/>
  <c r="B79" i="8"/>
  <c r="G79" i="8"/>
  <c r="F81" i="8"/>
  <c r="D83" i="8"/>
  <c r="B87" i="8"/>
  <c r="G87" i="8"/>
  <c r="F89" i="8"/>
  <c r="D91" i="8"/>
  <c r="B95" i="8"/>
  <c r="G95" i="8"/>
  <c r="F97" i="8"/>
  <c r="D99" i="8"/>
  <c r="B103" i="8"/>
  <c r="G103" i="8"/>
  <c r="F105" i="8"/>
  <c r="D107" i="8"/>
  <c r="B111" i="8"/>
  <c r="G111" i="8"/>
  <c r="F113" i="8"/>
  <c r="A115" i="8"/>
  <c r="D115" i="8"/>
  <c r="G115" i="8"/>
  <c r="F125" i="8"/>
  <c r="F27" i="8"/>
  <c r="F35" i="8"/>
  <c r="F43" i="8"/>
  <c r="F51" i="8"/>
  <c r="F59" i="8"/>
  <c r="F67" i="8"/>
  <c r="F75" i="8"/>
  <c r="F83" i="8"/>
  <c r="F91" i="8"/>
  <c r="F99" i="8"/>
  <c r="F107" i="8"/>
  <c r="F116" i="8"/>
  <c r="G116" i="8"/>
  <c r="A119" i="8"/>
  <c r="G119" i="8"/>
  <c r="B119" i="8"/>
  <c r="C119" i="8"/>
  <c r="F123" i="8"/>
  <c r="G124" i="8"/>
  <c r="C127" i="8"/>
  <c r="F131" i="8"/>
  <c r="G132" i="8"/>
  <c r="D133" i="8"/>
  <c r="C135" i="8"/>
  <c r="F139" i="8"/>
  <c r="G140" i="8"/>
  <c r="C141" i="8"/>
  <c r="F145" i="8"/>
  <c r="G146" i="8"/>
  <c r="D147" i="8"/>
  <c r="C149" i="8"/>
  <c r="F153" i="8"/>
  <c r="G154" i="8"/>
  <c r="D155" i="8"/>
  <c r="C157" i="8"/>
  <c r="F161" i="8"/>
  <c r="G162" i="8"/>
  <c r="D163" i="8"/>
  <c r="C165" i="8"/>
  <c r="F169" i="8"/>
  <c r="G170" i="8"/>
  <c r="D171" i="8"/>
  <c r="C173" i="8"/>
  <c r="F177" i="8"/>
  <c r="G178" i="8"/>
  <c r="D179" i="8"/>
  <c r="C181" i="8"/>
  <c r="F185" i="8"/>
  <c r="G186" i="8"/>
  <c r="D187" i="8"/>
  <c r="C189" i="8"/>
  <c r="F193" i="8"/>
  <c r="G194" i="8"/>
  <c r="D195" i="8"/>
  <c r="C197" i="8"/>
  <c r="F201" i="8"/>
  <c r="G202" i="8"/>
  <c r="D203" i="8"/>
  <c r="C205" i="8"/>
  <c r="A209" i="8"/>
  <c r="G209" i="8"/>
  <c r="B209" i="8"/>
  <c r="F133" i="8"/>
  <c r="D141" i="8"/>
  <c r="F147" i="8"/>
  <c r="F155" i="8"/>
  <c r="F163" i="8"/>
  <c r="F171" i="8"/>
  <c r="F179" i="8"/>
  <c r="F187" i="8"/>
  <c r="F195" i="8"/>
  <c r="F203" i="8"/>
  <c r="F127" i="8"/>
  <c r="B133" i="8"/>
  <c r="G133" i="8"/>
  <c r="F135" i="8"/>
  <c r="F138" i="8"/>
  <c r="A141" i="8"/>
  <c r="F141" i="8"/>
  <c r="F144" i="8"/>
  <c r="B147" i="8"/>
  <c r="G147" i="8"/>
  <c r="F149" i="8"/>
  <c r="F152" i="8"/>
  <c r="B155" i="8"/>
  <c r="G155" i="8"/>
  <c r="F157" i="8"/>
  <c r="F160" i="8"/>
  <c r="B163" i="8"/>
  <c r="G163" i="8"/>
  <c r="F165" i="8"/>
  <c r="F168" i="8"/>
  <c r="B171" i="8"/>
  <c r="G171" i="8"/>
  <c r="F173" i="8"/>
  <c r="F176" i="8"/>
  <c r="B179" i="8"/>
  <c r="G179" i="8"/>
  <c r="F181" i="8"/>
  <c r="F184" i="8"/>
  <c r="B187" i="8"/>
  <c r="G187" i="8"/>
  <c r="F189" i="8"/>
  <c r="F192" i="8"/>
  <c r="B195" i="8"/>
  <c r="G195" i="8"/>
  <c r="F197" i="8"/>
  <c r="F200" i="8"/>
  <c r="B203" i="8"/>
  <c r="G203" i="8"/>
  <c r="F205" i="8"/>
  <c r="A213" i="8"/>
  <c r="G213" i="8"/>
  <c r="B213" i="8"/>
  <c r="D213" i="8"/>
  <c r="C213" i="8"/>
  <c r="F121" i="8"/>
  <c r="D123" i="8"/>
  <c r="B127" i="8"/>
  <c r="G127" i="8"/>
  <c r="F129" i="8"/>
  <c r="D131" i="8"/>
  <c r="C133" i="8"/>
  <c r="B135" i="8"/>
  <c r="G135" i="8"/>
  <c r="F137" i="8"/>
  <c r="D139" i="8"/>
  <c r="B141" i="8"/>
  <c r="F143" i="8"/>
  <c r="D145" i="8"/>
  <c r="C147" i="8"/>
  <c r="B149" i="8"/>
  <c r="G149" i="8"/>
  <c r="F151" i="8"/>
  <c r="D153" i="8"/>
  <c r="C155" i="8"/>
  <c r="B157" i="8"/>
  <c r="G157" i="8"/>
  <c r="F159" i="8"/>
  <c r="D161" i="8"/>
  <c r="C163" i="8"/>
  <c r="B165" i="8"/>
  <c r="G165" i="8"/>
  <c r="F167" i="8"/>
  <c r="D169" i="8"/>
  <c r="C171" i="8"/>
  <c r="B173" i="8"/>
  <c r="G173" i="8"/>
  <c r="F175" i="8"/>
  <c r="D177" i="8"/>
  <c r="C179" i="8"/>
  <c r="B181" i="8"/>
  <c r="G181" i="8"/>
  <c r="F183" i="8"/>
  <c r="D185" i="8"/>
  <c r="C187" i="8"/>
  <c r="B189" i="8"/>
  <c r="G189" i="8"/>
  <c r="F191" i="8"/>
  <c r="D193" i="8"/>
  <c r="C195" i="8"/>
  <c r="B197" i="8"/>
  <c r="G197" i="8"/>
  <c r="F199" i="8"/>
  <c r="D201" i="8"/>
  <c r="C203" i="8"/>
  <c r="B205" i="8"/>
  <c r="G205" i="8"/>
  <c r="F207" i="8"/>
  <c r="F209" i="8"/>
  <c r="F213" i="8"/>
  <c r="B215" i="8"/>
  <c r="G215" i="8"/>
  <c r="F217" i="8"/>
  <c r="G218" i="8"/>
  <c r="D219" i="8"/>
  <c r="F220" i="8"/>
  <c r="C221" i="8"/>
  <c r="B223" i="8"/>
  <c r="G223" i="8"/>
  <c r="F225" i="8"/>
  <c r="G226" i="8"/>
  <c r="D227" i="8"/>
  <c r="F228" i="8"/>
  <c r="C229" i="8"/>
  <c r="B231" i="8"/>
  <c r="G231" i="8"/>
  <c r="F233" i="8"/>
  <c r="G234" i="8"/>
  <c r="D235" i="8"/>
  <c r="F236" i="8"/>
  <c r="C237" i="8"/>
  <c r="B239" i="8"/>
  <c r="G239" i="8"/>
  <c r="F241" i="8"/>
  <c r="G242" i="8"/>
  <c r="D243" i="8"/>
  <c r="F244" i="8"/>
  <c r="C245" i="8"/>
  <c r="B247" i="8"/>
  <c r="G247" i="8"/>
  <c r="F249" i="8"/>
  <c r="G250" i="8"/>
  <c r="D251" i="8"/>
  <c r="F252" i="8"/>
  <c r="C253" i="8"/>
  <c r="B255" i="8"/>
  <c r="G255" i="8"/>
  <c r="F257" i="8"/>
  <c r="G258" i="8"/>
  <c r="D259" i="8"/>
  <c r="F260" i="8"/>
  <c r="C261" i="8"/>
  <c r="B263" i="8"/>
  <c r="G263" i="8"/>
  <c r="F265" i="8"/>
  <c r="G266" i="8"/>
  <c r="D267" i="8"/>
  <c r="F268" i="8"/>
  <c r="C269" i="8"/>
  <c r="B271" i="8"/>
  <c r="G271" i="8"/>
  <c r="F273" i="8"/>
  <c r="G274" i="8"/>
  <c r="D275" i="8"/>
  <c r="F276" i="8"/>
  <c r="C277" i="8"/>
  <c r="B279" i="8"/>
  <c r="G279" i="8"/>
  <c r="F281" i="8"/>
  <c r="G282" i="8"/>
  <c r="D283" i="8"/>
  <c r="F284" i="8"/>
  <c r="C285" i="8"/>
  <c r="B287" i="8"/>
  <c r="G287" i="8"/>
  <c r="F289" i="8"/>
  <c r="G290" i="8"/>
  <c r="D291" i="8"/>
  <c r="F292" i="8"/>
  <c r="C293" i="8"/>
  <c r="B295" i="8"/>
  <c r="G295" i="8"/>
  <c r="F297" i="8"/>
  <c r="G298" i="8"/>
  <c r="D299" i="8"/>
  <c r="F300" i="8"/>
  <c r="C301" i="8"/>
  <c r="B303" i="8"/>
  <c r="G303" i="8"/>
  <c r="F305" i="8"/>
  <c r="G306" i="8"/>
  <c r="D307" i="8"/>
  <c r="F308" i="8"/>
  <c r="C309" i="8"/>
  <c r="F211" i="8"/>
  <c r="C215" i="8"/>
  <c r="G217" i="8"/>
  <c r="F219" i="8"/>
  <c r="D221" i="8"/>
  <c r="C223" i="8"/>
  <c r="B225" i="8"/>
  <c r="G225" i="8"/>
  <c r="F227" i="8"/>
  <c r="D229" i="8"/>
  <c r="C231" i="8"/>
  <c r="B233" i="8"/>
  <c r="G233" i="8"/>
  <c r="F235" i="8"/>
  <c r="D237" i="8"/>
  <c r="C239" i="8"/>
  <c r="F243" i="8"/>
  <c r="D245" i="8"/>
  <c r="C247" i="8"/>
  <c r="F251" i="8"/>
  <c r="D253" i="8"/>
  <c r="C255" i="8"/>
  <c r="F259" i="8"/>
  <c r="D261" i="8"/>
  <c r="C263" i="8"/>
  <c r="F267" i="8"/>
  <c r="D269" i="8"/>
  <c r="C271" i="8"/>
  <c r="F275" i="8"/>
  <c r="D277" i="8"/>
  <c r="C279" i="8"/>
  <c r="F283" i="8"/>
  <c r="D285" i="8"/>
  <c r="F291" i="8"/>
  <c r="D293" i="8"/>
  <c r="F299" i="8"/>
  <c r="D301" i="8"/>
  <c r="F307" i="8"/>
  <c r="D309" i="8"/>
  <c r="F221" i="8"/>
  <c r="F229" i="8"/>
  <c r="F237" i="8"/>
  <c r="F245" i="8"/>
  <c r="F253" i="8"/>
  <c r="F261" i="8"/>
  <c r="F269" i="8"/>
  <c r="F277" i="8"/>
  <c r="F285" i="8"/>
  <c r="F293" i="8"/>
  <c r="F301" i="8"/>
  <c r="F309" i="8"/>
  <c r="F215" i="8"/>
  <c r="B221" i="8"/>
  <c r="G221" i="8"/>
  <c r="F223" i="8"/>
  <c r="B229" i="8"/>
  <c r="G229" i="8"/>
  <c r="F231" i="8"/>
  <c r="B237" i="8"/>
  <c r="G237" i="8"/>
  <c r="F239" i="8"/>
  <c r="B245" i="8"/>
  <c r="G245" i="8"/>
  <c r="F247" i="8"/>
  <c r="B253" i="8"/>
  <c r="G253" i="8"/>
  <c r="F255" i="8"/>
  <c r="B261" i="8"/>
  <c r="G261" i="8"/>
  <c r="F263" i="8"/>
  <c r="B269" i="8"/>
  <c r="G269" i="8"/>
  <c r="F271" i="8"/>
  <c r="B277" i="8"/>
  <c r="G277" i="8"/>
  <c r="F279" i="8"/>
  <c r="C283" i="8"/>
  <c r="B285" i="8"/>
  <c r="G285" i="8"/>
  <c r="F287" i="8"/>
  <c r="C291" i="8"/>
  <c r="B293" i="8"/>
  <c r="G293" i="8"/>
  <c r="F295" i="8"/>
  <c r="C299" i="8"/>
  <c r="B301" i="8"/>
  <c r="G301" i="8"/>
  <c r="F303" i="8"/>
  <c r="D305" i="8"/>
  <c r="C307" i="8"/>
  <c r="B309" i="8"/>
  <c r="G309" i="8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A55" i="7" s="1"/>
  <c r="B56" i="7"/>
  <c r="B57" i="7"/>
  <c r="A57" i="7" s="1"/>
  <c r="B58" i="7"/>
  <c r="A58" i="7" s="1"/>
  <c r="B59" i="7"/>
  <c r="A59" i="7" s="1"/>
  <c r="B60" i="7"/>
  <c r="B61" i="7"/>
  <c r="A61" i="7" s="1"/>
  <c r="B62" i="7"/>
  <c r="A62" i="7" s="1"/>
  <c r="B63" i="7"/>
  <c r="A63" i="7" s="1"/>
  <c r="B64" i="7"/>
  <c r="B65" i="7"/>
  <c r="A65" i="7" s="1"/>
  <c r="B66" i="7"/>
  <c r="A66" i="7" s="1"/>
  <c r="B67" i="7"/>
  <c r="A67" i="7" s="1"/>
  <c r="B68" i="7"/>
  <c r="B69" i="7"/>
  <c r="A69" i="7" s="1"/>
  <c r="B70" i="7"/>
  <c r="A70" i="7" s="1"/>
  <c r="B71" i="7"/>
  <c r="A71" i="7" s="1"/>
  <c r="B72" i="7"/>
  <c r="B73" i="7"/>
  <c r="A73" i="7" s="1"/>
  <c r="B74" i="7"/>
  <c r="A74" i="7" s="1"/>
  <c r="B75" i="7"/>
  <c r="A75" i="7" s="1"/>
  <c r="B76" i="7"/>
  <c r="B77" i="7"/>
  <c r="A77" i="7" s="1"/>
  <c r="B78" i="7"/>
  <c r="A78" i="7" s="1"/>
  <c r="B79" i="7"/>
  <c r="A79" i="7" s="1"/>
  <c r="B80" i="7"/>
  <c r="B81" i="7"/>
  <c r="A81" i="7" s="1"/>
  <c r="B82" i="7"/>
  <c r="A82" i="7" s="1"/>
  <c r="B83" i="7"/>
  <c r="A83" i="7" s="1"/>
  <c r="B84" i="7"/>
  <c r="B85" i="7"/>
  <c r="A85" i="7" s="1"/>
  <c r="B86" i="7"/>
  <c r="A86" i="7" s="1"/>
  <c r="B87" i="7"/>
  <c r="A87" i="7" s="1"/>
  <c r="B88" i="7"/>
  <c r="B89" i="7"/>
  <c r="A89" i="7" s="1"/>
  <c r="B90" i="7"/>
  <c r="A90" i="7" s="1"/>
  <c r="B91" i="7"/>
  <c r="A91" i="7" s="1"/>
  <c r="B92" i="7"/>
  <c r="B93" i="7"/>
  <c r="A93" i="7" s="1"/>
  <c r="B94" i="7"/>
  <c r="A94" i="7" s="1"/>
  <c r="B95" i="7"/>
  <c r="A95" i="7" s="1"/>
  <c r="B96" i="7"/>
  <c r="A96" i="7" s="1"/>
  <c r="B97" i="7"/>
  <c r="A97" i="7" s="1"/>
  <c r="B98" i="7"/>
  <c r="A98" i="7" s="1"/>
  <c r="B99" i="7"/>
  <c r="A99" i="7" s="1"/>
  <c r="B100" i="7"/>
  <c r="A100" i="7" s="1"/>
  <c r="B101" i="7"/>
  <c r="A101" i="7" s="1"/>
  <c r="B102" i="7"/>
  <c r="A102" i="7" s="1"/>
  <c r="B103" i="7"/>
  <c r="A103" i="7" s="1"/>
  <c r="B104" i="7"/>
  <c r="A104" i="7" s="1"/>
  <c r="B105" i="7"/>
  <c r="A105" i="7" s="1"/>
  <c r="B106" i="7"/>
  <c r="A106" i="7" s="1"/>
  <c r="B107" i="7"/>
  <c r="A107" i="7" s="1"/>
  <c r="B108" i="7"/>
  <c r="A108" i="7" s="1"/>
  <c r="B109" i="7"/>
  <c r="A109" i="7" s="1"/>
  <c r="B110" i="7"/>
  <c r="A110" i="7" s="1"/>
  <c r="B111" i="7"/>
  <c r="A111" i="7" s="1"/>
  <c r="B112" i="7"/>
  <c r="A112" i="7" s="1"/>
  <c r="B113" i="7"/>
  <c r="A113" i="7" s="1"/>
  <c r="B114" i="7"/>
  <c r="A114" i="7" s="1"/>
  <c r="B115" i="7"/>
  <c r="A115" i="7" s="1"/>
  <c r="B116" i="7"/>
  <c r="A116" i="7" s="1"/>
  <c r="B117" i="7"/>
  <c r="A117" i="7" s="1"/>
  <c r="B118" i="7"/>
  <c r="A118" i="7" s="1"/>
  <c r="B119" i="7"/>
  <c r="A119" i="7" s="1"/>
  <c r="B120" i="7"/>
  <c r="A120" i="7" s="1"/>
  <c r="B121" i="7"/>
  <c r="A121" i="7" s="1"/>
  <c r="B122" i="7"/>
  <c r="A122" i="7" s="1"/>
  <c r="B123" i="7"/>
  <c r="A123" i="7" s="1"/>
  <c r="B124" i="7"/>
  <c r="A124" i="7" s="1"/>
  <c r="B125" i="7"/>
  <c r="A125" i="7" s="1"/>
  <c r="B126" i="7"/>
  <c r="A126" i="7" s="1"/>
  <c r="B127" i="7"/>
  <c r="A127" i="7" s="1"/>
  <c r="B128" i="7"/>
  <c r="A128" i="7" s="1"/>
  <c r="B129" i="7"/>
  <c r="A129" i="7" s="1"/>
  <c r="B130" i="7"/>
  <c r="A130" i="7" s="1"/>
  <c r="B131" i="7"/>
  <c r="A131" i="7" s="1"/>
  <c r="B132" i="7"/>
  <c r="A132" i="7" s="1"/>
  <c r="B133" i="7"/>
  <c r="A133" i="7" s="1"/>
  <c r="B134" i="7"/>
  <c r="A134" i="7" s="1"/>
  <c r="B135" i="7"/>
  <c r="A135" i="7" s="1"/>
  <c r="B136" i="7"/>
  <c r="A136" i="7" s="1"/>
  <c r="B137" i="7"/>
  <c r="A137" i="7" s="1"/>
  <c r="B138" i="7"/>
  <c r="A138" i="7" s="1"/>
  <c r="B139" i="7"/>
  <c r="A139" i="7" s="1"/>
  <c r="B140" i="7"/>
  <c r="A140" i="7" s="1"/>
  <c r="B141" i="7"/>
  <c r="A141" i="7" s="1"/>
  <c r="B142" i="7"/>
  <c r="A142" i="7" s="1"/>
  <c r="B143" i="7"/>
  <c r="A143" i="7" s="1"/>
  <c r="B144" i="7"/>
  <c r="A144" i="7" s="1"/>
  <c r="B145" i="7"/>
  <c r="A145" i="7" s="1"/>
  <c r="B146" i="7"/>
  <c r="A146" i="7" s="1"/>
  <c r="B147" i="7"/>
  <c r="A147" i="7" s="1"/>
  <c r="B148" i="7"/>
  <c r="A148" i="7" s="1"/>
  <c r="B149" i="7"/>
  <c r="A149" i="7" s="1"/>
  <c r="B150" i="7"/>
  <c r="A150" i="7" s="1"/>
  <c r="B151" i="7"/>
  <c r="A151" i="7" s="1"/>
  <c r="B152" i="7"/>
  <c r="A152" i="7" s="1"/>
  <c r="B153" i="7"/>
  <c r="A153" i="7" s="1"/>
  <c r="B154" i="7"/>
  <c r="A154" i="7" s="1"/>
  <c r="B155" i="7"/>
  <c r="B2" i="4"/>
  <c r="A2" i="4" s="1"/>
  <c r="B3" i="4"/>
  <c r="A3" i="4" s="1"/>
  <c r="B4" i="4"/>
  <c r="B5" i="4"/>
  <c r="A5" i="4" s="1"/>
  <c r="B6" i="4"/>
  <c r="A6" i="4" s="1"/>
  <c r="B7" i="4"/>
  <c r="A7" i="4" s="1"/>
  <c r="B8" i="4"/>
  <c r="A8" i="4" s="1"/>
  <c r="B9" i="4"/>
  <c r="A9" i="4" s="1"/>
  <c r="B10" i="4"/>
  <c r="A10" i="4" s="1"/>
  <c r="B11" i="4"/>
  <c r="A11" i="4" s="1"/>
  <c r="B12" i="4"/>
  <c r="A12" i="4" s="1"/>
  <c r="B13" i="4"/>
  <c r="A13" i="4" s="1"/>
  <c r="B14" i="4"/>
  <c r="A14" i="4" s="1"/>
  <c r="B15" i="4"/>
  <c r="A15" i="4" s="1"/>
  <c r="B16" i="4"/>
  <c r="A16" i="4" s="1"/>
  <c r="B17" i="4"/>
  <c r="A17" i="4" s="1"/>
  <c r="B18" i="4"/>
  <c r="A18" i="4" s="1"/>
  <c r="B19" i="4"/>
  <c r="A19" i="4" s="1"/>
  <c r="B20" i="4"/>
  <c r="A20" i="4" s="1"/>
  <c r="B21" i="4"/>
  <c r="A21" i="4" s="1"/>
  <c r="B22" i="4"/>
  <c r="A22" i="4" s="1"/>
  <c r="B23" i="4"/>
  <c r="A23" i="4" s="1"/>
  <c r="B24" i="4"/>
  <c r="A24" i="4" s="1"/>
  <c r="B25" i="4"/>
  <c r="A25" i="4" s="1"/>
  <c r="B26" i="4"/>
  <c r="A26" i="4" s="1"/>
  <c r="B27" i="4"/>
  <c r="A27" i="4" s="1"/>
  <c r="B28" i="4"/>
  <c r="A28" i="4" s="1"/>
  <c r="B29" i="4"/>
  <c r="A29" i="4" s="1"/>
  <c r="B30" i="4"/>
  <c r="A30" i="4" s="1"/>
  <c r="B31" i="4"/>
  <c r="A31" i="4" s="1"/>
  <c r="B32" i="4"/>
  <c r="A32" i="4" s="1"/>
  <c r="B33" i="4"/>
  <c r="A33" i="4" s="1"/>
  <c r="B34" i="4"/>
  <c r="A34" i="4" s="1"/>
  <c r="B35" i="4"/>
  <c r="A35" i="4" s="1"/>
  <c r="B36" i="4"/>
  <c r="A36" i="4" s="1"/>
  <c r="B37" i="4"/>
  <c r="A37" i="4" s="1"/>
  <c r="B38" i="4"/>
  <c r="A38" i="4" s="1"/>
  <c r="B39" i="4"/>
  <c r="A39" i="4" s="1"/>
  <c r="B40" i="4"/>
  <c r="A40" i="4" s="1"/>
  <c r="B41" i="4"/>
  <c r="A41" i="4" s="1"/>
  <c r="B42" i="4"/>
  <c r="A42" i="4" s="1"/>
  <c r="B43" i="4"/>
  <c r="A43" i="4" s="1"/>
  <c r="B44" i="4"/>
  <c r="A44" i="4" s="1"/>
  <c r="B45" i="4"/>
  <c r="A45" i="4" s="1"/>
  <c r="B46" i="4"/>
  <c r="A46" i="4" s="1"/>
  <c r="B47" i="4"/>
  <c r="A47" i="4" s="1"/>
  <c r="B48" i="4"/>
  <c r="A48" i="4" s="1"/>
  <c r="B49" i="4"/>
  <c r="A49" i="4" s="1"/>
  <c r="B50" i="4"/>
  <c r="A50" i="4" s="1"/>
  <c r="B51" i="4"/>
  <c r="A51" i="4" s="1"/>
  <c r="B52" i="4"/>
  <c r="A52" i="4" s="1"/>
  <c r="B53" i="4"/>
  <c r="A53" i="4" s="1"/>
  <c r="B54" i="4"/>
  <c r="A54" i="4" s="1"/>
  <c r="B55" i="4"/>
  <c r="A55" i="4" s="1"/>
  <c r="B56" i="4"/>
  <c r="A56" i="4" s="1"/>
  <c r="B57" i="4"/>
  <c r="B58" i="4"/>
  <c r="A58" i="4" s="1"/>
  <c r="B59" i="4"/>
  <c r="B60" i="4"/>
  <c r="A60" i="4" s="1"/>
  <c r="B61" i="4"/>
  <c r="B62" i="4"/>
  <c r="A62" i="4" s="1"/>
  <c r="B63" i="4"/>
  <c r="A63" i="4" s="1"/>
  <c r="B64" i="4"/>
  <c r="A64" i="4" s="1"/>
  <c r="B65" i="4"/>
  <c r="B66" i="4"/>
  <c r="A66" i="4" s="1"/>
  <c r="B67" i="4"/>
  <c r="A67" i="4" s="1"/>
  <c r="B68" i="4"/>
  <c r="A68" i="4" s="1"/>
  <c r="B69" i="4"/>
  <c r="B70" i="4"/>
  <c r="A70" i="4" s="1"/>
  <c r="B71" i="4"/>
  <c r="B72" i="4"/>
  <c r="A72" i="4" s="1"/>
  <c r="B73" i="4"/>
  <c r="B74" i="4"/>
  <c r="A74" i="4" s="1"/>
  <c r="B75" i="4"/>
  <c r="A75" i="4" s="1"/>
  <c r="B76" i="4"/>
  <c r="A76" i="4" s="1"/>
  <c r="B77" i="4"/>
  <c r="A77" i="4" s="1"/>
  <c r="B78" i="4"/>
  <c r="A78" i="4" s="1"/>
  <c r="B79" i="4"/>
  <c r="B80" i="4"/>
  <c r="A80" i="4" s="1"/>
  <c r="B81" i="4"/>
  <c r="B82" i="4"/>
  <c r="A82" i="4" s="1"/>
  <c r="B83" i="4"/>
  <c r="B84" i="4"/>
  <c r="A84" i="4" s="1"/>
  <c r="B85" i="4"/>
  <c r="B86" i="4"/>
  <c r="A86" i="4" s="1"/>
  <c r="B87" i="4"/>
  <c r="A87" i="4" s="1"/>
  <c r="B88" i="4"/>
  <c r="A88" i="4" s="1"/>
  <c r="B89" i="4"/>
  <c r="B90" i="4"/>
  <c r="A90" i="4" s="1"/>
  <c r="B91" i="4"/>
  <c r="B92" i="4"/>
  <c r="A92" i="4" s="1"/>
  <c r="B93" i="4"/>
  <c r="B94" i="4"/>
  <c r="A94" i="4" s="1"/>
  <c r="B95" i="4"/>
  <c r="B96" i="4"/>
  <c r="A96" i="4" s="1"/>
  <c r="B97" i="4"/>
  <c r="B98" i="4"/>
  <c r="A98" i="4" s="1"/>
  <c r="B99" i="4"/>
  <c r="B100" i="4"/>
  <c r="A100" i="4" s="1"/>
  <c r="B101" i="4"/>
  <c r="B102" i="4"/>
  <c r="A102" i="4" s="1"/>
  <c r="B103" i="4"/>
  <c r="B104" i="4"/>
  <c r="A104" i="4" s="1"/>
  <c r="B105" i="4"/>
  <c r="B106" i="4"/>
  <c r="A106" i="4" s="1"/>
  <c r="B107" i="4"/>
  <c r="B108" i="4"/>
  <c r="A108" i="4" s="1"/>
  <c r="B109" i="4"/>
  <c r="A109" i="4" s="1"/>
  <c r="B110" i="4"/>
  <c r="A110" i="4" s="1"/>
  <c r="B111" i="4"/>
  <c r="B112" i="4"/>
  <c r="A112" i="4" s="1"/>
  <c r="B113" i="4"/>
  <c r="B114" i="4"/>
  <c r="A114" i="4" s="1"/>
  <c r="B115" i="4"/>
  <c r="B116" i="4"/>
  <c r="A116" i="4" s="1"/>
  <c r="B117" i="4"/>
  <c r="B118" i="4"/>
  <c r="A118" i="4" s="1"/>
  <c r="B119" i="4"/>
  <c r="A119" i="4" s="1"/>
  <c r="B120" i="4"/>
  <c r="A120" i="4" s="1"/>
  <c r="B121" i="4"/>
  <c r="B122" i="4"/>
  <c r="A122" i="4" s="1"/>
  <c r="B123" i="4"/>
  <c r="B124" i="4"/>
  <c r="A124" i="4" s="1"/>
  <c r="B125" i="4"/>
  <c r="B126" i="4"/>
  <c r="A126" i="4" s="1"/>
  <c r="B127" i="4"/>
  <c r="B128" i="4"/>
  <c r="A128" i="4" s="1"/>
  <c r="B129" i="4"/>
  <c r="B130" i="4"/>
  <c r="A130" i="4" s="1"/>
  <c r="B131" i="4"/>
  <c r="B132" i="4"/>
  <c r="A132" i="4" s="1"/>
  <c r="B133" i="4"/>
  <c r="B134" i="4"/>
  <c r="A134" i="4" s="1"/>
  <c r="B135" i="4"/>
  <c r="B136" i="4"/>
  <c r="A136" i="4" s="1"/>
  <c r="B137" i="4"/>
  <c r="B138" i="4"/>
  <c r="A138" i="4" s="1"/>
  <c r="B139" i="4"/>
  <c r="B140" i="4"/>
  <c r="A140" i="4" s="1"/>
  <c r="B141" i="4"/>
  <c r="B142" i="4"/>
  <c r="A142" i="4" s="1"/>
  <c r="B143" i="4"/>
  <c r="B144" i="4"/>
  <c r="A144" i="4" s="1"/>
  <c r="B145" i="4"/>
  <c r="B146" i="4"/>
  <c r="A146" i="4" s="1"/>
  <c r="B147" i="4"/>
  <c r="B148" i="4"/>
  <c r="A148" i="4" s="1"/>
  <c r="B149" i="4"/>
  <c r="B150" i="4"/>
  <c r="A150" i="4" s="1"/>
  <c r="B151" i="4"/>
  <c r="A151" i="4" s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4" i="2"/>
  <c r="A24" i="2" s="1"/>
  <c r="B25" i="2"/>
  <c r="A25" i="2" s="1"/>
  <c r="B26" i="2"/>
  <c r="A26" i="2" s="1"/>
  <c r="B27" i="2"/>
  <c r="A27" i="2" s="1"/>
  <c r="B28" i="2"/>
  <c r="A28" i="2" s="1"/>
  <c r="B29" i="2"/>
  <c r="A29" i="2" s="1"/>
  <c r="B30" i="2"/>
  <c r="A30" i="2" s="1"/>
  <c r="B31" i="2"/>
  <c r="A31" i="2" s="1"/>
  <c r="B32" i="2"/>
  <c r="A32" i="2" s="1"/>
  <c r="B33" i="2"/>
  <c r="A33" i="2" s="1"/>
  <c r="B34" i="2"/>
  <c r="A34" i="2" s="1"/>
  <c r="B35" i="2"/>
  <c r="A35" i="2" s="1"/>
  <c r="B36" i="2"/>
  <c r="A36" i="2" s="1"/>
  <c r="B37" i="2"/>
  <c r="A37" i="2" s="1"/>
  <c r="B38" i="2"/>
  <c r="A38" i="2" s="1"/>
  <c r="B39" i="2"/>
  <c r="A39" i="2" s="1"/>
  <c r="B40" i="2"/>
  <c r="A40" i="2" s="1"/>
  <c r="B41" i="2"/>
  <c r="A41" i="2" s="1"/>
  <c r="B42" i="2"/>
  <c r="A42" i="2" s="1"/>
  <c r="B43" i="2"/>
  <c r="A43" i="2" s="1"/>
  <c r="B44" i="2"/>
  <c r="A44" i="2" s="1"/>
  <c r="B45" i="2"/>
  <c r="A45" i="2" s="1"/>
  <c r="B46" i="2"/>
  <c r="A46" i="2" s="1"/>
  <c r="B47" i="2"/>
  <c r="A47" i="2" s="1"/>
  <c r="B48" i="2"/>
  <c r="A48" i="2" s="1"/>
  <c r="B49" i="2"/>
  <c r="A49" i="2" s="1"/>
  <c r="B50" i="2"/>
  <c r="A50" i="2" s="1"/>
  <c r="B51" i="2"/>
  <c r="A51" i="2" s="1"/>
  <c r="B52" i="2"/>
  <c r="A52" i="2" s="1"/>
  <c r="B53" i="2"/>
  <c r="A53" i="2" s="1"/>
  <c r="B54" i="2"/>
  <c r="A54" i="2" s="1"/>
  <c r="B55" i="2"/>
  <c r="A55" i="2" s="1"/>
  <c r="B56" i="2"/>
  <c r="A56" i="2" s="1"/>
  <c r="B57" i="2"/>
  <c r="A57" i="2" s="1"/>
  <c r="B58" i="2"/>
  <c r="A58" i="2" s="1"/>
  <c r="B59" i="2"/>
  <c r="A59" i="2" s="1"/>
  <c r="B60" i="2"/>
  <c r="A60" i="2" s="1"/>
  <c r="B61" i="2"/>
  <c r="A61" i="2" s="1"/>
  <c r="B62" i="2"/>
  <c r="A62" i="2" s="1"/>
  <c r="B63" i="2"/>
  <c r="A63" i="2" s="1"/>
  <c r="B64" i="2"/>
  <c r="A64" i="2" s="1"/>
  <c r="B65" i="2"/>
  <c r="A65" i="2" s="1"/>
  <c r="B66" i="2"/>
  <c r="A66" i="2" s="1"/>
  <c r="B67" i="2"/>
  <c r="A67" i="2" s="1"/>
  <c r="B68" i="2"/>
  <c r="A68" i="2" s="1"/>
  <c r="B69" i="2"/>
  <c r="A69" i="2" s="1"/>
  <c r="B70" i="2"/>
  <c r="A70" i="2" s="1"/>
  <c r="B71" i="2"/>
  <c r="A71" i="2" s="1"/>
  <c r="B72" i="2"/>
  <c r="A72" i="2" s="1"/>
  <c r="B73" i="2"/>
  <c r="A73" i="2" s="1"/>
  <c r="B74" i="2"/>
  <c r="A74" i="2" s="1"/>
  <c r="B75" i="2"/>
  <c r="A75" i="2" s="1"/>
  <c r="B76" i="2"/>
  <c r="A76" i="2" s="1"/>
  <c r="B77" i="2"/>
  <c r="A77" i="2" s="1"/>
  <c r="B78" i="2"/>
  <c r="A78" i="2" s="1"/>
  <c r="B79" i="2"/>
  <c r="A79" i="2" s="1"/>
  <c r="B80" i="2"/>
  <c r="A80" i="2" s="1"/>
  <c r="B81" i="2"/>
  <c r="A81" i="2" s="1"/>
  <c r="B82" i="2"/>
  <c r="A82" i="2" s="1"/>
  <c r="B83" i="2"/>
  <c r="A83" i="2" s="1"/>
  <c r="B84" i="2"/>
  <c r="A84" i="2" s="1"/>
  <c r="B85" i="2"/>
  <c r="A85" i="2" s="1"/>
  <c r="B86" i="2"/>
  <c r="A86" i="2" s="1"/>
  <c r="B87" i="2"/>
  <c r="A87" i="2" s="1"/>
  <c r="B88" i="2"/>
  <c r="A88" i="2" s="1"/>
  <c r="B89" i="2"/>
  <c r="A89" i="2" s="1"/>
  <c r="B90" i="2"/>
  <c r="A90" i="2" s="1"/>
  <c r="B91" i="2"/>
  <c r="A91" i="2" s="1"/>
  <c r="B92" i="2"/>
  <c r="A92" i="2" s="1"/>
  <c r="B93" i="2"/>
  <c r="A93" i="2" s="1"/>
  <c r="B94" i="2"/>
  <c r="A94" i="2" s="1"/>
  <c r="B95" i="2"/>
  <c r="A95" i="2" s="1"/>
  <c r="B96" i="2"/>
  <c r="A96" i="2" s="1"/>
  <c r="B97" i="2"/>
  <c r="A97" i="2" s="1"/>
  <c r="B98" i="2"/>
  <c r="A98" i="2" s="1"/>
  <c r="B99" i="2"/>
  <c r="A99" i="2" s="1"/>
  <c r="B100" i="2"/>
  <c r="A100" i="2" s="1"/>
  <c r="B101" i="2"/>
  <c r="A101" i="2" s="1"/>
  <c r="B102" i="2"/>
  <c r="A102" i="2" s="1"/>
  <c r="B103" i="2"/>
  <c r="A103" i="2" s="1"/>
  <c r="B104" i="2"/>
  <c r="A104" i="2" s="1"/>
  <c r="B105" i="2"/>
  <c r="A105" i="2" s="1"/>
  <c r="B106" i="2"/>
  <c r="A106" i="2" s="1"/>
  <c r="B107" i="2"/>
  <c r="A107" i="2" s="1"/>
  <c r="B108" i="2"/>
  <c r="A108" i="2" s="1"/>
  <c r="B109" i="2"/>
  <c r="A109" i="2" s="1"/>
  <c r="B110" i="2"/>
  <c r="A110" i="2" s="1"/>
  <c r="B111" i="2"/>
  <c r="A111" i="2" s="1"/>
  <c r="B112" i="2"/>
  <c r="A112" i="2" s="1"/>
  <c r="B113" i="2"/>
  <c r="A113" i="2" s="1"/>
  <c r="B114" i="2"/>
  <c r="A114" i="2" s="1"/>
  <c r="B115" i="2"/>
  <c r="A115" i="2" s="1"/>
  <c r="B116" i="2"/>
  <c r="A116" i="2" s="1"/>
  <c r="B117" i="2"/>
  <c r="A117" i="2" s="1"/>
  <c r="B118" i="2"/>
  <c r="A118" i="2" s="1"/>
  <c r="B119" i="2"/>
  <c r="A119" i="2" s="1"/>
  <c r="B120" i="2"/>
  <c r="A120" i="2" s="1"/>
  <c r="B121" i="2"/>
  <c r="A121" i="2" s="1"/>
  <c r="B122" i="2"/>
  <c r="A122" i="2" s="1"/>
  <c r="B123" i="2"/>
  <c r="A123" i="2" s="1"/>
  <c r="B124" i="2"/>
  <c r="A124" i="2" s="1"/>
  <c r="B125" i="2"/>
  <c r="A125" i="2" s="1"/>
  <c r="B126" i="2"/>
  <c r="A126" i="2" s="1"/>
  <c r="B127" i="2"/>
  <c r="A127" i="2" s="1"/>
  <c r="B128" i="2"/>
  <c r="A128" i="2" s="1"/>
  <c r="B129" i="2"/>
  <c r="A129" i="2" s="1"/>
  <c r="B130" i="2"/>
  <c r="A130" i="2" s="1"/>
  <c r="B131" i="2"/>
  <c r="A131" i="2" s="1"/>
  <c r="B132" i="2"/>
  <c r="A132" i="2" s="1"/>
  <c r="B133" i="2"/>
  <c r="A133" i="2" s="1"/>
  <c r="B134" i="2"/>
  <c r="A134" i="2" s="1"/>
  <c r="B135" i="2"/>
  <c r="A135" i="2" s="1"/>
  <c r="B136" i="2"/>
  <c r="A136" i="2" s="1"/>
  <c r="B137" i="2"/>
  <c r="A137" i="2" s="1"/>
  <c r="B138" i="2"/>
  <c r="A138" i="2" s="1"/>
  <c r="B139" i="2"/>
  <c r="A139" i="2" s="1"/>
  <c r="B140" i="2"/>
  <c r="A140" i="2" s="1"/>
  <c r="B141" i="2"/>
  <c r="A141" i="2" s="1"/>
  <c r="B142" i="2"/>
  <c r="A142" i="2" s="1"/>
  <c r="B143" i="2"/>
  <c r="A143" i="2" s="1"/>
  <c r="B144" i="2"/>
  <c r="A144" i="2" s="1"/>
  <c r="B145" i="2"/>
  <c r="A145" i="2" s="1"/>
  <c r="B146" i="2"/>
  <c r="A146" i="2" s="1"/>
  <c r="B147" i="2"/>
  <c r="A147" i="2" s="1"/>
  <c r="B148" i="2"/>
  <c r="A148" i="2" s="1"/>
  <c r="B149" i="2"/>
  <c r="A149" i="2" s="1"/>
  <c r="B150" i="2"/>
  <c r="A150" i="2" s="1"/>
  <c r="B151" i="2"/>
  <c r="A151" i="2" s="1"/>
  <c r="B152" i="2"/>
  <c r="A152" i="2" s="1"/>
  <c r="B153" i="2"/>
  <c r="A153" i="2" s="1"/>
  <c r="B154" i="2"/>
  <c r="A154" i="2" s="1"/>
  <c r="A1" i="3"/>
  <c r="BN2" i="1"/>
  <c r="BN4" i="1"/>
  <c r="BN6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AZ2" i="1"/>
  <c r="AZ4" i="1"/>
  <c r="AZ6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L2" i="1"/>
  <c r="AL4" i="1"/>
  <c r="AL6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B2" i="1"/>
  <c r="AB4" i="1"/>
  <c r="AB6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Z2" i="1"/>
  <c r="Z4" i="1"/>
  <c r="Z6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CC10" i="1"/>
  <c r="CC2" i="1"/>
  <c r="CC4" i="1"/>
  <c r="CC6" i="1"/>
  <c r="CC8" i="1"/>
  <c r="CC9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N66" i="2" s="1"/>
  <c r="CC64" i="1"/>
  <c r="CC65" i="1"/>
  <c r="CC66" i="1"/>
  <c r="CC67" i="1"/>
  <c r="N70" i="2" s="1"/>
  <c r="CC68" i="1"/>
  <c r="CC69" i="1"/>
  <c r="CC70" i="1"/>
  <c r="CC71" i="1"/>
  <c r="CC72" i="1"/>
  <c r="CC73" i="1"/>
  <c r="N76" i="2" s="1"/>
  <c r="CC74" i="1"/>
  <c r="CC75" i="1"/>
  <c r="CC76" i="1"/>
  <c r="CC77" i="1"/>
  <c r="N80" i="2" s="1"/>
  <c r="CC78" i="1"/>
  <c r="CC79" i="1"/>
  <c r="CC80" i="1"/>
  <c r="CC81" i="1"/>
  <c r="N84" i="2" s="1"/>
  <c r="CC82" i="1"/>
  <c r="CC83" i="1"/>
  <c r="N86" i="2" s="1"/>
  <c r="CC84" i="1"/>
  <c r="CC85" i="1"/>
  <c r="N88" i="2" s="1"/>
  <c r="CC86" i="1"/>
  <c r="CC87" i="1"/>
  <c r="N90" i="2" s="1"/>
  <c r="CC88" i="1"/>
  <c r="CC89" i="1"/>
  <c r="N92" i="2" s="1"/>
  <c r="CC90" i="1"/>
  <c r="CC91" i="1"/>
  <c r="N94" i="2" s="1"/>
  <c r="CC92" i="1"/>
  <c r="CC93" i="1"/>
  <c r="N96" i="2" s="1"/>
  <c r="CC94" i="1"/>
  <c r="CC95" i="1"/>
  <c r="N98" i="2" s="1"/>
  <c r="CC96" i="1"/>
  <c r="CC97" i="1"/>
  <c r="N100" i="2" s="1"/>
  <c r="CC98" i="1"/>
  <c r="CC99" i="1"/>
  <c r="N102" i="2" s="1"/>
  <c r="CC100" i="1"/>
  <c r="CC101" i="1"/>
  <c r="N104" i="2" s="1"/>
  <c r="CC102" i="1"/>
  <c r="CC103" i="1"/>
  <c r="N106" i="2" s="1"/>
  <c r="CC104" i="1"/>
  <c r="CC105" i="1"/>
  <c r="N108" i="2" s="1"/>
  <c r="CC106" i="1"/>
  <c r="CC107" i="1"/>
  <c r="N110" i="2" s="1"/>
  <c r="CC108" i="1"/>
  <c r="CC109" i="1"/>
  <c r="N112" i="2" s="1"/>
  <c r="CC110" i="1"/>
  <c r="CC111" i="1"/>
  <c r="N114" i="2" s="1"/>
  <c r="CC112" i="1"/>
  <c r="CC113" i="1"/>
  <c r="N116" i="2" s="1"/>
  <c r="CC114" i="1"/>
  <c r="CC115" i="1"/>
  <c r="N118" i="2" s="1"/>
  <c r="CC116" i="1"/>
  <c r="CC117" i="1"/>
  <c r="N120" i="2" s="1"/>
  <c r="CC118" i="1"/>
  <c r="CC119" i="1"/>
  <c r="N122" i="2" s="1"/>
  <c r="CC120" i="1"/>
  <c r="CC121" i="1"/>
  <c r="N124" i="2" s="1"/>
  <c r="CC122" i="1"/>
  <c r="CC123" i="1"/>
  <c r="N126" i="2" s="1"/>
  <c r="CC124" i="1"/>
  <c r="CC125" i="1"/>
  <c r="N128" i="2" s="1"/>
  <c r="CC126" i="1"/>
  <c r="CC127" i="1"/>
  <c r="N130" i="2" s="1"/>
  <c r="CC128" i="1"/>
  <c r="CC129" i="1"/>
  <c r="N132" i="2" s="1"/>
  <c r="CC130" i="1"/>
  <c r="CC131" i="1"/>
  <c r="N134" i="2" s="1"/>
  <c r="CC132" i="1"/>
  <c r="CC133" i="1"/>
  <c r="N136" i="2" s="1"/>
  <c r="CC134" i="1"/>
  <c r="CC135" i="1"/>
  <c r="N138" i="2" s="1"/>
  <c r="CC136" i="1"/>
  <c r="CC137" i="1"/>
  <c r="N140" i="2" s="1"/>
  <c r="CC138" i="1"/>
  <c r="CC139" i="1"/>
  <c r="N142" i="2" s="1"/>
  <c r="CC140" i="1"/>
  <c r="CC141" i="1"/>
  <c r="N144" i="2" s="1"/>
  <c r="CC142" i="1"/>
  <c r="CC143" i="1"/>
  <c r="N146" i="2" s="1"/>
  <c r="CC144" i="1"/>
  <c r="CC145" i="1"/>
  <c r="N148" i="2" s="1"/>
  <c r="CC146" i="1"/>
  <c r="CC147" i="1"/>
  <c r="N150" i="2" s="1"/>
  <c r="CC148" i="1"/>
  <c r="CC149" i="1"/>
  <c r="N152" i="2" s="1"/>
  <c r="CC150" i="1"/>
  <c r="N153" i="2" s="1"/>
  <c r="CC151" i="1"/>
  <c r="CB2" i="1"/>
  <c r="CB4" i="1"/>
  <c r="CB6" i="1"/>
  <c r="CB8" i="1"/>
  <c r="M11" i="2" s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M151" i="2" s="1"/>
  <c r="CB149" i="1"/>
  <c r="CB150" i="1"/>
  <c r="CB151" i="1"/>
  <c r="M154" i="2" s="1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306" i="8"/>
  <c r="H306" i="8"/>
  <c r="I304" i="8"/>
  <c r="H304" i="8"/>
  <c r="I302" i="8"/>
  <c r="H302" i="8"/>
  <c r="I300" i="8"/>
  <c r="H300" i="8"/>
  <c r="I298" i="8"/>
  <c r="H298" i="8"/>
  <c r="I296" i="8"/>
  <c r="H296" i="8"/>
  <c r="I294" i="8"/>
  <c r="H294" i="8"/>
  <c r="I292" i="8"/>
  <c r="H292" i="8"/>
  <c r="I290" i="8"/>
  <c r="H290" i="8"/>
  <c r="I288" i="8"/>
  <c r="H288" i="8"/>
  <c r="I286" i="8"/>
  <c r="H286" i="8"/>
  <c r="I284" i="8"/>
  <c r="H284" i="8"/>
  <c r="I282" i="8"/>
  <c r="H282" i="8"/>
  <c r="I280" i="8"/>
  <c r="H280" i="8"/>
  <c r="I278" i="8"/>
  <c r="H278" i="8"/>
  <c r="I276" i="8"/>
  <c r="H276" i="8"/>
  <c r="I274" i="8"/>
  <c r="H274" i="8"/>
  <c r="I272" i="8"/>
  <c r="H272" i="8"/>
  <c r="I270" i="8"/>
  <c r="H270" i="8"/>
  <c r="I268" i="8"/>
  <c r="H268" i="8"/>
  <c r="I266" i="8"/>
  <c r="H266" i="8"/>
  <c r="I264" i="8"/>
  <c r="H264" i="8"/>
  <c r="I262" i="8"/>
  <c r="H262" i="8"/>
  <c r="I260" i="8"/>
  <c r="H260" i="8"/>
  <c r="I258" i="8"/>
  <c r="H258" i="8"/>
  <c r="I256" i="8"/>
  <c r="H256" i="8"/>
  <c r="I254" i="8"/>
  <c r="H254" i="8"/>
  <c r="I252" i="8"/>
  <c r="H252" i="8"/>
  <c r="I250" i="8"/>
  <c r="H250" i="8"/>
  <c r="I248" i="8"/>
  <c r="H248" i="8"/>
  <c r="I246" i="8"/>
  <c r="H246" i="8"/>
  <c r="I244" i="8"/>
  <c r="H244" i="8"/>
  <c r="I242" i="8"/>
  <c r="H242" i="8"/>
  <c r="I240" i="8"/>
  <c r="H240" i="8"/>
  <c r="I238" i="8"/>
  <c r="H238" i="8"/>
  <c r="I236" i="8"/>
  <c r="H236" i="8"/>
  <c r="I234" i="8"/>
  <c r="H234" i="8"/>
  <c r="I232" i="8"/>
  <c r="H232" i="8"/>
  <c r="I230" i="8"/>
  <c r="H230" i="8"/>
  <c r="I228" i="8"/>
  <c r="H228" i="8"/>
  <c r="I226" i="8"/>
  <c r="H226" i="8"/>
  <c r="I224" i="8"/>
  <c r="H224" i="8"/>
  <c r="I222" i="8"/>
  <c r="H222" i="8"/>
  <c r="I220" i="8"/>
  <c r="H220" i="8"/>
  <c r="I218" i="8"/>
  <c r="H218" i="8"/>
  <c r="I216" i="8"/>
  <c r="H216" i="8"/>
  <c r="I214" i="8"/>
  <c r="H214" i="8"/>
  <c r="I212" i="8"/>
  <c r="H212" i="8"/>
  <c r="I210" i="8"/>
  <c r="H210" i="8"/>
  <c r="I208" i="8"/>
  <c r="H208" i="8"/>
  <c r="I206" i="8"/>
  <c r="H206" i="8"/>
  <c r="I204" i="8"/>
  <c r="H204" i="8"/>
  <c r="I202" i="8"/>
  <c r="H202" i="8"/>
  <c r="I200" i="8"/>
  <c r="H200" i="8"/>
  <c r="I198" i="8"/>
  <c r="H198" i="8"/>
  <c r="I196" i="8"/>
  <c r="H196" i="8"/>
  <c r="I194" i="8"/>
  <c r="H194" i="8"/>
  <c r="I192" i="8"/>
  <c r="H192" i="8"/>
  <c r="I190" i="8"/>
  <c r="H190" i="8"/>
  <c r="I188" i="8"/>
  <c r="H188" i="8"/>
  <c r="I186" i="8"/>
  <c r="H186" i="8"/>
  <c r="I184" i="8"/>
  <c r="H184" i="8"/>
  <c r="I182" i="8"/>
  <c r="H182" i="8"/>
  <c r="I180" i="8"/>
  <c r="H180" i="8"/>
  <c r="I178" i="8"/>
  <c r="H178" i="8"/>
  <c r="I176" i="8"/>
  <c r="H176" i="8"/>
  <c r="I174" i="8"/>
  <c r="H174" i="8"/>
  <c r="I172" i="8"/>
  <c r="H172" i="8"/>
  <c r="I170" i="8"/>
  <c r="H170" i="8"/>
  <c r="I168" i="8"/>
  <c r="H168" i="8"/>
  <c r="I166" i="8"/>
  <c r="H166" i="8"/>
  <c r="I164" i="8"/>
  <c r="H164" i="8"/>
  <c r="I162" i="8"/>
  <c r="H162" i="8"/>
  <c r="I160" i="8"/>
  <c r="H160" i="8"/>
  <c r="I158" i="8"/>
  <c r="H158" i="8"/>
  <c r="I156" i="8"/>
  <c r="H156" i="8"/>
  <c r="I154" i="8"/>
  <c r="H154" i="8"/>
  <c r="I152" i="8"/>
  <c r="H152" i="8"/>
  <c r="I150" i="8"/>
  <c r="H150" i="8"/>
  <c r="I148" i="8"/>
  <c r="H148" i="8"/>
  <c r="I146" i="8"/>
  <c r="H146" i="8"/>
  <c r="I144" i="8"/>
  <c r="H144" i="8"/>
  <c r="I142" i="8"/>
  <c r="H142" i="8"/>
  <c r="I140" i="8"/>
  <c r="H140" i="8"/>
  <c r="I138" i="8"/>
  <c r="H138" i="8"/>
  <c r="I136" i="8"/>
  <c r="H136" i="8"/>
  <c r="I134" i="8"/>
  <c r="H134" i="8"/>
  <c r="I132" i="8"/>
  <c r="H132" i="8"/>
  <c r="I130" i="8"/>
  <c r="H130" i="8"/>
  <c r="I128" i="8"/>
  <c r="H128" i="8"/>
  <c r="I126" i="8"/>
  <c r="H126" i="8"/>
  <c r="I124" i="8"/>
  <c r="H124" i="8"/>
  <c r="I122" i="8"/>
  <c r="H122" i="8"/>
  <c r="I120" i="8"/>
  <c r="H120" i="8"/>
  <c r="I118" i="8"/>
  <c r="H118" i="8"/>
  <c r="I116" i="8"/>
  <c r="H116" i="8"/>
  <c r="I114" i="8"/>
  <c r="H114" i="8"/>
  <c r="I112" i="8"/>
  <c r="H112" i="8"/>
  <c r="I110" i="8"/>
  <c r="H110" i="8"/>
  <c r="I108" i="8"/>
  <c r="H108" i="8"/>
  <c r="H154" i="7"/>
  <c r="G154" i="7"/>
  <c r="D154" i="7"/>
  <c r="C154" i="7"/>
  <c r="H153" i="7"/>
  <c r="G153" i="7"/>
  <c r="D153" i="7"/>
  <c r="C153" i="7"/>
  <c r="H152" i="7"/>
  <c r="G152" i="7"/>
  <c r="D152" i="7"/>
  <c r="C152" i="7"/>
  <c r="H151" i="7"/>
  <c r="G151" i="7"/>
  <c r="D151" i="7"/>
  <c r="C151" i="7"/>
  <c r="H150" i="7"/>
  <c r="G150" i="7"/>
  <c r="D150" i="7"/>
  <c r="C150" i="7"/>
  <c r="H149" i="7"/>
  <c r="G149" i="7"/>
  <c r="D149" i="7"/>
  <c r="C149" i="7"/>
  <c r="H148" i="7"/>
  <c r="G148" i="7"/>
  <c r="D148" i="7"/>
  <c r="C148" i="7"/>
  <c r="H147" i="7"/>
  <c r="G147" i="7"/>
  <c r="D147" i="7"/>
  <c r="C147" i="7"/>
  <c r="H146" i="7"/>
  <c r="G146" i="7"/>
  <c r="D146" i="7"/>
  <c r="C146" i="7"/>
  <c r="H145" i="7"/>
  <c r="G145" i="7"/>
  <c r="D145" i="7"/>
  <c r="C145" i="7"/>
  <c r="H144" i="7"/>
  <c r="G144" i="7"/>
  <c r="D144" i="7"/>
  <c r="C144" i="7"/>
  <c r="H143" i="7"/>
  <c r="G143" i="7"/>
  <c r="D143" i="7"/>
  <c r="C143" i="7"/>
  <c r="H142" i="7"/>
  <c r="G142" i="7"/>
  <c r="D142" i="7"/>
  <c r="C142" i="7"/>
  <c r="H141" i="7"/>
  <c r="G141" i="7"/>
  <c r="D141" i="7"/>
  <c r="C141" i="7"/>
  <c r="H140" i="7"/>
  <c r="G140" i="7"/>
  <c r="D140" i="7"/>
  <c r="C140" i="7"/>
  <c r="H139" i="7"/>
  <c r="G139" i="7"/>
  <c r="D139" i="7"/>
  <c r="C139" i="7"/>
  <c r="H138" i="7"/>
  <c r="G138" i="7"/>
  <c r="D138" i="7"/>
  <c r="C138" i="7"/>
  <c r="H137" i="7"/>
  <c r="G137" i="7"/>
  <c r="D137" i="7"/>
  <c r="C137" i="7"/>
  <c r="H136" i="7"/>
  <c r="G136" i="7"/>
  <c r="D136" i="7"/>
  <c r="C136" i="7"/>
  <c r="H135" i="7"/>
  <c r="G135" i="7"/>
  <c r="D135" i="7"/>
  <c r="C135" i="7"/>
  <c r="H134" i="7"/>
  <c r="G134" i="7"/>
  <c r="D134" i="7"/>
  <c r="C134" i="7"/>
  <c r="H133" i="7"/>
  <c r="G133" i="7"/>
  <c r="D133" i="7"/>
  <c r="C133" i="7"/>
  <c r="H132" i="7"/>
  <c r="G132" i="7"/>
  <c r="D132" i="7"/>
  <c r="C132" i="7"/>
  <c r="H131" i="7"/>
  <c r="G131" i="7"/>
  <c r="D131" i="7"/>
  <c r="C131" i="7"/>
  <c r="H130" i="7"/>
  <c r="G130" i="7"/>
  <c r="D130" i="7"/>
  <c r="C130" i="7"/>
  <c r="H129" i="7"/>
  <c r="G129" i="7"/>
  <c r="D129" i="7"/>
  <c r="C129" i="7"/>
  <c r="H128" i="7"/>
  <c r="G128" i="7"/>
  <c r="D128" i="7"/>
  <c r="C128" i="7"/>
  <c r="H127" i="7"/>
  <c r="G127" i="7"/>
  <c r="D127" i="7"/>
  <c r="C127" i="7"/>
  <c r="H126" i="7"/>
  <c r="G126" i="7"/>
  <c r="D126" i="7"/>
  <c r="C126" i="7"/>
  <c r="H125" i="7"/>
  <c r="G125" i="7"/>
  <c r="D125" i="7"/>
  <c r="C125" i="7"/>
  <c r="H124" i="7"/>
  <c r="G124" i="7"/>
  <c r="D124" i="7"/>
  <c r="C124" i="7"/>
  <c r="H123" i="7"/>
  <c r="G123" i="7"/>
  <c r="D123" i="7"/>
  <c r="C123" i="7"/>
  <c r="H122" i="7"/>
  <c r="G122" i="7"/>
  <c r="D122" i="7"/>
  <c r="C122" i="7"/>
  <c r="H121" i="7"/>
  <c r="G121" i="7"/>
  <c r="D121" i="7"/>
  <c r="C121" i="7"/>
  <c r="H120" i="7"/>
  <c r="G120" i="7"/>
  <c r="D120" i="7"/>
  <c r="C120" i="7"/>
  <c r="H119" i="7"/>
  <c r="G119" i="7"/>
  <c r="D119" i="7"/>
  <c r="C119" i="7"/>
  <c r="H118" i="7"/>
  <c r="G118" i="7"/>
  <c r="D118" i="7"/>
  <c r="C118" i="7"/>
  <c r="H117" i="7"/>
  <c r="G117" i="7"/>
  <c r="D117" i="7"/>
  <c r="C117" i="7"/>
  <c r="H116" i="7"/>
  <c r="G116" i="7"/>
  <c r="D116" i="7"/>
  <c r="C116" i="7"/>
  <c r="H115" i="7"/>
  <c r="G115" i="7"/>
  <c r="D115" i="7"/>
  <c r="C115" i="7"/>
  <c r="H114" i="7"/>
  <c r="G114" i="7"/>
  <c r="D114" i="7"/>
  <c r="C114" i="7"/>
  <c r="H113" i="7"/>
  <c r="G113" i="7"/>
  <c r="D113" i="7"/>
  <c r="C113" i="7"/>
  <c r="H112" i="7"/>
  <c r="G112" i="7"/>
  <c r="D112" i="7"/>
  <c r="C112" i="7"/>
  <c r="H111" i="7"/>
  <c r="G111" i="7"/>
  <c r="D111" i="7"/>
  <c r="C111" i="7"/>
  <c r="H110" i="7"/>
  <c r="G110" i="7"/>
  <c r="D110" i="7"/>
  <c r="C110" i="7"/>
  <c r="H109" i="7"/>
  <c r="G109" i="7"/>
  <c r="D109" i="7"/>
  <c r="C109" i="7"/>
  <c r="H108" i="7"/>
  <c r="G108" i="7"/>
  <c r="D108" i="7"/>
  <c r="C108" i="7"/>
  <c r="H107" i="7"/>
  <c r="G107" i="7"/>
  <c r="D107" i="7"/>
  <c r="C107" i="7"/>
  <c r="H106" i="7"/>
  <c r="G106" i="7"/>
  <c r="D106" i="7"/>
  <c r="C106" i="7"/>
  <c r="H105" i="7"/>
  <c r="G105" i="7"/>
  <c r="D105" i="7"/>
  <c r="C105" i="7"/>
  <c r="H104" i="7"/>
  <c r="G104" i="7"/>
  <c r="D104" i="7"/>
  <c r="C104" i="7"/>
  <c r="H103" i="7"/>
  <c r="G103" i="7"/>
  <c r="D103" i="7"/>
  <c r="C103" i="7"/>
  <c r="H102" i="7"/>
  <c r="G102" i="7"/>
  <c r="D102" i="7"/>
  <c r="C102" i="7"/>
  <c r="H101" i="7"/>
  <c r="G101" i="7"/>
  <c r="D101" i="7"/>
  <c r="C101" i="7"/>
  <c r="H100" i="7"/>
  <c r="G100" i="7"/>
  <c r="D100" i="7"/>
  <c r="C100" i="7"/>
  <c r="H99" i="7"/>
  <c r="G99" i="7"/>
  <c r="D99" i="7"/>
  <c r="C99" i="7"/>
  <c r="H98" i="7"/>
  <c r="G98" i="7"/>
  <c r="D98" i="7"/>
  <c r="C98" i="7"/>
  <c r="H97" i="7"/>
  <c r="G97" i="7"/>
  <c r="D97" i="7"/>
  <c r="C97" i="7"/>
  <c r="H96" i="7"/>
  <c r="G96" i="7"/>
  <c r="D96" i="7"/>
  <c r="C96" i="7"/>
  <c r="H95" i="7"/>
  <c r="G95" i="7"/>
  <c r="D95" i="7"/>
  <c r="C95" i="7"/>
  <c r="H94" i="7"/>
  <c r="G94" i="7"/>
  <c r="D94" i="7"/>
  <c r="C94" i="7"/>
  <c r="H93" i="7"/>
  <c r="G93" i="7"/>
  <c r="D93" i="7"/>
  <c r="C93" i="7"/>
  <c r="H92" i="7"/>
  <c r="G92" i="7"/>
  <c r="D92" i="7"/>
  <c r="C92" i="7"/>
  <c r="A92" i="7"/>
  <c r="H91" i="7"/>
  <c r="G91" i="7"/>
  <c r="D91" i="7"/>
  <c r="C91" i="7"/>
  <c r="H90" i="7"/>
  <c r="G90" i="7"/>
  <c r="D90" i="7"/>
  <c r="C90" i="7"/>
  <c r="H89" i="7"/>
  <c r="G89" i="7"/>
  <c r="D89" i="7"/>
  <c r="C89" i="7"/>
  <c r="H88" i="7"/>
  <c r="G88" i="7"/>
  <c r="D88" i="7"/>
  <c r="C88" i="7"/>
  <c r="A88" i="7"/>
  <c r="H87" i="7"/>
  <c r="G87" i="7"/>
  <c r="D87" i="7"/>
  <c r="C87" i="7"/>
  <c r="H86" i="7"/>
  <c r="G86" i="7"/>
  <c r="D86" i="7"/>
  <c r="C86" i="7"/>
  <c r="H85" i="7"/>
  <c r="G85" i="7"/>
  <c r="D85" i="7"/>
  <c r="C85" i="7"/>
  <c r="H84" i="7"/>
  <c r="G84" i="7"/>
  <c r="D84" i="7"/>
  <c r="C84" i="7"/>
  <c r="A84" i="7"/>
  <c r="H83" i="7"/>
  <c r="G83" i="7"/>
  <c r="D83" i="7"/>
  <c r="C83" i="7"/>
  <c r="H82" i="7"/>
  <c r="G82" i="7"/>
  <c r="D82" i="7"/>
  <c r="C82" i="7"/>
  <c r="H81" i="7"/>
  <c r="G81" i="7"/>
  <c r="D81" i="7"/>
  <c r="C81" i="7"/>
  <c r="H80" i="7"/>
  <c r="G80" i="7"/>
  <c r="D80" i="7"/>
  <c r="C80" i="7"/>
  <c r="A80" i="7"/>
  <c r="H79" i="7"/>
  <c r="G79" i="7"/>
  <c r="D79" i="7"/>
  <c r="C79" i="7"/>
  <c r="H78" i="7"/>
  <c r="G78" i="7"/>
  <c r="D78" i="7"/>
  <c r="C78" i="7"/>
  <c r="H77" i="7"/>
  <c r="G77" i="7"/>
  <c r="D77" i="7"/>
  <c r="C77" i="7"/>
  <c r="H76" i="7"/>
  <c r="G76" i="7"/>
  <c r="D76" i="7"/>
  <c r="C76" i="7"/>
  <c r="A76" i="7"/>
  <c r="H75" i="7"/>
  <c r="G75" i="7"/>
  <c r="D75" i="7"/>
  <c r="C75" i="7"/>
  <c r="H74" i="7"/>
  <c r="G74" i="7"/>
  <c r="D74" i="7"/>
  <c r="C74" i="7"/>
  <c r="H73" i="7"/>
  <c r="G73" i="7"/>
  <c r="D73" i="7"/>
  <c r="C73" i="7"/>
  <c r="H72" i="7"/>
  <c r="G72" i="7"/>
  <c r="D72" i="7"/>
  <c r="C72" i="7"/>
  <c r="A72" i="7"/>
  <c r="H71" i="7"/>
  <c r="G71" i="7"/>
  <c r="D71" i="7"/>
  <c r="C71" i="7"/>
  <c r="H70" i="7"/>
  <c r="G70" i="7"/>
  <c r="D70" i="7"/>
  <c r="C70" i="7"/>
  <c r="H69" i="7"/>
  <c r="G69" i="7"/>
  <c r="D69" i="7"/>
  <c r="C69" i="7"/>
  <c r="H68" i="7"/>
  <c r="G68" i="7"/>
  <c r="D68" i="7"/>
  <c r="C68" i="7"/>
  <c r="A68" i="7"/>
  <c r="H67" i="7"/>
  <c r="G67" i="7"/>
  <c r="D67" i="7"/>
  <c r="C67" i="7"/>
  <c r="H66" i="7"/>
  <c r="G66" i="7"/>
  <c r="D66" i="7"/>
  <c r="C66" i="7"/>
  <c r="H65" i="7"/>
  <c r="G65" i="7"/>
  <c r="D65" i="7"/>
  <c r="C65" i="7"/>
  <c r="H64" i="7"/>
  <c r="G64" i="7"/>
  <c r="D64" i="7"/>
  <c r="C64" i="7"/>
  <c r="A64" i="7"/>
  <c r="H63" i="7"/>
  <c r="G63" i="7"/>
  <c r="D63" i="7"/>
  <c r="C63" i="7"/>
  <c r="H62" i="7"/>
  <c r="G62" i="7"/>
  <c r="D62" i="7"/>
  <c r="C62" i="7"/>
  <c r="H61" i="7"/>
  <c r="G61" i="7"/>
  <c r="D61" i="7"/>
  <c r="C61" i="7"/>
  <c r="H60" i="7"/>
  <c r="G60" i="7"/>
  <c r="D60" i="7"/>
  <c r="C60" i="7"/>
  <c r="A60" i="7"/>
  <c r="H59" i="7"/>
  <c r="G59" i="7"/>
  <c r="D59" i="7"/>
  <c r="C59" i="7"/>
  <c r="H58" i="7"/>
  <c r="G58" i="7"/>
  <c r="D58" i="7"/>
  <c r="C58" i="7"/>
  <c r="H57" i="7"/>
  <c r="G57" i="7"/>
  <c r="D57" i="7"/>
  <c r="C57" i="7"/>
  <c r="H56" i="7"/>
  <c r="G56" i="7"/>
  <c r="D56" i="7"/>
  <c r="C56" i="7"/>
  <c r="A56" i="7"/>
  <c r="H55" i="7"/>
  <c r="G55" i="7"/>
  <c r="D55" i="7"/>
  <c r="C55" i="7"/>
  <c r="N141" i="2"/>
  <c r="N133" i="2"/>
  <c r="N121" i="2"/>
  <c r="N109" i="2"/>
  <c r="N101" i="2"/>
  <c r="N81" i="2"/>
  <c r="N61" i="2"/>
  <c r="Q55" i="4"/>
  <c r="CO151" i="1"/>
  <c r="CI151" i="1" s="1"/>
  <c r="CM151" i="1"/>
  <c r="CL151" i="1"/>
  <c r="CH151" i="1"/>
  <c r="BZ151" i="1"/>
  <c r="BY151" i="1"/>
  <c r="BX151" i="1"/>
  <c r="BW151" i="1"/>
  <c r="BV151" i="1"/>
  <c r="BU151" i="1"/>
  <c r="BQ151" i="1"/>
  <c r="BL151" i="1"/>
  <c r="BK151" i="1"/>
  <c r="BJ151" i="1"/>
  <c r="BI151" i="1"/>
  <c r="BH151" i="1"/>
  <c r="BG151" i="1"/>
  <c r="BC151" i="1"/>
  <c r="AX151" i="1"/>
  <c r="AW151" i="1"/>
  <c r="AV151" i="1"/>
  <c r="AU151" i="1"/>
  <c r="AT151" i="1"/>
  <c r="AS151" i="1"/>
  <c r="AO151" i="1"/>
  <c r="AJ151" i="1"/>
  <c r="AI151" i="1"/>
  <c r="AH151" i="1"/>
  <c r="AG151" i="1"/>
  <c r="AF151" i="1"/>
  <c r="AE151" i="1"/>
  <c r="V151" i="1"/>
  <c r="W151" i="1" s="1"/>
  <c r="U151" i="1"/>
  <c r="Q151" i="1"/>
  <c r="P151" i="1"/>
  <c r="M151" i="1"/>
  <c r="L151" i="1"/>
  <c r="K151" i="1"/>
  <c r="J151" i="1"/>
  <c r="I151" i="1"/>
  <c r="H151" i="1" s="1"/>
  <c r="CO150" i="1"/>
  <c r="CI150" i="1" s="1"/>
  <c r="CM150" i="1"/>
  <c r="CL150" i="1"/>
  <c r="CH150" i="1"/>
  <c r="BZ150" i="1"/>
  <c r="BY150" i="1"/>
  <c r="BX150" i="1"/>
  <c r="BW150" i="1"/>
  <c r="BV150" i="1"/>
  <c r="BU150" i="1"/>
  <c r="BQ150" i="1"/>
  <c r="BL150" i="1"/>
  <c r="BK150" i="1"/>
  <c r="BJ150" i="1"/>
  <c r="BI150" i="1"/>
  <c r="BH150" i="1"/>
  <c r="BG150" i="1"/>
  <c r="BC150" i="1"/>
  <c r="AX150" i="1"/>
  <c r="AW150" i="1"/>
  <c r="AV150" i="1"/>
  <c r="AU150" i="1"/>
  <c r="AT150" i="1"/>
  <c r="AS150" i="1"/>
  <c r="AO150" i="1"/>
  <c r="AJ150" i="1"/>
  <c r="AI150" i="1"/>
  <c r="AH150" i="1"/>
  <c r="AG150" i="1"/>
  <c r="AF150" i="1"/>
  <c r="AE150" i="1"/>
  <c r="V150" i="1"/>
  <c r="X150" i="1" s="1"/>
  <c r="U150" i="1"/>
  <c r="Q150" i="1"/>
  <c r="S150" i="1" s="1"/>
  <c r="P150" i="1"/>
  <c r="M150" i="1"/>
  <c r="L150" i="1"/>
  <c r="K150" i="1"/>
  <c r="J150" i="1"/>
  <c r="I150" i="1"/>
  <c r="H150" i="1" s="1"/>
  <c r="CO149" i="1"/>
  <c r="CI149" i="1" s="1"/>
  <c r="CM149" i="1"/>
  <c r="CL149" i="1"/>
  <c r="CH149" i="1"/>
  <c r="BZ149" i="1"/>
  <c r="BY149" i="1"/>
  <c r="BX149" i="1"/>
  <c r="BW149" i="1"/>
  <c r="BV149" i="1"/>
  <c r="BU149" i="1"/>
  <c r="BQ149" i="1"/>
  <c r="BL149" i="1"/>
  <c r="BK149" i="1"/>
  <c r="BJ149" i="1"/>
  <c r="BI149" i="1"/>
  <c r="BH149" i="1"/>
  <c r="BG149" i="1"/>
  <c r="BC149" i="1"/>
  <c r="AX149" i="1"/>
  <c r="AW149" i="1"/>
  <c r="AV149" i="1"/>
  <c r="AU149" i="1"/>
  <c r="AT149" i="1"/>
  <c r="AS149" i="1"/>
  <c r="AO149" i="1"/>
  <c r="AJ149" i="1"/>
  <c r="AI149" i="1"/>
  <c r="AH149" i="1"/>
  <c r="AG149" i="1"/>
  <c r="AF149" i="1"/>
  <c r="AE149" i="1"/>
  <c r="V149" i="1"/>
  <c r="W149" i="1" s="1"/>
  <c r="U149" i="1"/>
  <c r="Q149" i="1"/>
  <c r="R149" i="1" s="1"/>
  <c r="P149" i="1"/>
  <c r="M149" i="1"/>
  <c r="L149" i="1"/>
  <c r="K149" i="1"/>
  <c r="J149" i="1"/>
  <c r="I149" i="1"/>
  <c r="CO148" i="1"/>
  <c r="CM148" i="1"/>
  <c r="CL148" i="1"/>
  <c r="CH148" i="1"/>
  <c r="BZ148" i="1"/>
  <c r="BY148" i="1"/>
  <c r="BX148" i="1"/>
  <c r="BW148" i="1"/>
  <c r="BV148" i="1"/>
  <c r="BU148" i="1"/>
  <c r="BQ148" i="1"/>
  <c r="BL148" i="1"/>
  <c r="BK148" i="1"/>
  <c r="BJ148" i="1"/>
  <c r="BI148" i="1"/>
  <c r="BH148" i="1"/>
  <c r="BG148" i="1"/>
  <c r="BC148" i="1"/>
  <c r="AX148" i="1"/>
  <c r="AW148" i="1"/>
  <c r="AV148" i="1"/>
  <c r="AU148" i="1"/>
  <c r="AT148" i="1"/>
  <c r="AS148" i="1"/>
  <c r="AO148" i="1"/>
  <c r="AJ148" i="1"/>
  <c r="AI148" i="1"/>
  <c r="AH148" i="1"/>
  <c r="AG148" i="1"/>
  <c r="AF148" i="1"/>
  <c r="AE148" i="1"/>
  <c r="V148" i="1"/>
  <c r="U148" i="1"/>
  <c r="Q148" i="1"/>
  <c r="S148" i="1" s="1"/>
  <c r="P148" i="1"/>
  <c r="M148" i="1"/>
  <c r="L148" i="1"/>
  <c r="K148" i="1"/>
  <c r="J148" i="1"/>
  <c r="I148" i="1"/>
  <c r="G148" i="1" s="1"/>
  <c r="CO147" i="1"/>
  <c r="CK147" i="1" s="1"/>
  <c r="CM147" i="1"/>
  <c r="CL147" i="1"/>
  <c r="CH147" i="1"/>
  <c r="BZ147" i="1"/>
  <c r="BY147" i="1"/>
  <c r="BX147" i="1"/>
  <c r="BW147" i="1"/>
  <c r="BV147" i="1"/>
  <c r="BU147" i="1"/>
  <c r="BQ147" i="1"/>
  <c r="BL147" i="1"/>
  <c r="BK147" i="1"/>
  <c r="BJ147" i="1"/>
  <c r="BI147" i="1"/>
  <c r="BH147" i="1"/>
  <c r="BG147" i="1"/>
  <c r="BC147" i="1"/>
  <c r="AX147" i="1"/>
  <c r="AW147" i="1"/>
  <c r="AV147" i="1"/>
  <c r="AU147" i="1"/>
  <c r="AT147" i="1"/>
  <c r="AS147" i="1"/>
  <c r="AO147" i="1"/>
  <c r="AJ147" i="1"/>
  <c r="AI147" i="1"/>
  <c r="AH147" i="1"/>
  <c r="AG147" i="1"/>
  <c r="AF147" i="1"/>
  <c r="AE147" i="1"/>
  <c r="V147" i="1"/>
  <c r="U147" i="1"/>
  <c r="Q147" i="1"/>
  <c r="P147" i="1"/>
  <c r="M147" i="1"/>
  <c r="L147" i="1"/>
  <c r="K147" i="1"/>
  <c r="J147" i="1"/>
  <c r="I147" i="1"/>
  <c r="F147" i="1" s="1"/>
  <c r="CO146" i="1"/>
  <c r="CK146" i="1" s="1"/>
  <c r="CM146" i="1"/>
  <c r="CL146" i="1"/>
  <c r="CH146" i="1"/>
  <c r="BZ146" i="1"/>
  <c r="BY146" i="1"/>
  <c r="BX146" i="1"/>
  <c r="BW146" i="1"/>
  <c r="BV146" i="1"/>
  <c r="BU146" i="1"/>
  <c r="BQ146" i="1"/>
  <c r="BL146" i="1"/>
  <c r="BK146" i="1"/>
  <c r="BJ146" i="1"/>
  <c r="BI146" i="1"/>
  <c r="BH146" i="1"/>
  <c r="BG146" i="1"/>
  <c r="BC146" i="1"/>
  <c r="AX146" i="1"/>
  <c r="AW146" i="1"/>
  <c r="AV146" i="1"/>
  <c r="AU146" i="1"/>
  <c r="AT146" i="1"/>
  <c r="AS146" i="1"/>
  <c r="AO146" i="1"/>
  <c r="AJ146" i="1"/>
  <c r="AI146" i="1"/>
  <c r="AH146" i="1"/>
  <c r="AG146" i="1"/>
  <c r="AF146" i="1"/>
  <c r="AE146" i="1"/>
  <c r="V146" i="1"/>
  <c r="X146" i="1" s="1"/>
  <c r="U146" i="1"/>
  <c r="Q146" i="1"/>
  <c r="S146" i="1" s="1"/>
  <c r="P146" i="1"/>
  <c r="M146" i="1"/>
  <c r="L146" i="1"/>
  <c r="K146" i="1"/>
  <c r="J146" i="1"/>
  <c r="I146" i="1"/>
  <c r="H146" i="1" s="1"/>
  <c r="CO145" i="1"/>
  <c r="CK145" i="1" s="1"/>
  <c r="CM145" i="1"/>
  <c r="CL145" i="1"/>
  <c r="CH145" i="1"/>
  <c r="BZ145" i="1"/>
  <c r="BY145" i="1"/>
  <c r="BX145" i="1"/>
  <c r="BW145" i="1"/>
  <c r="BV145" i="1"/>
  <c r="BU145" i="1"/>
  <c r="BQ145" i="1"/>
  <c r="BL145" i="1"/>
  <c r="BK145" i="1"/>
  <c r="BJ145" i="1"/>
  <c r="BI145" i="1"/>
  <c r="BH145" i="1"/>
  <c r="BG145" i="1"/>
  <c r="BC145" i="1"/>
  <c r="AX145" i="1"/>
  <c r="AW145" i="1"/>
  <c r="AV145" i="1"/>
  <c r="AU145" i="1"/>
  <c r="AT145" i="1"/>
  <c r="AS145" i="1"/>
  <c r="AO145" i="1"/>
  <c r="AJ145" i="1"/>
  <c r="AI145" i="1"/>
  <c r="AH145" i="1"/>
  <c r="AG145" i="1"/>
  <c r="AF145" i="1"/>
  <c r="AE145" i="1"/>
  <c r="V145" i="1"/>
  <c r="W145" i="1" s="1"/>
  <c r="U145" i="1"/>
  <c r="Q145" i="1"/>
  <c r="R145" i="1" s="1"/>
  <c r="P145" i="1"/>
  <c r="M145" i="1"/>
  <c r="L145" i="1"/>
  <c r="K145" i="1"/>
  <c r="J145" i="1"/>
  <c r="I145" i="1"/>
  <c r="CO144" i="1"/>
  <c r="CM144" i="1"/>
  <c r="CL144" i="1"/>
  <c r="CH144" i="1"/>
  <c r="BZ144" i="1"/>
  <c r="BY144" i="1"/>
  <c r="BX144" i="1"/>
  <c r="BW144" i="1"/>
  <c r="BV144" i="1"/>
  <c r="BU144" i="1"/>
  <c r="BQ144" i="1"/>
  <c r="BL144" i="1"/>
  <c r="BK144" i="1"/>
  <c r="BJ144" i="1"/>
  <c r="BI144" i="1"/>
  <c r="BH144" i="1"/>
  <c r="BG144" i="1"/>
  <c r="BC144" i="1"/>
  <c r="AX144" i="1"/>
  <c r="AW144" i="1"/>
  <c r="AV144" i="1"/>
  <c r="AU144" i="1"/>
  <c r="AT144" i="1"/>
  <c r="AS144" i="1"/>
  <c r="AO144" i="1"/>
  <c r="AJ144" i="1"/>
  <c r="AI144" i="1"/>
  <c r="AH144" i="1"/>
  <c r="AG144" i="1"/>
  <c r="AF144" i="1"/>
  <c r="AE144" i="1"/>
  <c r="V144" i="1"/>
  <c r="X144" i="1" s="1"/>
  <c r="U144" i="1"/>
  <c r="Q144" i="1"/>
  <c r="P144" i="1"/>
  <c r="M144" i="1"/>
  <c r="L144" i="1"/>
  <c r="K144" i="1"/>
  <c r="J144" i="1"/>
  <c r="I144" i="1"/>
  <c r="G144" i="1" s="1"/>
  <c r="CO143" i="1"/>
  <c r="CK143" i="1" s="1"/>
  <c r="CM143" i="1"/>
  <c r="CL143" i="1"/>
  <c r="CH143" i="1"/>
  <c r="BZ143" i="1"/>
  <c r="BY143" i="1"/>
  <c r="BX143" i="1"/>
  <c r="BW143" i="1"/>
  <c r="BV143" i="1"/>
  <c r="BU143" i="1"/>
  <c r="BQ143" i="1"/>
  <c r="BL143" i="1"/>
  <c r="BK143" i="1"/>
  <c r="BJ143" i="1"/>
  <c r="BI143" i="1"/>
  <c r="BH143" i="1"/>
  <c r="BG143" i="1"/>
  <c r="BC143" i="1"/>
  <c r="AX143" i="1"/>
  <c r="AW143" i="1"/>
  <c r="AV143" i="1"/>
  <c r="AU143" i="1"/>
  <c r="AT143" i="1"/>
  <c r="AS143" i="1"/>
  <c r="AO143" i="1"/>
  <c r="AJ143" i="1"/>
  <c r="AI143" i="1"/>
  <c r="AH143" i="1"/>
  <c r="AG143" i="1"/>
  <c r="AF143" i="1"/>
  <c r="AE143" i="1"/>
  <c r="V143" i="1"/>
  <c r="U143" i="1"/>
  <c r="Q143" i="1"/>
  <c r="P143" i="1"/>
  <c r="M143" i="1"/>
  <c r="L143" i="1"/>
  <c r="K143" i="1"/>
  <c r="J143" i="1"/>
  <c r="I143" i="1"/>
  <c r="F143" i="1" s="1"/>
  <c r="CO142" i="1"/>
  <c r="CK142" i="1" s="1"/>
  <c r="CM142" i="1"/>
  <c r="CL142" i="1"/>
  <c r="CH142" i="1"/>
  <c r="BZ142" i="1"/>
  <c r="BY142" i="1"/>
  <c r="BX142" i="1"/>
  <c r="BW142" i="1"/>
  <c r="BV142" i="1"/>
  <c r="BU142" i="1"/>
  <c r="BQ142" i="1"/>
  <c r="BL142" i="1"/>
  <c r="BK142" i="1"/>
  <c r="BJ142" i="1"/>
  <c r="BI142" i="1"/>
  <c r="BH142" i="1"/>
  <c r="BG142" i="1"/>
  <c r="BC142" i="1"/>
  <c r="AX142" i="1"/>
  <c r="AW142" i="1"/>
  <c r="AV142" i="1"/>
  <c r="AU142" i="1"/>
  <c r="AT142" i="1"/>
  <c r="AS142" i="1"/>
  <c r="AO142" i="1"/>
  <c r="AJ142" i="1"/>
  <c r="AI142" i="1"/>
  <c r="AH142" i="1"/>
  <c r="AG142" i="1"/>
  <c r="AF142" i="1"/>
  <c r="AE142" i="1"/>
  <c r="V142" i="1"/>
  <c r="X142" i="1" s="1"/>
  <c r="U142" i="1"/>
  <c r="Q142" i="1"/>
  <c r="S142" i="1" s="1"/>
  <c r="P142" i="1"/>
  <c r="M142" i="1"/>
  <c r="L142" i="1"/>
  <c r="K142" i="1"/>
  <c r="J142" i="1"/>
  <c r="I142" i="1"/>
  <c r="H142" i="1" s="1"/>
  <c r="CO141" i="1"/>
  <c r="CK141" i="1" s="1"/>
  <c r="CM141" i="1"/>
  <c r="CL141" i="1"/>
  <c r="CH141" i="1"/>
  <c r="BZ141" i="1"/>
  <c r="BY141" i="1"/>
  <c r="BX141" i="1"/>
  <c r="BW141" i="1"/>
  <c r="BV141" i="1"/>
  <c r="BU141" i="1"/>
  <c r="BQ141" i="1"/>
  <c r="BL141" i="1"/>
  <c r="BK141" i="1"/>
  <c r="BJ141" i="1"/>
  <c r="BI141" i="1"/>
  <c r="BH141" i="1"/>
  <c r="BG141" i="1"/>
  <c r="BC141" i="1"/>
  <c r="AX141" i="1"/>
  <c r="AW141" i="1"/>
  <c r="AV141" i="1"/>
  <c r="AU141" i="1"/>
  <c r="AT141" i="1"/>
  <c r="AS141" i="1"/>
  <c r="AO141" i="1"/>
  <c r="AJ141" i="1"/>
  <c r="AI141" i="1"/>
  <c r="AH141" i="1"/>
  <c r="AG141" i="1"/>
  <c r="AF141" i="1"/>
  <c r="AE141" i="1"/>
  <c r="V141" i="1"/>
  <c r="W141" i="1" s="1"/>
  <c r="U141" i="1"/>
  <c r="Q141" i="1"/>
  <c r="R141" i="1" s="1"/>
  <c r="P141" i="1"/>
  <c r="M141" i="1"/>
  <c r="L141" i="1"/>
  <c r="K141" i="1"/>
  <c r="J141" i="1"/>
  <c r="I141" i="1"/>
  <c r="CO140" i="1"/>
  <c r="CM140" i="1"/>
  <c r="CL140" i="1"/>
  <c r="CH140" i="1"/>
  <c r="BZ140" i="1"/>
  <c r="BY140" i="1"/>
  <c r="BX140" i="1"/>
  <c r="BW140" i="1"/>
  <c r="BV140" i="1"/>
  <c r="BU140" i="1"/>
  <c r="BQ140" i="1"/>
  <c r="BL140" i="1"/>
  <c r="BK140" i="1"/>
  <c r="BJ140" i="1"/>
  <c r="BI140" i="1"/>
  <c r="BH140" i="1"/>
  <c r="BG140" i="1"/>
  <c r="BC140" i="1"/>
  <c r="AX140" i="1"/>
  <c r="AW140" i="1"/>
  <c r="AV140" i="1"/>
  <c r="AU140" i="1"/>
  <c r="AT140" i="1"/>
  <c r="AS140" i="1"/>
  <c r="AO140" i="1"/>
  <c r="AJ140" i="1"/>
  <c r="AI140" i="1"/>
  <c r="AH140" i="1"/>
  <c r="AG140" i="1"/>
  <c r="AF140" i="1"/>
  <c r="AE140" i="1"/>
  <c r="V140" i="1"/>
  <c r="X140" i="1" s="1"/>
  <c r="U140" i="1"/>
  <c r="Q140" i="1"/>
  <c r="P140" i="1"/>
  <c r="M140" i="1"/>
  <c r="L140" i="1"/>
  <c r="K140" i="1"/>
  <c r="J140" i="1"/>
  <c r="I140" i="1"/>
  <c r="F140" i="1" s="1"/>
  <c r="CO139" i="1"/>
  <c r="CK139" i="1" s="1"/>
  <c r="CM139" i="1"/>
  <c r="CL139" i="1"/>
  <c r="CH139" i="1"/>
  <c r="BZ139" i="1"/>
  <c r="BY139" i="1"/>
  <c r="BX139" i="1"/>
  <c r="BW139" i="1"/>
  <c r="BV139" i="1"/>
  <c r="BU139" i="1"/>
  <c r="BQ139" i="1"/>
  <c r="BL139" i="1"/>
  <c r="BK139" i="1"/>
  <c r="BJ139" i="1"/>
  <c r="BI139" i="1"/>
  <c r="BH139" i="1"/>
  <c r="BG139" i="1"/>
  <c r="BC139" i="1"/>
  <c r="AX139" i="1"/>
  <c r="AW139" i="1"/>
  <c r="AV139" i="1"/>
  <c r="AU139" i="1"/>
  <c r="AT139" i="1"/>
  <c r="AS139" i="1"/>
  <c r="AO139" i="1"/>
  <c r="AJ139" i="1"/>
  <c r="AI139" i="1"/>
  <c r="AH139" i="1"/>
  <c r="AG139" i="1"/>
  <c r="AF139" i="1"/>
  <c r="AE139" i="1"/>
  <c r="V139" i="1"/>
  <c r="U139" i="1"/>
  <c r="Q139" i="1"/>
  <c r="P139" i="1"/>
  <c r="M139" i="1"/>
  <c r="L139" i="1"/>
  <c r="K139" i="1"/>
  <c r="J139" i="1"/>
  <c r="I139" i="1"/>
  <c r="G139" i="1" s="1"/>
  <c r="CO138" i="1"/>
  <c r="CI138" i="1" s="1"/>
  <c r="CM138" i="1"/>
  <c r="CL138" i="1"/>
  <c r="CH138" i="1"/>
  <c r="BZ138" i="1"/>
  <c r="BY138" i="1"/>
  <c r="BX138" i="1"/>
  <c r="BW138" i="1"/>
  <c r="BV138" i="1"/>
  <c r="BU138" i="1"/>
  <c r="BQ138" i="1"/>
  <c r="BL138" i="1"/>
  <c r="BK138" i="1"/>
  <c r="BJ138" i="1"/>
  <c r="BI138" i="1"/>
  <c r="BH138" i="1"/>
  <c r="BG138" i="1"/>
  <c r="BC138" i="1"/>
  <c r="AX138" i="1"/>
  <c r="AW138" i="1"/>
  <c r="AV138" i="1"/>
  <c r="AU138" i="1"/>
  <c r="AT138" i="1"/>
  <c r="AS138" i="1"/>
  <c r="AO138" i="1"/>
  <c r="AJ138" i="1"/>
  <c r="AI138" i="1"/>
  <c r="AH138" i="1"/>
  <c r="AG138" i="1"/>
  <c r="AF138" i="1"/>
  <c r="AE138" i="1"/>
  <c r="V138" i="1"/>
  <c r="W138" i="1" s="1"/>
  <c r="U138" i="1"/>
  <c r="Q138" i="1"/>
  <c r="R138" i="1" s="1"/>
  <c r="P138" i="1"/>
  <c r="M138" i="1"/>
  <c r="L138" i="1"/>
  <c r="K138" i="1"/>
  <c r="J138" i="1"/>
  <c r="I138" i="1"/>
  <c r="G138" i="1" s="1"/>
  <c r="CO137" i="1"/>
  <c r="CI137" i="1" s="1"/>
  <c r="CM137" i="1"/>
  <c r="CL137" i="1"/>
  <c r="CH137" i="1"/>
  <c r="BZ137" i="1"/>
  <c r="BY137" i="1"/>
  <c r="BX137" i="1"/>
  <c r="BW137" i="1"/>
  <c r="BV137" i="1"/>
  <c r="BU137" i="1"/>
  <c r="BQ137" i="1"/>
  <c r="BL137" i="1"/>
  <c r="BK137" i="1"/>
  <c r="BJ137" i="1"/>
  <c r="BI137" i="1"/>
  <c r="BH137" i="1"/>
  <c r="BG137" i="1"/>
  <c r="BC137" i="1"/>
  <c r="AX137" i="1"/>
  <c r="AW137" i="1"/>
  <c r="AV137" i="1"/>
  <c r="AU137" i="1"/>
  <c r="AT137" i="1"/>
  <c r="AS137" i="1"/>
  <c r="AO137" i="1"/>
  <c r="AJ137" i="1"/>
  <c r="AI137" i="1"/>
  <c r="AH137" i="1"/>
  <c r="AG137" i="1"/>
  <c r="AF137" i="1"/>
  <c r="AE137" i="1"/>
  <c r="V137" i="1"/>
  <c r="X137" i="1" s="1"/>
  <c r="U137" i="1"/>
  <c r="Q137" i="1"/>
  <c r="S137" i="1" s="1"/>
  <c r="P137" i="1"/>
  <c r="M137" i="1"/>
  <c r="L137" i="1"/>
  <c r="K137" i="1"/>
  <c r="J137" i="1"/>
  <c r="I137" i="1"/>
  <c r="CO136" i="1"/>
  <c r="CM136" i="1"/>
  <c r="CL136" i="1"/>
  <c r="CH136" i="1"/>
  <c r="BZ136" i="1"/>
  <c r="BY136" i="1"/>
  <c r="BX136" i="1"/>
  <c r="BW136" i="1"/>
  <c r="BV136" i="1"/>
  <c r="BU136" i="1"/>
  <c r="BQ136" i="1"/>
  <c r="BL136" i="1"/>
  <c r="BK136" i="1"/>
  <c r="BJ136" i="1"/>
  <c r="BI136" i="1"/>
  <c r="BH136" i="1"/>
  <c r="BG136" i="1"/>
  <c r="BC136" i="1"/>
  <c r="AX136" i="1"/>
  <c r="AW136" i="1"/>
  <c r="AV136" i="1"/>
  <c r="AU136" i="1"/>
  <c r="AT136" i="1"/>
  <c r="AS136" i="1"/>
  <c r="AO136" i="1"/>
  <c r="AJ136" i="1"/>
  <c r="AI136" i="1"/>
  <c r="AH136" i="1"/>
  <c r="AG136" i="1"/>
  <c r="AF136" i="1"/>
  <c r="AE136" i="1"/>
  <c r="V136" i="1"/>
  <c r="X136" i="1" s="1"/>
  <c r="U136" i="1"/>
  <c r="Q136" i="1"/>
  <c r="S136" i="1" s="1"/>
  <c r="P136" i="1"/>
  <c r="M136" i="1"/>
  <c r="L136" i="1"/>
  <c r="K136" i="1"/>
  <c r="J136" i="1"/>
  <c r="I136" i="1"/>
  <c r="CO135" i="1"/>
  <c r="CK135" i="1" s="1"/>
  <c r="CM135" i="1"/>
  <c r="CL135" i="1"/>
  <c r="CH135" i="1"/>
  <c r="BZ135" i="1"/>
  <c r="BY135" i="1"/>
  <c r="BX135" i="1"/>
  <c r="BW135" i="1"/>
  <c r="BV135" i="1"/>
  <c r="BU135" i="1"/>
  <c r="BQ135" i="1"/>
  <c r="BL135" i="1"/>
  <c r="BK135" i="1"/>
  <c r="BJ135" i="1"/>
  <c r="BI135" i="1"/>
  <c r="BH135" i="1"/>
  <c r="BG135" i="1"/>
  <c r="BC135" i="1"/>
  <c r="AX135" i="1"/>
  <c r="AW135" i="1"/>
  <c r="AV135" i="1"/>
  <c r="AU135" i="1"/>
  <c r="AT135" i="1"/>
  <c r="AS135" i="1"/>
  <c r="AO135" i="1"/>
  <c r="AJ135" i="1"/>
  <c r="AI135" i="1"/>
  <c r="AH135" i="1"/>
  <c r="AG135" i="1"/>
  <c r="AF135" i="1"/>
  <c r="AE135" i="1"/>
  <c r="V135" i="1"/>
  <c r="U135" i="1"/>
  <c r="Q135" i="1"/>
  <c r="P135" i="1"/>
  <c r="M135" i="1"/>
  <c r="L135" i="1"/>
  <c r="K135" i="1"/>
  <c r="J135" i="1"/>
  <c r="I135" i="1"/>
  <c r="G135" i="1" s="1"/>
  <c r="CO134" i="1"/>
  <c r="CI134" i="1" s="1"/>
  <c r="CM134" i="1"/>
  <c r="CL134" i="1"/>
  <c r="CH134" i="1"/>
  <c r="BZ134" i="1"/>
  <c r="BY134" i="1"/>
  <c r="BX134" i="1"/>
  <c r="BW134" i="1"/>
  <c r="BV134" i="1"/>
  <c r="BU134" i="1"/>
  <c r="BQ134" i="1"/>
  <c r="BL134" i="1"/>
  <c r="BK134" i="1"/>
  <c r="BJ134" i="1"/>
  <c r="BI134" i="1"/>
  <c r="BH134" i="1"/>
  <c r="BG134" i="1"/>
  <c r="BC134" i="1"/>
  <c r="AX134" i="1"/>
  <c r="AW134" i="1"/>
  <c r="AV134" i="1"/>
  <c r="AU134" i="1"/>
  <c r="AT134" i="1"/>
  <c r="AS134" i="1"/>
  <c r="AO134" i="1"/>
  <c r="AJ134" i="1"/>
  <c r="AI134" i="1"/>
  <c r="AH134" i="1"/>
  <c r="AG134" i="1"/>
  <c r="AF134" i="1"/>
  <c r="AE134" i="1"/>
  <c r="V134" i="1"/>
  <c r="W134" i="1" s="1"/>
  <c r="U134" i="1"/>
  <c r="Q134" i="1"/>
  <c r="R134" i="1" s="1"/>
  <c r="P134" i="1"/>
  <c r="M134" i="1"/>
  <c r="L134" i="1"/>
  <c r="K134" i="1"/>
  <c r="J134" i="1"/>
  <c r="I134" i="1"/>
  <c r="G134" i="1" s="1"/>
  <c r="CO133" i="1"/>
  <c r="CI133" i="1" s="1"/>
  <c r="CM133" i="1"/>
  <c r="CL133" i="1"/>
  <c r="CH133" i="1"/>
  <c r="BZ133" i="1"/>
  <c r="BY133" i="1"/>
  <c r="BX133" i="1"/>
  <c r="BW133" i="1"/>
  <c r="BV133" i="1"/>
  <c r="BU133" i="1"/>
  <c r="BQ133" i="1"/>
  <c r="BL133" i="1"/>
  <c r="BK133" i="1"/>
  <c r="BJ133" i="1"/>
  <c r="BI133" i="1"/>
  <c r="BH133" i="1"/>
  <c r="BG133" i="1"/>
  <c r="BC133" i="1"/>
  <c r="AX133" i="1"/>
  <c r="AW133" i="1"/>
  <c r="AV133" i="1"/>
  <c r="AU133" i="1"/>
  <c r="AT133" i="1"/>
  <c r="AS133" i="1"/>
  <c r="AO133" i="1"/>
  <c r="AJ133" i="1"/>
  <c r="AI133" i="1"/>
  <c r="AH133" i="1"/>
  <c r="AG133" i="1"/>
  <c r="AF133" i="1"/>
  <c r="AE133" i="1"/>
  <c r="V133" i="1"/>
  <c r="X133" i="1" s="1"/>
  <c r="U133" i="1"/>
  <c r="Q133" i="1"/>
  <c r="S133" i="1" s="1"/>
  <c r="P133" i="1"/>
  <c r="M133" i="1"/>
  <c r="L133" i="1"/>
  <c r="K133" i="1"/>
  <c r="J133" i="1"/>
  <c r="I133" i="1"/>
  <c r="CO132" i="1"/>
  <c r="CM132" i="1"/>
  <c r="CL132" i="1"/>
  <c r="CH132" i="1"/>
  <c r="BZ132" i="1"/>
  <c r="BY132" i="1"/>
  <c r="BX132" i="1"/>
  <c r="BW132" i="1"/>
  <c r="BV132" i="1"/>
  <c r="BU132" i="1"/>
  <c r="BQ132" i="1"/>
  <c r="BL132" i="1"/>
  <c r="BK132" i="1"/>
  <c r="BJ132" i="1"/>
  <c r="BI132" i="1"/>
  <c r="BH132" i="1"/>
  <c r="BG132" i="1"/>
  <c r="BC132" i="1"/>
  <c r="AX132" i="1"/>
  <c r="AW132" i="1"/>
  <c r="AV132" i="1"/>
  <c r="AU132" i="1"/>
  <c r="AT132" i="1"/>
  <c r="AS132" i="1"/>
  <c r="AO132" i="1"/>
  <c r="AJ132" i="1"/>
  <c r="AI132" i="1"/>
  <c r="AH132" i="1"/>
  <c r="AG132" i="1"/>
  <c r="AF132" i="1"/>
  <c r="AE132" i="1"/>
  <c r="V132" i="1"/>
  <c r="X132" i="1" s="1"/>
  <c r="U132" i="1"/>
  <c r="Q132" i="1"/>
  <c r="S132" i="1" s="1"/>
  <c r="P132" i="1"/>
  <c r="M132" i="1"/>
  <c r="L132" i="1"/>
  <c r="K132" i="1"/>
  <c r="J132" i="1"/>
  <c r="I132" i="1"/>
  <c r="CO131" i="1"/>
  <c r="CK131" i="1" s="1"/>
  <c r="CM131" i="1"/>
  <c r="CL131" i="1"/>
  <c r="CH131" i="1"/>
  <c r="BZ131" i="1"/>
  <c r="BY131" i="1"/>
  <c r="BX131" i="1"/>
  <c r="BW131" i="1"/>
  <c r="BV131" i="1"/>
  <c r="BU131" i="1"/>
  <c r="BQ131" i="1"/>
  <c r="BL131" i="1"/>
  <c r="BK131" i="1"/>
  <c r="BJ131" i="1"/>
  <c r="BI131" i="1"/>
  <c r="BH131" i="1"/>
  <c r="BG131" i="1"/>
  <c r="BC131" i="1"/>
  <c r="AX131" i="1"/>
  <c r="AW131" i="1"/>
  <c r="AV131" i="1"/>
  <c r="AU131" i="1"/>
  <c r="AT131" i="1"/>
  <c r="AS131" i="1"/>
  <c r="AO131" i="1"/>
  <c r="AJ131" i="1"/>
  <c r="AI131" i="1"/>
  <c r="AH131" i="1"/>
  <c r="AG131" i="1"/>
  <c r="AF131" i="1"/>
  <c r="AE131" i="1"/>
  <c r="V131" i="1"/>
  <c r="U131" i="1"/>
  <c r="Q131" i="1"/>
  <c r="P131" i="1"/>
  <c r="M131" i="1"/>
  <c r="L131" i="1"/>
  <c r="K131" i="1"/>
  <c r="J131" i="1"/>
  <c r="I131" i="1"/>
  <c r="H131" i="1" s="1"/>
  <c r="CO130" i="1"/>
  <c r="CK130" i="1" s="1"/>
  <c r="CM130" i="1"/>
  <c r="CL130" i="1"/>
  <c r="CH130" i="1"/>
  <c r="BZ130" i="1"/>
  <c r="BY130" i="1"/>
  <c r="BX130" i="1"/>
  <c r="BW130" i="1"/>
  <c r="BV130" i="1"/>
  <c r="BU130" i="1"/>
  <c r="BQ130" i="1"/>
  <c r="BL130" i="1"/>
  <c r="BK130" i="1"/>
  <c r="BJ130" i="1"/>
  <c r="BI130" i="1"/>
  <c r="BH130" i="1"/>
  <c r="BG130" i="1"/>
  <c r="BC130" i="1"/>
  <c r="AX130" i="1"/>
  <c r="AW130" i="1"/>
  <c r="AV130" i="1"/>
  <c r="AU130" i="1"/>
  <c r="AT130" i="1"/>
  <c r="AS130" i="1"/>
  <c r="AO130" i="1"/>
  <c r="AJ130" i="1"/>
  <c r="AI130" i="1"/>
  <c r="AH130" i="1"/>
  <c r="AG130" i="1"/>
  <c r="AF130" i="1"/>
  <c r="AE130" i="1"/>
  <c r="V130" i="1"/>
  <c r="W130" i="1" s="1"/>
  <c r="U130" i="1"/>
  <c r="Q130" i="1"/>
  <c r="R130" i="1" s="1"/>
  <c r="P130" i="1"/>
  <c r="M130" i="1"/>
  <c r="L130" i="1"/>
  <c r="K130" i="1"/>
  <c r="J130" i="1"/>
  <c r="I130" i="1"/>
  <c r="G130" i="1" s="1"/>
  <c r="CO129" i="1"/>
  <c r="CI129" i="1" s="1"/>
  <c r="CM129" i="1"/>
  <c r="CL129" i="1"/>
  <c r="CH129" i="1"/>
  <c r="BZ129" i="1"/>
  <c r="BY129" i="1"/>
  <c r="BX129" i="1"/>
  <c r="BW129" i="1"/>
  <c r="BV129" i="1"/>
  <c r="BU129" i="1"/>
  <c r="BQ129" i="1"/>
  <c r="BL129" i="1"/>
  <c r="BK129" i="1"/>
  <c r="BJ129" i="1"/>
  <c r="BI129" i="1"/>
  <c r="BH129" i="1"/>
  <c r="BG129" i="1"/>
  <c r="BC129" i="1"/>
  <c r="AX129" i="1"/>
  <c r="AW129" i="1"/>
  <c r="AV129" i="1"/>
  <c r="AU129" i="1"/>
  <c r="AT129" i="1"/>
  <c r="AS129" i="1"/>
  <c r="AO129" i="1"/>
  <c r="AJ129" i="1"/>
  <c r="AI129" i="1"/>
  <c r="AH129" i="1"/>
  <c r="AG129" i="1"/>
  <c r="AF129" i="1"/>
  <c r="AE129" i="1"/>
  <c r="V129" i="1"/>
  <c r="X129" i="1" s="1"/>
  <c r="U129" i="1"/>
  <c r="Q129" i="1"/>
  <c r="S129" i="1" s="1"/>
  <c r="P129" i="1"/>
  <c r="M129" i="1"/>
  <c r="L129" i="1"/>
  <c r="K129" i="1"/>
  <c r="J129" i="1"/>
  <c r="I129" i="1"/>
  <c r="CO128" i="1"/>
  <c r="CM128" i="1"/>
  <c r="CL128" i="1"/>
  <c r="CH128" i="1"/>
  <c r="BZ128" i="1"/>
  <c r="BY128" i="1"/>
  <c r="BX128" i="1"/>
  <c r="BW128" i="1"/>
  <c r="BV128" i="1"/>
  <c r="BU128" i="1"/>
  <c r="BQ128" i="1"/>
  <c r="BL128" i="1"/>
  <c r="BK128" i="1"/>
  <c r="BJ128" i="1"/>
  <c r="BI128" i="1"/>
  <c r="BH128" i="1"/>
  <c r="BG128" i="1"/>
  <c r="BC128" i="1"/>
  <c r="AX128" i="1"/>
  <c r="AW128" i="1"/>
  <c r="AV128" i="1"/>
  <c r="AU128" i="1"/>
  <c r="AT128" i="1"/>
  <c r="AS128" i="1"/>
  <c r="AO128" i="1"/>
  <c r="AJ128" i="1"/>
  <c r="AI128" i="1"/>
  <c r="AH128" i="1"/>
  <c r="AG128" i="1"/>
  <c r="AF128" i="1"/>
  <c r="AE128" i="1"/>
  <c r="V128" i="1"/>
  <c r="X128" i="1" s="1"/>
  <c r="U128" i="1"/>
  <c r="Q128" i="1"/>
  <c r="P128" i="1"/>
  <c r="M128" i="1"/>
  <c r="L128" i="1"/>
  <c r="K128" i="1"/>
  <c r="J128" i="1"/>
  <c r="I128" i="1"/>
  <c r="F128" i="1" s="1"/>
  <c r="CO127" i="1"/>
  <c r="CK127" i="1" s="1"/>
  <c r="CM127" i="1"/>
  <c r="CL127" i="1"/>
  <c r="CH127" i="1"/>
  <c r="BZ127" i="1"/>
  <c r="BY127" i="1"/>
  <c r="BX127" i="1"/>
  <c r="BW127" i="1"/>
  <c r="BV127" i="1"/>
  <c r="BU127" i="1"/>
  <c r="BQ127" i="1"/>
  <c r="BL127" i="1"/>
  <c r="BK127" i="1"/>
  <c r="BJ127" i="1"/>
  <c r="BI127" i="1"/>
  <c r="BH127" i="1"/>
  <c r="BG127" i="1"/>
  <c r="BC127" i="1"/>
  <c r="AX127" i="1"/>
  <c r="AW127" i="1"/>
  <c r="AV127" i="1"/>
  <c r="AU127" i="1"/>
  <c r="AT127" i="1"/>
  <c r="AS127" i="1"/>
  <c r="AO127" i="1"/>
  <c r="AJ127" i="1"/>
  <c r="AI127" i="1"/>
  <c r="AH127" i="1"/>
  <c r="AG127" i="1"/>
  <c r="AF127" i="1"/>
  <c r="AE127" i="1"/>
  <c r="V127" i="1"/>
  <c r="U127" i="1"/>
  <c r="Q127" i="1"/>
  <c r="P127" i="1"/>
  <c r="M127" i="1"/>
  <c r="L127" i="1"/>
  <c r="K127" i="1"/>
  <c r="J127" i="1"/>
  <c r="I127" i="1"/>
  <c r="CO126" i="1"/>
  <c r="CK126" i="1" s="1"/>
  <c r="CM126" i="1"/>
  <c r="CL126" i="1"/>
  <c r="CH126" i="1"/>
  <c r="BZ126" i="1"/>
  <c r="BY126" i="1"/>
  <c r="BX126" i="1"/>
  <c r="BW126" i="1"/>
  <c r="BV126" i="1"/>
  <c r="BU126" i="1"/>
  <c r="BQ126" i="1"/>
  <c r="BL126" i="1"/>
  <c r="BK126" i="1"/>
  <c r="BJ126" i="1"/>
  <c r="BI126" i="1"/>
  <c r="BH126" i="1"/>
  <c r="BG126" i="1"/>
  <c r="BC126" i="1"/>
  <c r="AX126" i="1"/>
  <c r="AW126" i="1"/>
  <c r="AV126" i="1"/>
  <c r="AU126" i="1"/>
  <c r="AT126" i="1"/>
  <c r="AS126" i="1"/>
  <c r="AO126" i="1"/>
  <c r="AJ126" i="1"/>
  <c r="AI126" i="1"/>
  <c r="AH126" i="1"/>
  <c r="AG126" i="1"/>
  <c r="AF126" i="1"/>
  <c r="AE126" i="1"/>
  <c r="V126" i="1"/>
  <c r="W126" i="1" s="1"/>
  <c r="U126" i="1"/>
  <c r="Q126" i="1"/>
  <c r="R126" i="1" s="1"/>
  <c r="P126" i="1"/>
  <c r="M126" i="1"/>
  <c r="L126" i="1"/>
  <c r="K126" i="1"/>
  <c r="J126" i="1"/>
  <c r="I126" i="1"/>
  <c r="G126" i="1" s="1"/>
  <c r="CO125" i="1"/>
  <c r="CI125" i="1" s="1"/>
  <c r="CM125" i="1"/>
  <c r="CL125" i="1"/>
  <c r="CH125" i="1"/>
  <c r="BZ125" i="1"/>
  <c r="BY125" i="1"/>
  <c r="BX125" i="1"/>
  <c r="BW125" i="1"/>
  <c r="BV125" i="1"/>
  <c r="BU125" i="1"/>
  <c r="BQ125" i="1"/>
  <c r="BL125" i="1"/>
  <c r="BK125" i="1"/>
  <c r="BJ125" i="1"/>
  <c r="BI125" i="1"/>
  <c r="BH125" i="1"/>
  <c r="BG125" i="1"/>
  <c r="BC125" i="1"/>
  <c r="AX125" i="1"/>
  <c r="AW125" i="1"/>
  <c r="AV125" i="1"/>
  <c r="AU125" i="1"/>
  <c r="AT125" i="1"/>
  <c r="AS125" i="1"/>
  <c r="AO125" i="1"/>
  <c r="AJ125" i="1"/>
  <c r="AI125" i="1"/>
  <c r="AH125" i="1"/>
  <c r="AG125" i="1"/>
  <c r="AF125" i="1"/>
  <c r="AE125" i="1"/>
  <c r="V125" i="1"/>
  <c r="U125" i="1"/>
  <c r="Q125" i="1"/>
  <c r="S125" i="1" s="1"/>
  <c r="P125" i="1"/>
  <c r="M125" i="1"/>
  <c r="L125" i="1"/>
  <c r="K125" i="1"/>
  <c r="J125" i="1"/>
  <c r="I125" i="1"/>
  <c r="CO124" i="1"/>
  <c r="CM124" i="1"/>
  <c r="CL124" i="1"/>
  <c r="CH124" i="1"/>
  <c r="BZ124" i="1"/>
  <c r="BY124" i="1"/>
  <c r="BX124" i="1"/>
  <c r="BW124" i="1"/>
  <c r="BV124" i="1"/>
  <c r="BU124" i="1"/>
  <c r="BQ124" i="1"/>
  <c r="BL124" i="1"/>
  <c r="BK124" i="1"/>
  <c r="BJ124" i="1"/>
  <c r="BI124" i="1"/>
  <c r="BH124" i="1"/>
  <c r="BG124" i="1"/>
  <c r="BC124" i="1"/>
  <c r="AX124" i="1"/>
  <c r="AW124" i="1"/>
  <c r="AV124" i="1"/>
  <c r="AU124" i="1"/>
  <c r="AT124" i="1"/>
  <c r="AS124" i="1"/>
  <c r="AO124" i="1"/>
  <c r="AJ124" i="1"/>
  <c r="AI124" i="1"/>
  <c r="AH124" i="1"/>
  <c r="AG124" i="1"/>
  <c r="AF124" i="1"/>
  <c r="AE124" i="1"/>
  <c r="V124" i="1"/>
  <c r="X124" i="1" s="1"/>
  <c r="U124" i="1"/>
  <c r="Q124" i="1"/>
  <c r="P124" i="1"/>
  <c r="M124" i="1"/>
  <c r="L124" i="1"/>
  <c r="K124" i="1"/>
  <c r="J124" i="1"/>
  <c r="I124" i="1"/>
  <c r="G124" i="1" s="1"/>
  <c r="CO123" i="1"/>
  <c r="CK123" i="1" s="1"/>
  <c r="CM123" i="1"/>
  <c r="CL123" i="1"/>
  <c r="CH123" i="1"/>
  <c r="BZ123" i="1"/>
  <c r="BY123" i="1"/>
  <c r="BX123" i="1"/>
  <c r="BW123" i="1"/>
  <c r="BV123" i="1"/>
  <c r="BU123" i="1"/>
  <c r="BQ123" i="1"/>
  <c r="BL123" i="1"/>
  <c r="BK123" i="1"/>
  <c r="BJ123" i="1"/>
  <c r="BI123" i="1"/>
  <c r="BH123" i="1"/>
  <c r="BG123" i="1"/>
  <c r="BC123" i="1"/>
  <c r="AX123" i="1"/>
  <c r="AW123" i="1"/>
  <c r="AV123" i="1"/>
  <c r="AU123" i="1"/>
  <c r="AT123" i="1"/>
  <c r="AS123" i="1"/>
  <c r="AO123" i="1"/>
  <c r="AJ123" i="1"/>
  <c r="AI123" i="1"/>
  <c r="AH123" i="1"/>
  <c r="AG123" i="1"/>
  <c r="AF123" i="1"/>
  <c r="AE123" i="1"/>
  <c r="V123" i="1"/>
  <c r="U123" i="1"/>
  <c r="Q123" i="1"/>
  <c r="P123" i="1"/>
  <c r="M123" i="1"/>
  <c r="L123" i="1"/>
  <c r="K123" i="1"/>
  <c r="J123" i="1"/>
  <c r="I123" i="1"/>
  <c r="CO122" i="1"/>
  <c r="CI122" i="1" s="1"/>
  <c r="CM122" i="1"/>
  <c r="CL122" i="1"/>
  <c r="CH122" i="1"/>
  <c r="BZ122" i="1"/>
  <c r="BY122" i="1"/>
  <c r="BX122" i="1"/>
  <c r="BW122" i="1"/>
  <c r="BV122" i="1"/>
  <c r="BU122" i="1"/>
  <c r="BQ122" i="1"/>
  <c r="BL122" i="1"/>
  <c r="BK122" i="1"/>
  <c r="BJ122" i="1"/>
  <c r="BI122" i="1"/>
  <c r="BH122" i="1"/>
  <c r="BG122" i="1"/>
  <c r="BC122" i="1"/>
  <c r="AX122" i="1"/>
  <c r="AW122" i="1"/>
  <c r="AV122" i="1"/>
  <c r="AU122" i="1"/>
  <c r="AT122" i="1"/>
  <c r="AS122" i="1"/>
  <c r="AO122" i="1"/>
  <c r="AJ122" i="1"/>
  <c r="AI122" i="1"/>
  <c r="AH122" i="1"/>
  <c r="AG122" i="1"/>
  <c r="AF122" i="1"/>
  <c r="AE122" i="1"/>
  <c r="V122" i="1"/>
  <c r="W122" i="1" s="1"/>
  <c r="U122" i="1"/>
  <c r="Q122" i="1"/>
  <c r="R122" i="1" s="1"/>
  <c r="P122" i="1"/>
  <c r="M122" i="1"/>
  <c r="L122" i="1"/>
  <c r="K122" i="1"/>
  <c r="J122" i="1"/>
  <c r="I122" i="1"/>
  <c r="G122" i="1" s="1"/>
  <c r="CO121" i="1"/>
  <c r="CI121" i="1" s="1"/>
  <c r="CM121" i="1"/>
  <c r="CL121" i="1"/>
  <c r="CH121" i="1"/>
  <c r="BZ121" i="1"/>
  <c r="BY121" i="1"/>
  <c r="BX121" i="1"/>
  <c r="BW121" i="1"/>
  <c r="BV121" i="1"/>
  <c r="BU121" i="1"/>
  <c r="BQ121" i="1"/>
  <c r="BL121" i="1"/>
  <c r="BK121" i="1"/>
  <c r="BJ121" i="1"/>
  <c r="BI121" i="1"/>
  <c r="BH121" i="1"/>
  <c r="BG121" i="1"/>
  <c r="BC121" i="1"/>
  <c r="AX121" i="1"/>
  <c r="AW121" i="1"/>
  <c r="AV121" i="1"/>
  <c r="AU121" i="1"/>
  <c r="AT121" i="1"/>
  <c r="AS121" i="1"/>
  <c r="AO121" i="1"/>
  <c r="AJ121" i="1"/>
  <c r="AI121" i="1"/>
  <c r="AH121" i="1"/>
  <c r="AG121" i="1"/>
  <c r="AF121" i="1"/>
  <c r="AE121" i="1"/>
  <c r="V121" i="1"/>
  <c r="U121" i="1"/>
  <c r="Q121" i="1"/>
  <c r="S121" i="1" s="1"/>
  <c r="P121" i="1"/>
  <c r="M121" i="1"/>
  <c r="L121" i="1"/>
  <c r="K121" i="1"/>
  <c r="J121" i="1"/>
  <c r="I121" i="1"/>
  <c r="CO120" i="1"/>
  <c r="CJ120" i="1" s="1"/>
  <c r="CM120" i="1"/>
  <c r="CL120" i="1"/>
  <c r="CH120" i="1"/>
  <c r="BZ120" i="1"/>
  <c r="BY120" i="1"/>
  <c r="BX120" i="1"/>
  <c r="BW120" i="1"/>
  <c r="BV120" i="1"/>
  <c r="BU120" i="1"/>
  <c r="BQ120" i="1"/>
  <c r="BL120" i="1"/>
  <c r="BK120" i="1"/>
  <c r="BJ120" i="1"/>
  <c r="BI120" i="1"/>
  <c r="BH120" i="1"/>
  <c r="BG120" i="1"/>
  <c r="BC120" i="1"/>
  <c r="AX120" i="1"/>
  <c r="AW120" i="1"/>
  <c r="AV120" i="1"/>
  <c r="AU120" i="1"/>
  <c r="AT120" i="1"/>
  <c r="AS120" i="1"/>
  <c r="AO120" i="1"/>
  <c r="AJ120" i="1"/>
  <c r="AI120" i="1"/>
  <c r="AH120" i="1"/>
  <c r="AG120" i="1"/>
  <c r="AF120" i="1"/>
  <c r="AE120" i="1"/>
  <c r="V120" i="1"/>
  <c r="X120" i="1" s="1"/>
  <c r="U120" i="1"/>
  <c r="Q120" i="1"/>
  <c r="P120" i="1"/>
  <c r="M120" i="1"/>
  <c r="L120" i="1"/>
  <c r="K120" i="1"/>
  <c r="J120" i="1"/>
  <c r="I120" i="1"/>
  <c r="G120" i="1" s="1"/>
  <c r="CO119" i="1"/>
  <c r="CI119" i="1" s="1"/>
  <c r="CM119" i="1"/>
  <c r="CL119" i="1"/>
  <c r="CH119" i="1"/>
  <c r="BZ119" i="1"/>
  <c r="BY119" i="1"/>
  <c r="BX119" i="1"/>
  <c r="BW119" i="1"/>
  <c r="BV119" i="1"/>
  <c r="BU119" i="1"/>
  <c r="BQ119" i="1"/>
  <c r="BL119" i="1"/>
  <c r="BK119" i="1"/>
  <c r="BJ119" i="1"/>
  <c r="BI119" i="1"/>
  <c r="BH119" i="1"/>
  <c r="BG119" i="1"/>
  <c r="BC119" i="1"/>
  <c r="AX119" i="1"/>
  <c r="AW119" i="1"/>
  <c r="AV119" i="1"/>
  <c r="AU119" i="1"/>
  <c r="AT119" i="1"/>
  <c r="AS119" i="1"/>
  <c r="AO119" i="1"/>
  <c r="AJ119" i="1"/>
  <c r="AI119" i="1"/>
  <c r="AH119" i="1"/>
  <c r="AG119" i="1"/>
  <c r="AF119" i="1"/>
  <c r="AE119" i="1"/>
  <c r="V119" i="1"/>
  <c r="U119" i="1"/>
  <c r="Q119" i="1"/>
  <c r="R119" i="1" s="1"/>
  <c r="P119" i="1"/>
  <c r="M119" i="1"/>
  <c r="L119" i="1"/>
  <c r="K119" i="1"/>
  <c r="J119" i="1"/>
  <c r="I119" i="1"/>
  <c r="CO118" i="1"/>
  <c r="CJ118" i="1" s="1"/>
  <c r="CM118" i="1"/>
  <c r="CL118" i="1"/>
  <c r="CH118" i="1"/>
  <c r="BZ118" i="1"/>
  <c r="BY118" i="1"/>
  <c r="BX118" i="1"/>
  <c r="BW118" i="1"/>
  <c r="BV118" i="1"/>
  <c r="BU118" i="1"/>
  <c r="BQ118" i="1"/>
  <c r="BL118" i="1"/>
  <c r="BK118" i="1"/>
  <c r="BJ118" i="1"/>
  <c r="BI118" i="1"/>
  <c r="BH118" i="1"/>
  <c r="BG118" i="1"/>
  <c r="BC118" i="1"/>
  <c r="AX118" i="1"/>
  <c r="AW118" i="1"/>
  <c r="AV118" i="1"/>
  <c r="AU118" i="1"/>
  <c r="AT118" i="1"/>
  <c r="AS118" i="1"/>
  <c r="AO118" i="1"/>
  <c r="AJ118" i="1"/>
  <c r="AI118" i="1"/>
  <c r="AH118" i="1"/>
  <c r="AG118" i="1"/>
  <c r="AF118" i="1"/>
  <c r="AE118" i="1"/>
  <c r="V118" i="1"/>
  <c r="X118" i="1" s="1"/>
  <c r="U118" i="1"/>
  <c r="Q118" i="1"/>
  <c r="S118" i="1" s="1"/>
  <c r="P118" i="1"/>
  <c r="M118" i="1"/>
  <c r="L118" i="1"/>
  <c r="K118" i="1"/>
  <c r="J118" i="1"/>
  <c r="I118" i="1"/>
  <c r="G118" i="1" s="1"/>
  <c r="CO117" i="1"/>
  <c r="CJ117" i="1" s="1"/>
  <c r="CM117" i="1"/>
  <c r="CL117" i="1"/>
  <c r="CH117" i="1"/>
  <c r="BZ117" i="1"/>
  <c r="BY117" i="1"/>
  <c r="BX117" i="1"/>
  <c r="BW117" i="1"/>
  <c r="BV117" i="1"/>
  <c r="BU117" i="1"/>
  <c r="BQ117" i="1"/>
  <c r="BL117" i="1"/>
  <c r="BK117" i="1"/>
  <c r="BJ117" i="1"/>
  <c r="BI117" i="1"/>
  <c r="BH117" i="1"/>
  <c r="BG117" i="1"/>
  <c r="BC117" i="1"/>
  <c r="AX117" i="1"/>
  <c r="AW117" i="1"/>
  <c r="AV117" i="1"/>
  <c r="AU117" i="1"/>
  <c r="AT117" i="1"/>
  <c r="AS117" i="1"/>
  <c r="AO117" i="1"/>
  <c r="AJ117" i="1"/>
  <c r="AI117" i="1"/>
  <c r="AH117" i="1"/>
  <c r="AG117" i="1"/>
  <c r="AF117" i="1"/>
  <c r="AE117" i="1"/>
  <c r="V117" i="1"/>
  <c r="X117" i="1" s="1"/>
  <c r="U117" i="1"/>
  <c r="Q117" i="1"/>
  <c r="S117" i="1" s="1"/>
  <c r="P117" i="1"/>
  <c r="M117" i="1"/>
  <c r="L117" i="1"/>
  <c r="K117" i="1"/>
  <c r="J117" i="1"/>
  <c r="I117" i="1"/>
  <c r="F117" i="1" s="1"/>
  <c r="CO116" i="1"/>
  <c r="CK116" i="1" s="1"/>
  <c r="CM116" i="1"/>
  <c r="CL116" i="1"/>
  <c r="CH116" i="1"/>
  <c r="BZ116" i="1"/>
  <c r="BY116" i="1"/>
  <c r="BX116" i="1"/>
  <c r="BW116" i="1"/>
  <c r="BV116" i="1"/>
  <c r="BU116" i="1"/>
  <c r="BQ116" i="1"/>
  <c r="BL116" i="1"/>
  <c r="BK116" i="1"/>
  <c r="BJ116" i="1"/>
  <c r="BI116" i="1"/>
  <c r="BH116" i="1"/>
  <c r="BG116" i="1"/>
  <c r="BC116" i="1"/>
  <c r="AX116" i="1"/>
  <c r="AW116" i="1"/>
  <c r="AV116" i="1"/>
  <c r="AU116" i="1"/>
  <c r="AT116" i="1"/>
  <c r="AS116" i="1"/>
  <c r="AO116" i="1"/>
  <c r="AJ116" i="1"/>
  <c r="AI116" i="1"/>
  <c r="AH116" i="1"/>
  <c r="AG116" i="1"/>
  <c r="AF116" i="1"/>
  <c r="AE116" i="1"/>
  <c r="V116" i="1"/>
  <c r="X116" i="1" s="1"/>
  <c r="U116" i="1"/>
  <c r="Q116" i="1"/>
  <c r="P116" i="1"/>
  <c r="M116" i="1"/>
  <c r="L116" i="1"/>
  <c r="K116" i="1"/>
  <c r="J116" i="1"/>
  <c r="I116" i="1"/>
  <c r="CO115" i="1"/>
  <c r="CI115" i="1" s="1"/>
  <c r="CM115" i="1"/>
  <c r="CL115" i="1"/>
  <c r="CH115" i="1"/>
  <c r="BZ115" i="1"/>
  <c r="BY115" i="1"/>
  <c r="BX115" i="1"/>
  <c r="BW115" i="1"/>
  <c r="BV115" i="1"/>
  <c r="BU115" i="1"/>
  <c r="BQ115" i="1"/>
  <c r="BL115" i="1"/>
  <c r="BK115" i="1"/>
  <c r="BJ115" i="1"/>
  <c r="BI115" i="1"/>
  <c r="BH115" i="1"/>
  <c r="BG115" i="1"/>
  <c r="BC115" i="1"/>
  <c r="AX115" i="1"/>
  <c r="AW115" i="1"/>
  <c r="AV115" i="1"/>
  <c r="AU115" i="1"/>
  <c r="AT115" i="1"/>
  <c r="AS115" i="1"/>
  <c r="AO115" i="1"/>
  <c r="AJ115" i="1"/>
  <c r="AI115" i="1"/>
  <c r="AH115" i="1"/>
  <c r="AG115" i="1"/>
  <c r="AF115" i="1"/>
  <c r="AE115" i="1"/>
  <c r="V115" i="1"/>
  <c r="W115" i="1" s="1"/>
  <c r="U115" i="1"/>
  <c r="Q115" i="1"/>
  <c r="P115" i="1"/>
  <c r="M115" i="1"/>
  <c r="L115" i="1"/>
  <c r="K115" i="1"/>
  <c r="J115" i="1"/>
  <c r="I115" i="1"/>
  <c r="H115" i="1" s="1"/>
  <c r="CO114" i="1"/>
  <c r="CI114" i="1" s="1"/>
  <c r="CM114" i="1"/>
  <c r="CL114" i="1"/>
  <c r="CH114" i="1"/>
  <c r="BZ114" i="1"/>
  <c r="BY114" i="1"/>
  <c r="BX114" i="1"/>
  <c r="BW114" i="1"/>
  <c r="BV114" i="1"/>
  <c r="BU114" i="1"/>
  <c r="BQ114" i="1"/>
  <c r="BL114" i="1"/>
  <c r="BK114" i="1"/>
  <c r="BJ114" i="1"/>
  <c r="BI114" i="1"/>
  <c r="BH114" i="1"/>
  <c r="BG114" i="1"/>
  <c r="BC114" i="1"/>
  <c r="AX114" i="1"/>
  <c r="AW114" i="1"/>
  <c r="AV114" i="1"/>
  <c r="AU114" i="1"/>
  <c r="AT114" i="1"/>
  <c r="AS114" i="1"/>
  <c r="AO114" i="1"/>
  <c r="AJ114" i="1"/>
  <c r="AI114" i="1"/>
  <c r="AH114" i="1"/>
  <c r="AG114" i="1"/>
  <c r="AF114" i="1"/>
  <c r="AE114" i="1"/>
  <c r="V114" i="1"/>
  <c r="U114" i="1"/>
  <c r="Q114" i="1"/>
  <c r="S114" i="1" s="1"/>
  <c r="P114" i="1"/>
  <c r="M114" i="1"/>
  <c r="L114" i="1"/>
  <c r="K114" i="1"/>
  <c r="J114" i="1"/>
  <c r="I114" i="1"/>
  <c r="G114" i="1" s="1"/>
  <c r="CO113" i="1"/>
  <c r="CI113" i="1" s="1"/>
  <c r="CM113" i="1"/>
  <c r="CL113" i="1"/>
  <c r="CH113" i="1"/>
  <c r="BZ113" i="1"/>
  <c r="BY113" i="1"/>
  <c r="BX113" i="1"/>
  <c r="BW113" i="1"/>
  <c r="BV113" i="1"/>
  <c r="BU113" i="1"/>
  <c r="BQ113" i="1"/>
  <c r="BL113" i="1"/>
  <c r="BK113" i="1"/>
  <c r="BJ113" i="1"/>
  <c r="BI113" i="1"/>
  <c r="BH113" i="1"/>
  <c r="BG113" i="1"/>
  <c r="BC113" i="1"/>
  <c r="AX113" i="1"/>
  <c r="AW113" i="1"/>
  <c r="AV113" i="1"/>
  <c r="AU113" i="1"/>
  <c r="AT113" i="1"/>
  <c r="AS113" i="1"/>
  <c r="AO113" i="1"/>
  <c r="AJ113" i="1"/>
  <c r="AI113" i="1"/>
  <c r="AH113" i="1"/>
  <c r="AG113" i="1"/>
  <c r="AF113" i="1"/>
  <c r="AE113" i="1"/>
  <c r="V113" i="1"/>
  <c r="W113" i="1" s="1"/>
  <c r="U113" i="1"/>
  <c r="Q113" i="1"/>
  <c r="R113" i="1" s="1"/>
  <c r="P113" i="1"/>
  <c r="M113" i="1"/>
  <c r="L113" i="1"/>
  <c r="K113" i="1"/>
  <c r="J113" i="1"/>
  <c r="I113" i="1"/>
  <c r="CO112" i="1"/>
  <c r="CK112" i="1" s="1"/>
  <c r="CM112" i="1"/>
  <c r="CL112" i="1"/>
  <c r="CH112" i="1"/>
  <c r="BZ112" i="1"/>
  <c r="BY112" i="1"/>
  <c r="BX112" i="1"/>
  <c r="BW112" i="1"/>
  <c r="BV112" i="1"/>
  <c r="BU112" i="1"/>
  <c r="BQ112" i="1"/>
  <c r="BL112" i="1"/>
  <c r="BK112" i="1"/>
  <c r="BJ112" i="1"/>
  <c r="BI112" i="1"/>
  <c r="BH112" i="1"/>
  <c r="BG112" i="1"/>
  <c r="BC112" i="1"/>
  <c r="AX112" i="1"/>
  <c r="AW112" i="1"/>
  <c r="AV112" i="1"/>
  <c r="AU112" i="1"/>
  <c r="AT112" i="1"/>
  <c r="AS112" i="1"/>
  <c r="AO112" i="1"/>
  <c r="AJ112" i="1"/>
  <c r="AI112" i="1"/>
  <c r="AH112" i="1"/>
  <c r="AG112" i="1"/>
  <c r="AF112" i="1"/>
  <c r="AE112" i="1"/>
  <c r="V112" i="1"/>
  <c r="X112" i="1" s="1"/>
  <c r="U112" i="1"/>
  <c r="Q112" i="1"/>
  <c r="S112" i="1" s="1"/>
  <c r="P112" i="1"/>
  <c r="M112" i="1"/>
  <c r="L112" i="1"/>
  <c r="K112" i="1"/>
  <c r="J112" i="1"/>
  <c r="I112" i="1"/>
  <c r="CO111" i="1"/>
  <c r="CK111" i="1" s="1"/>
  <c r="CM111" i="1"/>
  <c r="CL111" i="1"/>
  <c r="CH111" i="1"/>
  <c r="BZ111" i="1"/>
  <c r="BY111" i="1"/>
  <c r="BX111" i="1"/>
  <c r="BW111" i="1"/>
  <c r="BV111" i="1"/>
  <c r="BU111" i="1"/>
  <c r="BQ111" i="1"/>
  <c r="BL111" i="1"/>
  <c r="BK111" i="1"/>
  <c r="BJ111" i="1"/>
  <c r="BI111" i="1"/>
  <c r="BH111" i="1"/>
  <c r="BG111" i="1"/>
  <c r="BC111" i="1"/>
  <c r="AX111" i="1"/>
  <c r="AW111" i="1"/>
  <c r="AV111" i="1"/>
  <c r="AU111" i="1"/>
  <c r="AT111" i="1"/>
  <c r="AS111" i="1"/>
  <c r="AO111" i="1"/>
  <c r="AJ111" i="1"/>
  <c r="AI111" i="1"/>
  <c r="AH111" i="1"/>
  <c r="AG111" i="1"/>
  <c r="AF111" i="1"/>
  <c r="AE111" i="1"/>
  <c r="V111" i="1"/>
  <c r="W111" i="1" s="1"/>
  <c r="U111" i="1"/>
  <c r="Q111" i="1"/>
  <c r="R111" i="1" s="1"/>
  <c r="P111" i="1"/>
  <c r="M111" i="1"/>
  <c r="L111" i="1"/>
  <c r="K111" i="1"/>
  <c r="J111" i="1"/>
  <c r="I111" i="1"/>
  <c r="CO110" i="1"/>
  <c r="CI110" i="1" s="1"/>
  <c r="CM110" i="1"/>
  <c r="CL110" i="1"/>
  <c r="CH110" i="1"/>
  <c r="BZ110" i="1"/>
  <c r="BY110" i="1"/>
  <c r="BX110" i="1"/>
  <c r="BW110" i="1"/>
  <c r="BV110" i="1"/>
  <c r="BU110" i="1"/>
  <c r="BQ110" i="1"/>
  <c r="BL110" i="1"/>
  <c r="BK110" i="1"/>
  <c r="BJ110" i="1"/>
  <c r="BI110" i="1"/>
  <c r="BH110" i="1"/>
  <c r="BG110" i="1"/>
  <c r="BC110" i="1"/>
  <c r="AX110" i="1"/>
  <c r="AW110" i="1"/>
  <c r="AV110" i="1"/>
  <c r="AU110" i="1"/>
  <c r="AT110" i="1"/>
  <c r="AS110" i="1"/>
  <c r="AO110" i="1"/>
  <c r="AJ110" i="1"/>
  <c r="AI110" i="1"/>
  <c r="AH110" i="1"/>
  <c r="AG110" i="1"/>
  <c r="AF110" i="1"/>
  <c r="AE110" i="1"/>
  <c r="V110" i="1"/>
  <c r="X110" i="1" s="1"/>
  <c r="U110" i="1"/>
  <c r="Q110" i="1"/>
  <c r="S110" i="1" s="1"/>
  <c r="P110" i="1"/>
  <c r="M110" i="1"/>
  <c r="L110" i="1"/>
  <c r="K110" i="1"/>
  <c r="J110" i="1"/>
  <c r="I110" i="1"/>
  <c r="CO109" i="1"/>
  <c r="CJ109" i="1" s="1"/>
  <c r="CM109" i="1"/>
  <c r="CL109" i="1"/>
  <c r="CH109" i="1"/>
  <c r="BZ109" i="1"/>
  <c r="BY109" i="1"/>
  <c r="BX109" i="1"/>
  <c r="BW109" i="1"/>
  <c r="BV109" i="1"/>
  <c r="BU109" i="1"/>
  <c r="BQ109" i="1"/>
  <c r="BL109" i="1"/>
  <c r="BK109" i="1"/>
  <c r="BJ109" i="1"/>
  <c r="BI109" i="1"/>
  <c r="BH109" i="1"/>
  <c r="BG109" i="1"/>
  <c r="BC109" i="1"/>
  <c r="AX109" i="1"/>
  <c r="AW109" i="1"/>
  <c r="AV109" i="1"/>
  <c r="AU109" i="1"/>
  <c r="AT109" i="1"/>
  <c r="AS109" i="1"/>
  <c r="AO109" i="1"/>
  <c r="AJ109" i="1"/>
  <c r="AI109" i="1"/>
  <c r="AH109" i="1"/>
  <c r="AG109" i="1"/>
  <c r="AF109" i="1"/>
  <c r="AE109" i="1"/>
  <c r="V109" i="1"/>
  <c r="X109" i="1" s="1"/>
  <c r="U109" i="1"/>
  <c r="Q109" i="1"/>
  <c r="S109" i="1" s="1"/>
  <c r="P109" i="1"/>
  <c r="M109" i="1"/>
  <c r="L109" i="1"/>
  <c r="K109" i="1"/>
  <c r="J109" i="1"/>
  <c r="I109" i="1"/>
  <c r="F109" i="1" s="1"/>
  <c r="CO108" i="1"/>
  <c r="CI108" i="1" s="1"/>
  <c r="CM108" i="1"/>
  <c r="CL108" i="1"/>
  <c r="CH108" i="1"/>
  <c r="BZ108" i="1"/>
  <c r="BY108" i="1"/>
  <c r="BX108" i="1"/>
  <c r="BW108" i="1"/>
  <c r="BV108" i="1"/>
  <c r="BU108" i="1"/>
  <c r="BQ108" i="1"/>
  <c r="BL108" i="1"/>
  <c r="BK108" i="1"/>
  <c r="BJ108" i="1"/>
  <c r="BI108" i="1"/>
  <c r="BH108" i="1"/>
  <c r="BG108" i="1"/>
  <c r="BC108" i="1"/>
  <c r="AX108" i="1"/>
  <c r="AW108" i="1"/>
  <c r="AV108" i="1"/>
  <c r="AU108" i="1"/>
  <c r="AT108" i="1"/>
  <c r="AS108" i="1"/>
  <c r="AO108" i="1"/>
  <c r="AJ108" i="1"/>
  <c r="AI108" i="1"/>
  <c r="AH108" i="1"/>
  <c r="AG108" i="1"/>
  <c r="AF108" i="1"/>
  <c r="AE108" i="1"/>
  <c r="V108" i="1"/>
  <c r="U108" i="1"/>
  <c r="Q108" i="1"/>
  <c r="P108" i="1"/>
  <c r="M108" i="1"/>
  <c r="L108" i="1"/>
  <c r="K108" i="1"/>
  <c r="J108" i="1"/>
  <c r="I108" i="1"/>
  <c r="H108" i="1" s="1"/>
  <c r="CO107" i="1"/>
  <c r="CI107" i="1" s="1"/>
  <c r="CM107" i="1"/>
  <c r="CL107" i="1"/>
  <c r="CH107" i="1"/>
  <c r="BZ107" i="1"/>
  <c r="BY107" i="1"/>
  <c r="BX107" i="1"/>
  <c r="BW107" i="1"/>
  <c r="BV107" i="1"/>
  <c r="BU107" i="1"/>
  <c r="BQ107" i="1"/>
  <c r="BL107" i="1"/>
  <c r="BK107" i="1"/>
  <c r="BJ107" i="1"/>
  <c r="BI107" i="1"/>
  <c r="BH107" i="1"/>
  <c r="BG107" i="1"/>
  <c r="BC107" i="1"/>
  <c r="AX107" i="1"/>
  <c r="AW107" i="1"/>
  <c r="AV107" i="1"/>
  <c r="AU107" i="1"/>
  <c r="AT107" i="1"/>
  <c r="AS107" i="1"/>
  <c r="AO107" i="1"/>
  <c r="AJ107" i="1"/>
  <c r="AI107" i="1"/>
  <c r="AH107" i="1"/>
  <c r="AG107" i="1"/>
  <c r="AF107" i="1"/>
  <c r="AE107" i="1"/>
  <c r="V107" i="1"/>
  <c r="U107" i="1"/>
  <c r="Q107" i="1"/>
  <c r="R107" i="1" s="1"/>
  <c r="P107" i="1"/>
  <c r="M107" i="1"/>
  <c r="L107" i="1"/>
  <c r="K107" i="1"/>
  <c r="J107" i="1"/>
  <c r="I107" i="1"/>
  <c r="H107" i="1" s="1"/>
  <c r="CO106" i="1"/>
  <c r="CI106" i="1" s="1"/>
  <c r="CM106" i="1"/>
  <c r="CL106" i="1"/>
  <c r="CH106" i="1"/>
  <c r="BZ106" i="1"/>
  <c r="BY106" i="1"/>
  <c r="BX106" i="1"/>
  <c r="BW106" i="1"/>
  <c r="BV106" i="1"/>
  <c r="BU106" i="1"/>
  <c r="BQ106" i="1"/>
  <c r="BL106" i="1"/>
  <c r="BK106" i="1"/>
  <c r="BJ106" i="1"/>
  <c r="BI106" i="1"/>
  <c r="BH106" i="1"/>
  <c r="BG106" i="1"/>
  <c r="BC106" i="1"/>
  <c r="AX106" i="1"/>
  <c r="AW106" i="1"/>
  <c r="AV106" i="1"/>
  <c r="AU106" i="1"/>
  <c r="AT106" i="1"/>
  <c r="AS106" i="1"/>
  <c r="AO106" i="1"/>
  <c r="AJ106" i="1"/>
  <c r="AI106" i="1"/>
  <c r="AH106" i="1"/>
  <c r="AG106" i="1"/>
  <c r="AF106" i="1"/>
  <c r="AE106" i="1"/>
  <c r="V106" i="1"/>
  <c r="X106" i="1" s="1"/>
  <c r="U106" i="1"/>
  <c r="Q106" i="1"/>
  <c r="S106" i="1" s="1"/>
  <c r="P106" i="1"/>
  <c r="M106" i="1"/>
  <c r="L106" i="1"/>
  <c r="K106" i="1"/>
  <c r="J106" i="1"/>
  <c r="I106" i="1"/>
  <c r="CO105" i="1"/>
  <c r="CM105" i="1"/>
  <c r="CL105" i="1"/>
  <c r="CH105" i="1"/>
  <c r="BZ105" i="1"/>
  <c r="BY105" i="1"/>
  <c r="BX105" i="1"/>
  <c r="BW105" i="1"/>
  <c r="BV105" i="1"/>
  <c r="BU105" i="1"/>
  <c r="BQ105" i="1"/>
  <c r="BL105" i="1"/>
  <c r="BK105" i="1"/>
  <c r="BJ105" i="1"/>
  <c r="BI105" i="1"/>
  <c r="BH105" i="1"/>
  <c r="BG105" i="1"/>
  <c r="BC105" i="1"/>
  <c r="AX105" i="1"/>
  <c r="AW105" i="1"/>
  <c r="AV105" i="1"/>
  <c r="AU105" i="1"/>
  <c r="AT105" i="1"/>
  <c r="AS105" i="1"/>
  <c r="AO105" i="1"/>
  <c r="AJ105" i="1"/>
  <c r="AI105" i="1"/>
  <c r="AH105" i="1"/>
  <c r="AG105" i="1"/>
  <c r="AF105" i="1"/>
  <c r="AE105" i="1"/>
  <c r="V105" i="1"/>
  <c r="X105" i="1" s="1"/>
  <c r="U105" i="1"/>
  <c r="Q105" i="1"/>
  <c r="S105" i="1" s="1"/>
  <c r="P105" i="1"/>
  <c r="M105" i="1"/>
  <c r="L105" i="1"/>
  <c r="K105" i="1"/>
  <c r="J105" i="1"/>
  <c r="I105" i="1"/>
  <c r="CO104" i="1"/>
  <c r="CK104" i="1" s="1"/>
  <c r="CM104" i="1"/>
  <c r="CL104" i="1"/>
  <c r="CH104" i="1"/>
  <c r="BZ104" i="1"/>
  <c r="BY104" i="1"/>
  <c r="BX104" i="1"/>
  <c r="BW104" i="1"/>
  <c r="BV104" i="1"/>
  <c r="BU104" i="1"/>
  <c r="BQ104" i="1"/>
  <c r="BL104" i="1"/>
  <c r="BK104" i="1"/>
  <c r="BJ104" i="1"/>
  <c r="BI104" i="1"/>
  <c r="BH104" i="1"/>
  <c r="BG104" i="1"/>
  <c r="BC104" i="1"/>
  <c r="AX104" i="1"/>
  <c r="AW104" i="1"/>
  <c r="AV104" i="1"/>
  <c r="AU104" i="1"/>
  <c r="AT104" i="1"/>
  <c r="AS104" i="1"/>
  <c r="AO104" i="1"/>
  <c r="AJ104" i="1"/>
  <c r="AI104" i="1"/>
  <c r="AH104" i="1"/>
  <c r="AG104" i="1"/>
  <c r="AF104" i="1"/>
  <c r="AE104" i="1"/>
  <c r="V104" i="1"/>
  <c r="U104" i="1"/>
  <c r="Q104" i="1"/>
  <c r="P104" i="1"/>
  <c r="M104" i="1"/>
  <c r="L104" i="1"/>
  <c r="K104" i="1"/>
  <c r="J104" i="1"/>
  <c r="I104" i="1"/>
  <c r="H104" i="1" s="1"/>
  <c r="CO103" i="1"/>
  <c r="CK103" i="1" s="1"/>
  <c r="CM103" i="1"/>
  <c r="CL103" i="1"/>
  <c r="CH103" i="1"/>
  <c r="BZ103" i="1"/>
  <c r="BY103" i="1"/>
  <c r="BX103" i="1"/>
  <c r="BW103" i="1"/>
  <c r="BV103" i="1"/>
  <c r="BU103" i="1"/>
  <c r="BQ103" i="1"/>
  <c r="BL103" i="1"/>
  <c r="BK103" i="1"/>
  <c r="BJ103" i="1"/>
  <c r="BI103" i="1"/>
  <c r="BH103" i="1"/>
  <c r="BG103" i="1"/>
  <c r="BC103" i="1"/>
  <c r="AX103" i="1"/>
  <c r="AW103" i="1"/>
  <c r="AV103" i="1"/>
  <c r="AU103" i="1"/>
  <c r="AT103" i="1"/>
  <c r="AS103" i="1"/>
  <c r="AO103" i="1"/>
  <c r="AJ103" i="1"/>
  <c r="AI103" i="1"/>
  <c r="AH103" i="1"/>
  <c r="AG103" i="1"/>
  <c r="AF103" i="1"/>
  <c r="AE103" i="1"/>
  <c r="V103" i="1"/>
  <c r="U103" i="1"/>
  <c r="Q103" i="1"/>
  <c r="R103" i="1" s="1"/>
  <c r="P103" i="1"/>
  <c r="M103" i="1"/>
  <c r="L103" i="1"/>
  <c r="K103" i="1"/>
  <c r="J103" i="1"/>
  <c r="I103" i="1"/>
  <c r="H103" i="1" s="1"/>
  <c r="CO102" i="1"/>
  <c r="CI102" i="1" s="1"/>
  <c r="CM102" i="1"/>
  <c r="CL102" i="1"/>
  <c r="CH102" i="1"/>
  <c r="BZ102" i="1"/>
  <c r="BY102" i="1"/>
  <c r="BX102" i="1"/>
  <c r="BW102" i="1"/>
  <c r="BV102" i="1"/>
  <c r="BU102" i="1"/>
  <c r="BQ102" i="1"/>
  <c r="BL102" i="1"/>
  <c r="BK102" i="1"/>
  <c r="BJ102" i="1"/>
  <c r="BI102" i="1"/>
  <c r="BH102" i="1"/>
  <c r="BG102" i="1"/>
  <c r="BC102" i="1"/>
  <c r="AX102" i="1"/>
  <c r="AW102" i="1"/>
  <c r="AV102" i="1"/>
  <c r="AU102" i="1"/>
  <c r="AT102" i="1"/>
  <c r="AS102" i="1"/>
  <c r="AO102" i="1"/>
  <c r="AJ102" i="1"/>
  <c r="AI102" i="1"/>
  <c r="AH102" i="1"/>
  <c r="AG102" i="1"/>
  <c r="AF102" i="1"/>
  <c r="AE102" i="1"/>
  <c r="V102" i="1"/>
  <c r="X102" i="1" s="1"/>
  <c r="U102" i="1"/>
  <c r="Q102" i="1"/>
  <c r="P102" i="1"/>
  <c r="M102" i="1"/>
  <c r="L102" i="1"/>
  <c r="K102" i="1"/>
  <c r="J102" i="1"/>
  <c r="I102" i="1"/>
  <c r="CO101" i="1"/>
  <c r="CM101" i="1"/>
  <c r="CL101" i="1"/>
  <c r="CH101" i="1"/>
  <c r="BZ101" i="1"/>
  <c r="BY101" i="1"/>
  <c r="BX101" i="1"/>
  <c r="BW101" i="1"/>
  <c r="BV101" i="1"/>
  <c r="BU101" i="1"/>
  <c r="BQ101" i="1"/>
  <c r="BL101" i="1"/>
  <c r="BK101" i="1"/>
  <c r="BJ101" i="1"/>
  <c r="BI101" i="1"/>
  <c r="BH101" i="1"/>
  <c r="BG101" i="1"/>
  <c r="BC101" i="1"/>
  <c r="AX101" i="1"/>
  <c r="AW101" i="1"/>
  <c r="AV101" i="1"/>
  <c r="AU101" i="1"/>
  <c r="AT101" i="1"/>
  <c r="AS101" i="1"/>
  <c r="AO101" i="1"/>
  <c r="AJ101" i="1"/>
  <c r="AI101" i="1"/>
  <c r="AH101" i="1"/>
  <c r="AG101" i="1"/>
  <c r="AF101" i="1"/>
  <c r="AE101" i="1"/>
  <c r="V101" i="1"/>
  <c r="X101" i="1" s="1"/>
  <c r="U101" i="1"/>
  <c r="Q101" i="1"/>
  <c r="S101" i="1" s="1"/>
  <c r="P101" i="1"/>
  <c r="M101" i="1"/>
  <c r="L101" i="1"/>
  <c r="K101" i="1"/>
  <c r="J101" i="1"/>
  <c r="I101" i="1"/>
  <c r="F101" i="1" s="1"/>
  <c r="CO100" i="1"/>
  <c r="CK100" i="1" s="1"/>
  <c r="CM100" i="1"/>
  <c r="CL100" i="1"/>
  <c r="CH100" i="1"/>
  <c r="BZ100" i="1"/>
  <c r="BY100" i="1"/>
  <c r="BX100" i="1"/>
  <c r="BW100" i="1"/>
  <c r="BV100" i="1"/>
  <c r="BU100" i="1"/>
  <c r="BQ100" i="1"/>
  <c r="BL100" i="1"/>
  <c r="BK100" i="1"/>
  <c r="BJ100" i="1"/>
  <c r="BI100" i="1"/>
  <c r="BH100" i="1"/>
  <c r="BG100" i="1"/>
  <c r="BC100" i="1"/>
  <c r="AX100" i="1"/>
  <c r="AW100" i="1"/>
  <c r="AV100" i="1"/>
  <c r="AU100" i="1"/>
  <c r="AT100" i="1"/>
  <c r="AS100" i="1"/>
  <c r="AO100" i="1"/>
  <c r="AJ100" i="1"/>
  <c r="AI100" i="1"/>
  <c r="AH100" i="1"/>
  <c r="AG100" i="1"/>
  <c r="AF100" i="1"/>
  <c r="AE100" i="1"/>
  <c r="V100" i="1"/>
  <c r="U100" i="1"/>
  <c r="Q100" i="1"/>
  <c r="P100" i="1"/>
  <c r="M100" i="1"/>
  <c r="L100" i="1"/>
  <c r="K100" i="1"/>
  <c r="J100" i="1"/>
  <c r="I100" i="1"/>
  <c r="CO99" i="1"/>
  <c r="CI99" i="1" s="1"/>
  <c r="CM99" i="1"/>
  <c r="CL99" i="1"/>
  <c r="CH99" i="1"/>
  <c r="BZ99" i="1"/>
  <c r="BY99" i="1"/>
  <c r="BX99" i="1"/>
  <c r="BW99" i="1"/>
  <c r="BV99" i="1"/>
  <c r="BU99" i="1"/>
  <c r="BQ99" i="1"/>
  <c r="BL99" i="1"/>
  <c r="BK99" i="1"/>
  <c r="BJ99" i="1"/>
  <c r="BI99" i="1"/>
  <c r="BH99" i="1"/>
  <c r="BG99" i="1"/>
  <c r="BC99" i="1"/>
  <c r="AX99" i="1"/>
  <c r="AW99" i="1"/>
  <c r="AV99" i="1"/>
  <c r="AU99" i="1"/>
  <c r="AT99" i="1"/>
  <c r="AS99" i="1"/>
  <c r="AO99" i="1"/>
  <c r="AJ99" i="1"/>
  <c r="AI99" i="1"/>
  <c r="AH99" i="1"/>
  <c r="AG99" i="1"/>
  <c r="AF99" i="1"/>
  <c r="AE99" i="1"/>
  <c r="V99" i="1"/>
  <c r="U99" i="1"/>
  <c r="Q99" i="1"/>
  <c r="R99" i="1" s="1"/>
  <c r="P99" i="1"/>
  <c r="M99" i="1"/>
  <c r="L99" i="1"/>
  <c r="K99" i="1"/>
  <c r="J99" i="1"/>
  <c r="I99" i="1"/>
  <c r="H99" i="1" s="1"/>
  <c r="CO98" i="1"/>
  <c r="CI98" i="1" s="1"/>
  <c r="CM98" i="1"/>
  <c r="CL98" i="1"/>
  <c r="CH98" i="1"/>
  <c r="BZ98" i="1"/>
  <c r="BY98" i="1"/>
  <c r="BX98" i="1"/>
  <c r="BW98" i="1"/>
  <c r="BV98" i="1"/>
  <c r="BU98" i="1"/>
  <c r="BQ98" i="1"/>
  <c r="BL98" i="1"/>
  <c r="BK98" i="1"/>
  <c r="BJ98" i="1"/>
  <c r="BI98" i="1"/>
  <c r="BH98" i="1"/>
  <c r="BG98" i="1"/>
  <c r="BC98" i="1"/>
  <c r="AX98" i="1"/>
  <c r="AW98" i="1"/>
  <c r="AV98" i="1"/>
  <c r="AU98" i="1"/>
  <c r="AT98" i="1"/>
  <c r="AS98" i="1"/>
  <c r="AO98" i="1"/>
  <c r="AJ98" i="1"/>
  <c r="AI98" i="1"/>
  <c r="AH98" i="1"/>
  <c r="AG98" i="1"/>
  <c r="AF98" i="1"/>
  <c r="AE98" i="1"/>
  <c r="V98" i="1"/>
  <c r="X98" i="1" s="1"/>
  <c r="U98" i="1"/>
  <c r="Q98" i="1"/>
  <c r="S98" i="1" s="1"/>
  <c r="P98" i="1"/>
  <c r="M98" i="1"/>
  <c r="L98" i="1"/>
  <c r="K98" i="1"/>
  <c r="J98" i="1"/>
  <c r="I98" i="1"/>
  <c r="CO97" i="1"/>
  <c r="CM97" i="1"/>
  <c r="CL97" i="1"/>
  <c r="CH97" i="1"/>
  <c r="BZ97" i="1"/>
  <c r="BY97" i="1"/>
  <c r="BX97" i="1"/>
  <c r="BW97" i="1"/>
  <c r="BV97" i="1"/>
  <c r="BU97" i="1"/>
  <c r="BQ97" i="1"/>
  <c r="BL97" i="1"/>
  <c r="BK97" i="1"/>
  <c r="BJ97" i="1"/>
  <c r="BI97" i="1"/>
  <c r="BH97" i="1"/>
  <c r="BG97" i="1"/>
  <c r="BC97" i="1"/>
  <c r="AX97" i="1"/>
  <c r="AW97" i="1"/>
  <c r="AV97" i="1"/>
  <c r="AU97" i="1"/>
  <c r="AT97" i="1"/>
  <c r="AS97" i="1"/>
  <c r="AO97" i="1"/>
  <c r="AJ97" i="1"/>
  <c r="AI97" i="1"/>
  <c r="AH97" i="1"/>
  <c r="AG97" i="1"/>
  <c r="AF97" i="1"/>
  <c r="AE97" i="1"/>
  <c r="V97" i="1"/>
  <c r="X97" i="1" s="1"/>
  <c r="U97" i="1"/>
  <c r="Q97" i="1"/>
  <c r="S97" i="1" s="1"/>
  <c r="P97" i="1"/>
  <c r="M97" i="1"/>
  <c r="L97" i="1"/>
  <c r="K97" i="1"/>
  <c r="J97" i="1"/>
  <c r="I97" i="1"/>
  <c r="H97" i="1" s="1"/>
  <c r="CO96" i="1"/>
  <c r="CK96" i="1" s="1"/>
  <c r="CM96" i="1"/>
  <c r="CL96" i="1"/>
  <c r="CH96" i="1"/>
  <c r="BZ96" i="1"/>
  <c r="BY96" i="1"/>
  <c r="BX96" i="1"/>
  <c r="BW96" i="1"/>
  <c r="BV96" i="1"/>
  <c r="BU96" i="1"/>
  <c r="BQ96" i="1"/>
  <c r="BL96" i="1"/>
  <c r="BK96" i="1"/>
  <c r="BJ96" i="1"/>
  <c r="BI96" i="1"/>
  <c r="BH96" i="1"/>
  <c r="BG96" i="1"/>
  <c r="BC96" i="1"/>
  <c r="AX96" i="1"/>
  <c r="AW96" i="1"/>
  <c r="AV96" i="1"/>
  <c r="AU96" i="1"/>
  <c r="AT96" i="1"/>
  <c r="AS96" i="1"/>
  <c r="AO96" i="1"/>
  <c r="AJ96" i="1"/>
  <c r="AI96" i="1"/>
  <c r="AH96" i="1"/>
  <c r="AG96" i="1"/>
  <c r="AF96" i="1"/>
  <c r="AE96" i="1"/>
  <c r="V96" i="1"/>
  <c r="U96" i="1"/>
  <c r="Q96" i="1"/>
  <c r="P96" i="1"/>
  <c r="M96" i="1"/>
  <c r="L96" i="1"/>
  <c r="K96" i="1"/>
  <c r="J96" i="1"/>
  <c r="I96" i="1"/>
  <c r="G96" i="1" s="1"/>
  <c r="CO95" i="1"/>
  <c r="CI95" i="1" s="1"/>
  <c r="CM95" i="1"/>
  <c r="CL95" i="1"/>
  <c r="CH95" i="1"/>
  <c r="BZ95" i="1"/>
  <c r="BY95" i="1"/>
  <c r="BX95" i="1"/>
  <c r="BW95" i="1"/>
  <c r="BV95" i="1"/>
  <c r="BU95" i="1"/>
  <c r="BQ95" i="1"/>
  <c r="BL95" i="1"/>
  <c r="BK95" i="1"/>
  <c r="BJ95" i="1"/>
  <c r="BI95" i="1"/>
  <c r="BH95" i="1"/>
  <c r="BG95" i="1"/>
  <c r="BC95" i="1"/>
  <c r="AX95" i="1"/>
  <c r="AW95" i="1"/>
  <c r="AV95" i="1"/>
  <c r="AU95" i="1"/>
  <c r="AT95" i="1"/>
  <c r="AS95" i="1"/>
  <c r="AO95" i="1"/>
  <c r="AJ95" i="1"/>
  <c r="AI95" i="1"/>
  <c r="AH95" i="1"/>
  <c r="AG95" i="1"/>
  <c r="AF95" i="1"/>
  <c r="AE95" i="1"/>
  <c r="V95" i="1"/>
  <c r="W95" i="1" s="1"/>
  <c r="U95" i="1"/>
  <c r="Q95" i="1"/>
  <c r="R95" i="1" s="1"/>
  <c r="P95" i="1"/>
  <c r="M95" i="1"/>
  <c r="L95" i="1"/>
  <c r="K95" i="1"/>
  <c r="J95" i="1"/>
  <c r="I95" i="1"/>
  <c r="H95" i="1" s="1"/>
  <c r="CO94" i="1"/>
  <c r="CI94" i="1" s="1"/>
  <c r="CM94" i="1"/>
  <c r="CL94" i="1"/>
  <c r="CH94" i="1"/>
  <c r="BZ94" i="1"/>
  <c r="BY94" i="1"/>
  <c r="BX94" i="1"/>
  <c r="BW94" i="1"/>
  <c r="BV94" i="1"/>
  <c r="BU94" i="1"/>
  <c r="BQ94" i="1"/>
  <c r="BL94" i="1"/>
  <c r="BK94" i="1"/>
  <c r="BJ94" i="1"/>
  <c r="BI94" i="1"/>
  <c r="BH94" i="1"/>
  <c r="BG94" i="1"/>
  <c r="BC94" i="1"/>
  <c r="AX94" i="1"/>
  <c r="AW94" i="1"/>
  <c r="AV94" i="1"/>
  <c r="AU94" i="1"/>
  <c r="AT94" i="1"/>
  <c r="AS94" i="1"/>
  <c r="AO94" i="1"/>
  <c r="AJ94" i="1"/>
  <c r="AI94" i="1"/>
  <c r="AH94" i="1"/>
  <c r="AG94" i="1"/>
  <c r="AF94" i="1"/>
  <c r="AE94" i="1"/>
  <c r="V94" i="1"/>
  <c r="X94" i="1" s="1"/>
  <c r="U94" i="1"/>
  <c r="Q94" i="1"/>
  <c r="S94" i="1" s="1"/>
  <c r="P94" i="1"/>
  <c r="M94" i="1"/>
  <c r="L94" i="1"/>
  <c r="K94" i="1"/>
  <c r="J94" i="1"/>
  <c r="I94" i="1"/>
  <c r="CO93" i="1"/>
  <c r="CM93" i="1"/>
  <c r="CL93" i="1"/>
  <c r="CH93" i="1"/>
  <c r="BZ93" i="1"/>
  <c r="BY93" i="1"/>
  <c r="BX93" i="1"/>
  <c r="BW93" i="1"/>
  <c r="BV93" i="1"/>
  <c r="BU93" i="1"/>
  <c r="BQ93" i="1"/>
  <c r="BL93" i="1"/>
  <c r="BK93" i="1"/>
  <c r="BJ93" i="1"/>
  <c r="BI93" i="1"/>
  <c r="BH93" i="1"/>
  <c r="BG93" i="1"/>
  <c r="BC93" i="1"/>
  <c r="AX93" i="1"/>
  <c r="AW93" i="1"/>
  <c r="AV93" i="1"/>
  <c r="AU93" i="1"/>
  <c r="AT93" i="1"/>
  <c r="AS93" i="1"/>
  <c r="AO93" i="1"/>
  <c r="AJ93" i="1"/>
  <c r="AI93" i="1"/>
  <c r="AH93" i="1"/>
  <c r="AG93" i="1"/>
  <c r="AF93" i="1"/>
  <c r="AE93" i="1"/>
  <c r="V93" i="1"/>
  <c r="X93" i="1" s="1"/>
  <c r="U93" i="1"/>
  <c r="Q93" i="1"/>
  <c r="S93" i="1" s="1"/>
  <c r="P93" i="1"/>
  <c r="M93" i="1"/>
  <c r="L93" i="1"/>
  <c r="K93" i="1"/>
  <c r="J93" i="1"/>
  <c r="I93" i="1"/>
  <c r="F93" i="1" s="1"/>
  <c r="CO92" i="1"/>
  <c r="CK92" i="1" s="1"/>
  <c r="CM92" i="1"/>
  <c r="CL92" i="1"/>
  <c r="CH92" i="1"/>
  <c r="BZ92" i="1"/>
  <c r="BY92" i="1"/>
  <c r="BX92" i="1"/>
  <c r="BW92" i="1"/>
  <c r="BV92" i="1"/>
  <c r="BU92" i="1"/>
  <c r="BQ92" i="1"/>
  <c r="BL92" i="1"/>
  <c r="BK92" i="1"/>
  <c r="BJ92" i="1"/>
  <c r="BI92" i="1"/>
  <c r="BH92" i="1"/>
  <c r="BG92" i="1"/>
  <c r="BC92" i="1"/>
  <c r="AX92" i="1"/>
  <c r="AW92" i="1"/>
  <c r="AV92" i="1"/>
  <c r="AU92" i="1"/>
  <c r="AT92" i="1"/>
  <c r="AS92" i="1"/>
  <c r="AO92" i="1"/>
  <c r="AJ92" i="1"/>
  <c r="AI92" i="1"/>
  <c r="AH92" i="1"/>
  <c r="AG92" i="1"/>
  <c r="AF92" i="1"/>
  <c r="AE92" i="1"/>
  <c r="V92" i="1"/>
  <c r="U92" i="1"/>
  <c r="Q92" i="1"/>
  <c r="P92" i="1"/>
  <c r="M92" i="1"/>
  <c r="L92" i="1"/>
  <c r="K92" i="1"/>
  <c r="J92" i="1"/>
  <c r="I92" i="1"/>
  <c r="G92" i="1" s="1"/>
  <c r="CO91" i="1"/>
  <c r="CI91" i="1" s="1"/>
  <c r="CM91" i="1"/>
  <c r="CL91" i="1"/>
  <c r="CH91" i="1"/>
  <c r="BZ91" i="1"/>
  <c r="BY91" i="1"/>
  <c r="BX91" i="1"/>
  <c r="BW91" i="1"/>
  <c r="BV91" i="1"/>
  <c r="BU91" i="1"/>
  <c r="BQ91" i="1"/>
  <c r="BL91" i="1"/>
  <c r="BK91" i="1"/>
  <c r="BJ91" i="1"/>
  <c r="BI91" i="1"/>
  <c r="BH91" i="1"/>
  <c r="BG91" i="1"/>
  <c r="BC91" i="1"/>
  <c r="AX91" i="1"/>
  <c r="AW91" i="1"/>
  <c r="AV91" i="1"/>
  <c r="AU91" i="1"/>
  <c r="AT91" i="1"/>
  <c r="AS91" i="1"/>
  <c r="AO91" i="1"/>
  <c r="AJ91" i="1"/>
  <c r="AI91" i="1"/>
  <c r="AH91" i="1"/>
  <c r="AG91" i="1"/>
  <c r="AF91" i="1"/>
  <c r="AE91" i="1"/>
  <c r="V91" i="1"/>
  <c r="W91" i="1" s="1"/>
  <c r="U91" i="1"/>
  <c r="Q91" i="1"/>
  <c r="R91" i="1" s="1"/>
  <c r="P91" i="1"/>
  <c r="M91" i="1"/>
  <c r="L91" i="1"/>
  <c r="K91" i="1"/>
  <c r="J91" i="1"/>
  <c r="I91" i="1"/>
  <c r="H91" i="1" s="1"/>
  <c r="CO90" i="1"/>
  <c r="CI90" i="1" s="1"/>
  <c r="CM90" i="1"/>
  <c r="CL90" i="1"/>
  <c r="CH90" i="1"/>
  <c r="BZ90" i="1"/>
  <c r="BY90" i="1"/>
  <c r="BX90" i="1"/>
  <c r="BW90" i="1"/>
  <c r="BV90" i="1"/>
  <c r="BU90" i="1"/>
  <c r="BQ90" i="1"/>
  <c r="BL90" i="1"/>
  <c r="BK90" i="1"/>
  <c r="BJ90" i="1"/>
  <c r="BI90" i="1"/>
  <c r="BH90" i="1"/>
  <c r="BG90" i="1"/>
  <c r="BC90" i="1"/>
  <c r="AX90" i="1"/>
  <c r="AW90" i="1"/>
  <c r="AV90" i="1"/>
  <c r="AU90" i="1"/>
  <c r="AT90" i="1"/>
  <c r="AS90" i="1"/>
  <c r="AO90" i="1"/>
  <c r="AJ90" i="1"/>
  <c r="AI90" i="1"/>
  <c r="AH90" i="1"/>
  <c r="AG90" i="1"/>
  <c r="AF90" i="1"/>
  <c r="AE90" i="1"/>
  <c r="V90" i="1"/>
  <c r="W90" i="1" s="1"/>
  <c r="U90" i="1"/>
  <c r="Q90" i="1"/>
  <c r="R90" i="1" s="1"/>
  <c r="P90" i="1"/>
  <c r="M90" i="1"/>
  <c r="L90" i="1"/>
  <c r="K90" i="1"/>
  <c r="J90" i="1"/>
  <c r="I90" i="1"/>
  <c r="CO89" i="1"/>
  <c r="CM89" i="1"/>
  <c r="CL89" i="1"/>
  <c r="CH89" i="1"/>
  <c r="BZ89" i="1"/>
  <c r="BY89" i="1"/>
  <c r="BX89" i="1"/>
  <c r="BW89" i="1"/>
  <c r="BV89" i="1"/>
  <c r="BU89" i="1"/>
  <c r="BQ89" i="1"/>
  <c r="BL89" i="1"/>
  <c r="BK89" i="1"/>
  <c r="BJ89" i="1"/>
  <c r="BI89" i="1"/>
  <c r="BH89" i="1"/>
  <c r="BG89" i="1"/>
  <c r="BC89" i="1"/>
  <c r="AX89" i="1"/>
  <c r="AW89" i="1"/>
  <c r="AV89" i="1"/>
  <c r="AU89" i="1"/>
  <c r="AT89" i="1"/>
  <c r="AS89" i="1"/>
  <c r="AO89" i="1"/>
  <c r="AJ89" i="1"/>
  <c r="AI89" i="1"/>
  <c r="AH89" i="1"/>
  <c r="AG89" i="1"/>
  <c r="AF89" i="1"/>
  <c r="AE89" i="1"/>
  <c r="V89" i="1"/>
  <c r="X89" i="1" s="1"/>
  <c r="U89" i="1"/>
  <c r="Q89" i="1"/>
  <c r="S89" i="1" s="1"/>
  <c r="P89" i="1"/>
  <c r="M89" i="1"/>
  <c r="L89" i="1"/>
  <c r="K89" i="1"/>
  <c r="J89" i="1"/>
  <c r="I89" i="1"/>
  <c r="F89" i="1" s="1"/>
  <c r="CO88" i="1"/>
  <c r="CK88" i="1" s="1"/>
  <c r="CM88" i="1"/>
  <c r="CL88" i="1"/>
  <c r="CH88" i="1"/>
  <c r="BZ88" i="1"/>
  <c r="BY88" i="1"/>
  <c r="BX88" i="1"/>
  <c r="BW88" i="1"/>
  <c r="BV88" i="1"/>
  <c r="BU88" i="1"/>
  <c r="BQ88" i="1"/>
  <c r="BL88" i="1"/>
  <c r="BK88" i="1"/>
  <c r="BJ88" i="1"/>
  <c r="BI88" i="1"/>
  <c r="BH88" i="1"/>
  <c r="BG88" i="1"/>
  <c r="BC88" i="1"/>
  <c r="AX88" i="1"/>
  <c r="AW88" i="1"/>
  <c r="AV88" i="1"/>
  <c r="AU88" i="1"/>
  <c r="AT88" i="1"/>
  <c r="AS88" i="1"/>
  <c r="AO88" i="1"/>
  <c r="AJ88" i="1"/>
  <c r="AI88" i="1"/>
  <c r="AH88" i="1"/>
  <c r="AG88" i="1"/>
  <c r="AF88" i="1"/>
  <c r="AE88" i="1"/>
  <c r="V88" i="1"/>
  <c r="U88" i="1"/>
  <c r="Q88" i="1"/>
  <c r="P88" i="1"/>
  <c r="M88" i="1"/>
  <c r="L88" i="1"/>
  <c r="K88" i="1"/>
  <c r="J88" i="1"/>
  <c r="I88" i="1"/>
  <c r="G88" i="1" s="1"/>
  <c r="CO87" i="1"/>
  <c r="CK87" i="1" s="1"/>
  <c r="CM87" i="1"/>
  <c r="CL87" i="1"/>
  <c r="CH87" i="1"/>
  <c r="BZ87" i="1"/>
  <c r="BY87" i="1"/>
  <c r="BX87" i="1"/>
  <c r="BW87" i="1"/>
  <c r="BV87" i="1"/>
  <c r="BU87" i="1"/>
  <c r="BQ87" i="1"/>
  <c r="BL87" i="1"/>
  <c r="BK87" i="1"/>
  <c r="BJ87" i="1"/>
  <c r="BI87" i="1"/>
  <c r="BH87" i="1"/>
  <c r="BG87" i="1"/>
  <c r="BC87" i="1"/>
  <c r="AX87" i="1"/>
  <c r="AW87" i="1"/>
  <c r="AV87" i="1"/>
  <c r="AU87" i="1"/>
  <c r="AT87" i="1"/>
  <c r="AS87" i="1"/>
  <c r="AO87" i="1"/>
  <c r="AJ87" i="1"/>
  <c r="AI87" i="1"/>
  <c r="AH87" i="1"/>
  <c r="AG87" i="1"/>
  <c r="AF87" i="1"/>
  <c r="AE87" i="1"/>
  <c r="V87" i="1"/>
  <c r="W87" i="1" s="1"/>
  <c r="U87" i="1"/>
  <c r="Q87" i="1"/>
  <c r="R87" i="1" s="1"/>
  <c r="P87" i="1"/>
  <c r="M87" i="1"/>
  <c r="L87" i="1"/>
  <c r="K87" i="1"/>
  <c r="J87" i="1"/>
  <c r="I87" i="1"/>
  <c r="H87" i="1" s="1"/>
  <c r="CO86" i="1"/>
  <c r="CI86" i="1" s="1"/>
  <c r="CM86" i="1"/>
  <c r="CL86" i="1"/>
  <c r="CH86" i="1"/>
  <c r="BZ86" i="1"/>
  <c r="BY86" i="1"/>
  <c r="BX86" i="1"/>
  <c r="BW86" i="1"/>
  <c r="BV86" i="1"/>
  <c r="BU86" i="1"/>
  <c r="BQ86" i="1"/>
  <c r="BL86" i="1"/>
  <c r="BK86" i="1"/>
  <c r="BJ86" i="1"/>
  <c r="BI86" i="1"/>
  <c r="BH86" i="1"/>
  <c r="BG86" i="1"/>
  <c r="BC86" i="1"/>
  <c r="AX86" i="1"/>
  <c r="AW86" i="1"/>
  <c r="AV86" i="1"/>
  <c r="AU86" i="1"/>
  <c r="AT86" i="1"/>
  <c r="AS86" i="1"/>
  <c r="AO86" i="1"/>
  <c r="AJ86" i="1"/>
  <c r="AI86" i="1"/>
  <c r="AH86" i="1"/>
  <c r="AG86" i="1"/>
  <c r="AF86" i="1"/>
  <c r="AE86" i="1"/>
  <c r="V86" i="1"/>
  <c r="X86" i="1" s="1"/>
  <c r="U86" i="1"/>
  <c r="Q86" i="1"/>
  <c r="S86" i="1" s="1"/>
  <c r="P86" i="1"/>
  <c r="M86" i="1"/>
  <c r="L86" i="1"/>
  <c r="K86" i="1"/>
  <c r="J86" i="1"/>
  <c r="I86" i="1"/>
  <c r="CO85" i="1"/>
  <c r="CM85" i="1"/>
  <c r="CL85" i="1"/>
  <c r="CH85" i="1"/>
  <c r="BZ85" i="1"/>
  <c r="BY85" i="1"/>
  <c r="BX85" i="1"/>
  <c r="BW85" i="1"/>
  <c r="BV85" i="1"/>
  <c r="BU85" i="1"/>
  <c r="BQ85" i="1"/>
  <c r="BL85" i="1"/>
  <c r="BK85" i="1"/>
  <c r="BJ85" i="1"/>
  <c r="BI85" i="1"/>
  <c r="BH85" i="1"/>
  <c r="BG85" i="1"/>
  <c r="BC85" i="1"/>
  <c r="AX85" i="1"/>
  <c r="AW85" i="1"/>
  <c r="AV85" i="1"/>
  <c r="AU85" i="1"/>
  <c r="AT85" i="1"/>
  <c r="AS85" i="1"/>
  <c r="AO85" i="1"/>
  <c r="AJ85" i="1"/>
  <c r="AI85" i="1"/>
  <c r="AH85" i="1"/>
  <c r="AG85" i="1"/>
  <c r="AF85" i="1"/>
  <c r="AE85" i="1"/>
  <c r="V85" i="1"/>
  <c r="X85" i="1" s="1"/>
  <c r="U85" i="1"/>
  <c r="Q85" i="1"/>
  <c r="S85" i="1" s="1"/>
  <c r="P85" i="1"/>
  <c r="M85" i="1"/>
  <c r="L85" i="1"/>
  <c r="K85" i="1"/>
  <c r="J85" i="1"/>
  <c r="I85" i="1"/>
  <c r="F85" i="1" s="1"/>
  <c r="CO84" i="1"/>
  <c r="CK84" i="1" s="1"/>
  <c r="CM84" i="1"/>
  <c r="CL84" i="1"/>
  <c r="CH84" i="1"/>
  <c r="BZ84" i="1"/>
  <c r="BY84" i="1"/>
  <c r="BX84" i="1"/>
  <c r="BW84" i="1"/>
  <c r="BV84" i="1"/>
  <c r="BU84" i="1"/>
  <c r="BQ84" i="1"/>
  <c r="BL84" i="1"/>
  <c r="BK84" i="1"/>
  <c r="BJ84" i="1"/>
  <c r="BI84" i="1"/>
  <c r="BH84" i="1"/>
  <c r="BG84" i="1"/>
  <c r="BC84" i="1"/>
  <c r="AX84" i="1"/>
  <c r="AW84" i="1"/>
  <c r="AV84" i="1"/>
  <c r="AU84" i="1"/>
  <c r="AT84" i="1"/>
  <c r="AS84" i="1"/>
  <c r="AO84" i="1"/>
  <c r="AJ84" i="1"/>
  <c r="AI84" i="1"/>
  <c r="AH84" i="1"/>
  <c r="AG84" i="1"/>
  <c r="AF84" i="1"/>
  <c r="AE84" i="1"/>
  <c r="V84" i="1"/>
  <c r="U84" i="1"/>
  <c r="Q84" i="1"/>
  <c r="P84" i="1"/>
  <c r="M84" i="1"/>
  <c r="L84" i="1"/>
  <c r="K84" i="1"/>
  <c r="J84" i="1"/>
  <c r="I84" i="1"/>
  <c r="G84" i="1" s="1"/>
  <c r="CO83" i="1"/>
  <c r="CK83" i="1" s="1"/>
  <c r="CM83" i="1"/>
  <c r="CL83" i="1"/>
  <c r="CH83" i="1"/>
  <c r="BZ83" i="1"/>
  <c r="BY83" i="1"/>
  <c r="BX83" i="1"/>
  <c r="BW83" i="1"/>
  <c r="BV83" i="1"/>
  <c r="BU83" i="1"/>
  <c r="BQ83" i="1"/>
  <c r="BL83" i="1"/>
  <c r="BK83" i="1"/>
  <c r="BJ83" i="1"/>
  <c r="BI83" i="1"/>
  <c r="BH83" i="1"/>
  <c r="BG83" i="1"/>
  <c r="BC83" i="1"/>
  <c r="AX83" i="1"/>
  <c r="AW83" i="1"/>
  <c r="AV83" i="1"/>
  <c r="AU83" i="1"/>
  <c r="AT83" i="1"/>
  <c r="AS83" i="1"/>
  <c r="AO83" i="1"/>
  <c r="AJ83" i="1"/>
  <c r="AI83" i="1"/>
  <c r="AH83" i="1"/>
  <c r="AG83" i="1"/>
  <c r="AF83" i="1"/>
  <c r="AE83" i="1"/>
  <c r="V83" i="1"/>
  <c r="W83" i="1" s="1"/>
  <c r="U83" i="1"/>
  <c r="Q83" i="1"/>
  <c r="R83" i="1" s="1"/>
  <c r="P83" i="1"/>
  <c r="M83" i="1"/>
  <c r="L83" i="1"/>
  <c r="K83" i="1"/>
  <c r="J83" i="1"/>
  <c r="I83" i="1"/>
  <c r="H83" i="1" s="1"/>
  <c r="CO82" i="1"/>
  <c r="CI82" i="1" s="1"/>
  <c r="CM82" i="1"/>
  <c r="CL82" i="1"/>
  <c r="CH82" i="1"/>
  <c r="BZ82" i="1"/>
  <c r="BY82" i="1"/>
  <c r="BX82" i="1"/>
  <c r="BW82" i="1"/>
  <c r="BV82" i="1"/>
  <c r="BU82" i="1"/>
  <c r="BQ82" i="1"/>
  <c r="BL82" i="1"/>
  <c r="BK82" i="1"/>
  <c r="BJ82" i="1"/>
  <c r="BI82" i="1"/>
  <c r="BH82" i="1"/>
  <c r="BG82" i="1"/>
  <c r="BC82" i="1"/>
  <c r="AX82" i="1"/>
  <c r="AW82" i="1"/>
  <c r="AV82" i="1"/>
  <c r="AU82" i="1"/>
  <c r="AT82" i="1"/>
  <c r="AS82" i="1"/>
  <c r="AO82" i="1"/>
  <c r="AJ82" i="1"/>
  <c r="AI82" i="1"/>
  <c r="AH82" i="1"/>
  <c r="AG82" i="1"/>
  <c r="AF82" i="1"/>
  <c r="AE82" i="1"/>
  <c r="V82" i="1"/>
  <c r="X82" i="1" s="1"/>
  <c r="U82" i="1"/>
  <c r="Q82" i="1"/>
  <c r="S82" i="1" s="1"/>
  <c r="P82" i="1"/>
  <c r="M82" i="1"/>
  <c r="L82" i="1"/>
  <c r="K82" i="1"/>
  <c r="J82" i="1"/>
  <c r="I82" i="1"/>
  <c r="CO81" i="1"/>
  <c r="CI81" i="1" s="1"/>
  <c r="CM81" i="1"/>
  <c r="CL81" i="1"/>
  <c r="CH81" i="1"/>
  <c r="BZ81" i="1"/>
  <c r="BY81" i="1"/>
  <c r="BX81" i="1"/>
  <c r="BW81" i="1"/>
  <c r="BV81" i="1"/>
  <c r="BU81" i="1"/>
  <c r="BQ81" i="1"/>
  <c r="BL81" i="1"/>
  <c r="BK81" i="1"/>
  <c r="BJ81" i="1"/>
  <c r="BI81" i="1"/>
  <c r="BH81" i="1"/>
  <c r="BG81" i="1"/>
  <c r="BC81" i="1"/>
  <c r="AX81" i="1"/>
  <c r="AW81" i="1"/>
  <c r="AV81" i="1"/>
  <c r="AU81" i="1"/>
  <c r="AT81" i="1"/>
  <c r="AS81" i="1"/>
  <c r="AO81" i="1"/>
  <c r="AJ81" i="1"/>
  <c r="AI81" i="1"/>
  <c r="AH81" i="1"/>
  <c r="AG81" i="1"/>
  <c r="AF81" i="1"/>
  <c r="AE81" i="1"/>
  <c r="V81" i="1"/>
  <c r="U81" i="1"/>
  <c r="Q81" i="1"/>
  <c r="P81" i="1"/>
  <c r="M81" i="1"/>
  <c r="L81" i="1"/>
  <c r="K81" i="1"/>
  <c r="J81" i="1"/>
  <c r="I81" i="1"/>
  <c r="F81" i="1" s="1"/>
  <c r="CO80" i="1"/>
  <c r="CK80" i="1" s="1"/>
  <c r="CM80" i="1"/>
  <c r="CL80" i="1"/>
  <c r="CH80" i="1"/>
  <c r="BZ80" i="1"/>
  <c r="BY80" i="1"/>
  <c r="BX80" i="1"/>
  <c r="BW80" i="1"/>
  <c r="BV80" i="1"/>
  <c r="BU80" i="1"/>
  <c r="BQ80" i="1"/>
  <c r="BL80" i="1"/>
  <c r="BK80" i="1"/>
  <c r="BJ80" i="1"/>
  <c r="BI80" i="1"/>
  <c r="BH80" i="1"/>
  <c r="BG80" i="1"/>
  <c r="BC80" i="1"/>
  <c r="AX80" i="1"/>
  <c r="AW80" i="1"/>
  <c r="AV80" i="1"/>
  <c r="AU80" i="1"/>
  <c r="AT80" i="1"/>
  <c r="AS80" i="1"/>
  <c r="AO80" i="1"/>
  <c r="AJ80" i="1"/>
  <c r="AI80" i="1"/>
  <c r="AH80" i="1"/>
  <c r="AG80" i="1"/>
  <c r="AF80" i="1"/>
  <c r="AE80" i="1"/>
  <c r="V80" i="1"/>
  <c r="U80" i="1"/>
  <c r="Q80" i="1"/>
  <c r="S80" i="1" s="1"/>
  <c r="P80" i="1"/>
  <c r="M80" i="1"/>
  <c r="L80" i="1"/>
  <c r="K80" i="1"/>
  <c r="J80" i="1"/>
  <c r="I80" i="1"/>
  <c r="H80" i="1" s="1"/>
  <c r="CO79" i="1"/>
  <c r="CI79" i="1" s="1"/>
  <c r="CM79" i="1"/>
  <c r="CL79" i="1"/>
  <c r="CH79" i="1"/>
  <c r="BZ79" i="1"/>
  <c r="BY79" i="1"/>
  <c r="BX79" i="1"/>
  <c r="BW79" i="1"/>
  <c r="BV79" i="1"/>
  <c r="BU79" i="1"/>
  <c r="BQ79" i="1"/>
  <c r="BL79" i="1"/>
  <c r="BK79" i="1"/>
  <c r="BJ79" i="1"/>
  <c r="BI79" i="1"/>
  <c r="BH79" i="1"/>
  <c r="BG79" i="1"/>
  <c r="BC79" i="1"/>
  <c r="AX79" i="1"/>
  <c r="AW79" i="1"/>
  <c r="AV79" i="1"/>
  <c r="AU79" i="1"/>
  <c r="AT79" i="1"/>
  <c r="AS79" i="1"/>
  <c r="AO79" i="1"/>
  <c r="AJ79" i="1"/>
  <c r="AI79" i="1"/>
  <c r="AH79" i="1"/>
  <c r="AG79" i="1"/>
  <c r="AF79" i="1"/>
  <c r="AE79" i="1"/>
  <c r="V79" i="1"/>
  <c r="W79" i="1" s="1"/>
  <c r="U79" i="1"/>
  <c r="Q79" i="1"/>
  <c r="R79" i="1" s="1"/>
  <c r="P79" i="1"/>
  <c r="M79" i="1"/>
  <c r="L79" i="1"/>
  <c r="K79" i="1"/>
  <c r="J79" i="1"/>
  <c r="I79" i="1"/>
  <c r="CO78" i="1"/>
  <c r="CJ78" i="1" s="1"/>
  <c r="CM78" i="1"/>
  <c r="CL78" i="1"/>
  <c r="CH78" i="1"/>
  <c r="BZ78" i="1"/>
  <c r="BY78" i="1"/>
  <c r="BX78" i="1"/>
  <c r="BW78" i="1"/>
  <c r="BV78" i="1"/>
  <c r="BU78" i="1"/>
  <c r="BQ78" i="1"/>
  <c r="BL78" i="1"/>
  <c r="BK78" i="1"/>
  <c r="BJ78" i="1"/>
  <c r="BI78" i="1"/>
  <c r="BH78" i="1"/>
  <c r="BG78" i="1"/>
  <c r="BC78" i="1"/>
  <c r="AX78" i="1"/>
  <c r="AW78" i="1"/>
  <c r="AV78" i="1"/>
  <c r="AU78" i="1"/>
  <c r="AT78" i="1"/>
  <c r="AS78" i="1"/>
  <c r="AO78" i="1"/>
  <c r="AJ78" i="1"/>
  <c r="AI78" i="1"/>
  <c r="AH78" i="1"/>
  <c r="AG78" i="1"/>
  <c r="AF78" i="1"/>
  <c r="AE78" i="1"/>
  <c r="V78" i="1"/>
  <c r="X78" i="1" s="1"/>
  <c r="U78" i="1"/>
  <c r="Q78" i="1"/>
  <c r="S78" i="1" s="1"/>
  <c r="P78" i="1"/>
  <c r="M78" i="1"/>
  <c r="L78" i="1"/>
  <c r="K78" i="1"/>
  <c r="J78" i="1"/>
  <c r="I78" i="1"/>
  <c r="F78" i="1" s="1"/>
  <c r="CO77" i="1"/>
  <c r="CK77" i="1" s="1"/>
  <c r="CM77" i="1"/>
  <c r="CL77" i="1"/>
  <c r="CH77" i="1"/>
  <c r="BZ77" i="1"/>
  <c r="BY77" i="1"/>
  <c r="BX77" i="1"/>
  <c r="BW77" i="1"/>
  <c r="BV77" i="1"/>
  <c r="BU77" i="1"/>
  <c r="BQ77" i="1"/>
  <c r="BL77" i="1"/>
  <c r="BK77" i="1"/>
  <c r="BJ77" i="1"/>
  <c r="BI77" i="1"/>
  <c r="BH77" i="1"/>
  <c r="BG77" i="1"/>
  <c r="BC77" i="1"/>
  <c r="AX77" i="1"/>
  <c r="AW77" i="1"/>
  <c r="AV77" i="1"/>
  <c r="AU77" i="1"/>
  <c r="AT77" i="1"/>
  <c r="AS77" i="1"/>
  <c r="AO77" i="1"/>
  <c r="AJ77" i="1"/>
  <c r="AI77" i="1"/>
  <c r="AH77" i="1"/>
  <c r="AG77" i="1"/>
  <c r="AF77" i="1"/>
  <c r="AE77" i="1"/>
  <c r="V77" i="1"/>
  <c r="U77" i="1"/>
  <c r="Q77" i="1"/>
  <c r="P77" i="1"/>
  <c r="M77" i="1"/>
  <c r="L77" i="1"/>
  <c r="K77" i="1"/>
  <c r="J77" i="1"/>
  <c r="I77" i="1"/>
  <c r="H77" i="1" s="1"/>
  <c r="CO76" i="1"/>
  <c r="CI76" i="1" s="1"/>
  <c r="CM76" i="1"/>
  <c r="CL76" i="1"/>
  <c r="CH76" i="1"/>
  <c r="BZ76" i="1"/>
  <c r="BY76" i="1"/>
  <c r="BX76" i="1"/>
  <c r="BW76" i="1"/>
  <c r="BV76" i="1"/>
  <c r="BU76" i="1"/>
  <c r="BQ76" i="1"/>
  <c r="BL76" i="1"/>
  <c r="BK76" i="1"/>
  <c r="BJ76" i="1"/>
  <c r="BI76" i="1"/>
  <c r="BH76" i="1"/>
  <c r="BG76" i="1"/>
  <c r="BC76" i="1"/>
  <c r="AX76" i="1"/>
  <c r="AW76" i="1"/>
  <c r="AV76" i="1"/>
  <c r="AU76" i="1"/>
  <c r="AT76" i="1"/>
  <c r="AS76" i="1"/>
  <c r="AO76" i="1"/>
  <c r="AJ76" i="1"/>
  <c r="AI76" i="1"/>
  <c r="AH76" i="1"/>
  <c r="AG76" i="1"/>
  <c r="AF76" i="1"/>
  <c r="AE76" i="1"/>
  <c r="V76" i="1"/>
  <c r="X76" i="1" s="1"/>
  <c r="U76" i="1"/>
  <c r="Q76" i="1"/>
  <c r="S76" i="1" s="1"/>
  <c r="P76" i="1"/>
  <c r="M76" i="1"/>
  <c r="L76" i="1"/>
  <c r="K76" i="1"/>
  <c r="J76" i="1"/>
  <c r="I76" i="1"/>
  <c r="H76" i="1" s="1"/>
  <c r="CO75" i="1"/>
  <c r="CI75" i="1" s="1"/>
  <c r="CM75" i="1"/>
  <c r="CL75" i="1"/>
  <c r="CH75" i="1"/>
  <c r="BZ75" i="1"/>
  <c r="BY75" i="1"/>
  <c r="BX75" i="1"/>
  <c r="BW75" i="1"/>
  <c r="BV75" i="1"/>
  <c r="BU75" i="1"/>
  <c r="BQ75" i="1"/>
  <c r="BL75" i="1"/>
  <c r="BK75" i="1"/>
  <c r="BJ75" i="1"/>
  <c r="BI75" i="1"/>
  <c r="BH75" i="1"/>
  <c r="BG75" i="1"/>
  <c r="BC75" i="1"/>
  <c r="AX75" i="1"/>
  <c r="AW75" i="1"/>
  <c r="AV75" i="1"/>
  <c r="AU75" i="1"/>
  <c r="AT75" i="1"/>
  <c r="AS75" i="1"/>
  <c r="AO75" i="1"/>
  <c r="AJ75" i="1"/>
  <c r="AI75" i="1"/>
  <c r="AH75" i="1"/>
  <c r="AG75" i="1"/>
  <c r="AF75" i="1"/>
  <c r="AE75" i="1"/>
  <c r="V75" i="1"/>
  <c r="W75" i="1" s="1"/>
  <c r="U75" i="1"/>
  <c r="Q75" i="1"/>
  <c r="R75" i="1" s="1"/>
  <c r="P75" i="1"/>
  <c r="M75" i="1"/>
  <c r="L75" i="1"/>
  <c r="K75" i="1"/>
  <c r="J75" i="1"/>
  <c r="I75" i="1"/>
  <c r="CO74" i="1"/>
  <c r="CJ74" i="1" s="1"/>
  <c r="CM74" i="1"/>
  <c r="CL74" i="1"/>
  <c r="CH74" i="1"/>
  <c r="BZ74" i="1"/>
  <c r="BY74" i="1"/>
  <c r="BX74" i="1"/>
  <c r="BW74" i="1"/>
  <c r="BV74" i="1"/>
  <c r="BU74" i="1"/>
  <c r="BQ74" i="1"/>
  <c r="BL74" i="1"/>
  <c r="BK74" i="1"/>
  <c r="BJ74" i="1"/>
  <c r="BI74" i="1"/>
  <c r="BH74" i="1"/>
  <c r="BG74" i="1"/>
  <c r="BC74" i="1"/>
  <c r="AX74" i="1"/>
  <c r="AW74" i="1"/>
  <c r="AV74" i="1"/>
  <c r="AU74" i="1"/>
  <c r="AT74" i="1"/>
  <c r="AS74" i="1"/>
  <c r="AO74" i="1"/>
  <c r="AJ74" i="1"/>
  <c r="AI74" i="1"/>
  <c r="AH74" i="1"/>
  <c r="AG74" i="1"/>
  <c r="AF74" i="1"/>
  <c r="AE74" i="1"/>
  <c r="V74" i="1"/>
  <c r="X74" i="1" s="1"/>
  <c r="U74" i="1"/>
  <c r="Q74" i="1"/>
  <c r="S74" i="1" s="1"/>
  <c r="P74" i="1"/>
  <c r="M74" i="1"/>
  <c r="L74" i="1"/>
  <c r="K74" i="1"/>
  <c r="J74" i="1"/>
  <c r="I74" i="1"/>
  <c r="F74" i="1" s="1"/>
  <c r="CO73" i="1"/>
  <c r="CK73" i="1" s="1"/>
  <c r="CM73" i="1"/>
  <c r="CL73" i="1"/>
  <c r="CH73" i="1"/>
  <c r="BZ73" i="1"/>
  <c r="BY73" i="1"/>
  <c r="BX73" i="1"/>
  <c r="BW73" i="1"/>
  <c r="BV73" i="1"/>
  <c r="BU73" i="1"/>
  <c r="BQ73" i="1"/>
  <c r="BL73" i="1"/>
  <c r="BK73" i="1"/>
  <c r="BJ73" i="1"/>
  <c r="BI73" i="1"/>
  <c r="BH73" i="1"/>
  <c r="BG73" i="1"/>
  <c r="BC73" i="1"/>
  <c r="AX73" i="1"/>
  <c r="AW73" i="1"/>
  <c r="AV73" i="1"/>
  <c r="AU73" i="1"/>
  <c r="AT73" i="1"/>
  <c r="AS73" i="1"/>
  <c r="AO73" i="1"/>
  <c r="AJ73" i="1"/>
  <c r="AI73" i="1"/>
  <c r="AH73" i="1"/>
  <c r="AG73" i="1"/>
  <c r="AF73" i="1"/>
  <c r="AE73" i="1"/>
  <c r="V73" i="1"/>
  <c r="U73" i="1"/>
  <c r="Q73" i="1"/>
  <c r="P73" i="1"/>
  <c r="M73" i="1"/>
  <c r="L73" i="1"/>
  <c r="K73" i="1"/>
  <c r="J73" i="1"/>
  <c r="I73" i="1"/>
  <c r="H73" i="1" s="1"/>
  <c r="CO72" i="1"/>
  <c r="CI72" i="1" s="1"/>
  <c r="CM72" i="1"/>
  <c r="CL72" i="1"/>
  <c r="CH72" i="1"/>
  <c r="BZ72" i="1"/>
  <c r="BY72" i="1"/>
  <c r="BX72" i="1"/>
  <c r="BW72" i="1"/>
  <c r="BV72" i="1"/>
  <c r="BU72" i="1"/>
  <c r="BQ72" i="1"/>
  <c r="BL72" i="1"/>
  <c r="BK72" i="1"/>
  <c r="BJ72" i="1"/>
  <c r="BI72" i="1"/>
  <c r="BH72" i="1"/>
  <c r="BG72" i="1"/>
  <c r="BC72" i="1"/>
  <c r="AX72" i="1"/>
  <c r="AW72" i="1"/>
  <c r="AV72" i="1"/>
  <c r="AU72" i="1"/>
  <c r="AT72" i="1"/>
  <c r="AS72" i="1"/>
  <c r="AO72" i="1"/>
  <c r="AJ72" i="1"/>
  <c r="AI72" i="1"/>
  <c r="AH72" i="1"/>
  <c r="AG72" i="1"/>
  <c r="AF72" i="1"/>
  <c r="AE72" i="1"/>
  <c r="V72" i="1"/>
  <c r="X72" i="1" s="1"/>
  <c r="U72" i="1"/>
  <c r="Q72" i="1"/>
  <c r="S72" i="1" s="1"/>
  <c r="P72" i="1"/>
  <c r="M72" i="1"/>
  <c r="L72" i="1"/>
  <c r="K72" i="1"/>
  <c r="J72" i="1"/>
  <c r="I72" i="1"/>
  <c r="H72" i="1" s="1"/>
  <c r="CO71" i="1"/>
  <c r="CI71" i="1" s="1"/>
  <c r="CM71" i="1"/>
  <c r="CL71" i="1"/>
  <c r="CH71" i="1"/>
  <c r="BZ71" i="1"/>
  <c r="BY71" i="1"/>
  <c r="BX71" i="1"/>
  <c r="BW71" i="1"/>
  <c r="BV71" i="1"/>
  <c r="BU71" i="1"/>
  <c r="BQ71" i="1"/>
  <c r="BL71" i="1"/>
  <c r="BK71" i="1"/>
  <c r="BJ71" i="1"/>
  <c r="BI71" i="1"/>
  <c r="BH71" i="1"/>
  <c r="BG71" i="1"/>
  <c r="BC71" i="1"/>
  <c r="AX71" i="1"/>
  <c r="AW71" i="1"/>
  <c r="AV71" i="1"/>
  <c r="AU71" i="1"/>
  <c r="AT71" i="1"/>
  <c r="AS71" i="1"/>
  <c r="AO71" i="1"/>
  <c r="AJ71" i="1"/>
  <c r="AI71" i="1"/>
  <c r="AH71" i="1"/>
  <c r="AG71" i="1"/>
  <c r="AF71" i="1"/>
  <c r="AE71" i="1"/>
  <c r="V71" i="1"/>
  <c r="W71" i="1" s="1"/>
  <c r="U71" i="1"/>
  <c r="Q71" i="1"/>
  <c r="R71" i="1" s="1"/>
  <c r="P71" i="1"/>
  <c r="M71" i="1"/>
  <c r="L71" i="1"/>
  <c r="K71" i="1"/>
  <c r="J71" i="1"/>
  <c r="I71" i="1"/>
  <c r="CO70" i="1"/>
  <c r="CJ70" i="1" s="1"/>
  <c r="CM70" i="1"/>
  <c r="CL70" i="1"/>
  <c r="CH70" i="1"/>
  <c r="BZ70" i="1"/>
  <c r="BY70" i="1"/>
  <c r="BX70" i="1"/>
  <c r="BW70" i="1"/>
  <c r="BV70" i="1"/>
  <c r="BU70" i="1"/>
  <c r="BQ70" i="1"/>
  <c r="BL70" i="1"/>
  <c r="BK70" i="1"/>
  <c r="BJ70" i="1"/>
  <c r="BI70" i="1"/>
  <c r="BH70" i="1"/>
  <c r="BG70" i="1"/>
  <c r="BC70" i="1"/>
  <c r="AX70" i="1"/>
  <c r="AW70" i="1"/>
  <c r="AV70" i="1"/>
  <c r="AU70" i="1"/>
  <c r="AT70" i="1"/>
  <c r="AS70" i="1"/>
  <c r="AO70" i="1"/>
  <c r="AJ70" i="1"/>
  <c r="AI70" i="1"/>
  <c r="AH70" i="1"/>
  <c r="AG70" i="1"/>
  <c r="AF70" i="1"/>
  <c r="AE70" i="1"/>
  <c r="V70" i="1"/>
  <c r="X70" i="1" s="1"/>
  <c r="U70" i="1"/>
  <c r="Q70" i="1"/>
  <c r="S70" i="1" s="1"/>
  <c r="P70" i="1"/>
  <c r="M70" i="1"/>
  <c r="L70" i="1"/>
  <c r="K70" i="1"/>
  <c r="J70" i="1"/>
  <c r="I70" i="1"/>
  <c r="F70" i="1" s="1"/>
  <c r="CO69" i="1"/>
  <c r="CK69" i="1" s="1"/>
  <c r="CM69" i="1"/>
  <c r="CL69" i="1"/>
  <c r="CH69" i="1"/>
  <c r="BZ69" i="1"/>
  <c r="BY69" i="1"/>
  <c r="BX69" i="1"/>
  <c r="BW69" i="1"/>
  <c r="BV69" i="1"/>
  <c r="BU69" i="1"/>
  <c r="BQ69" i="1"/>
  <c r="BL69" i="1"/>
  <c r="BK69" i="1"/>
  <c r="BJ69" i="1"/>
  <c r="BI69" i="1"/>
  <c r="BH69" i="1"/>
  <c r="BG69" i="1"/>
  <c r="BC69" i="1"/>
  <c r="AX69" i="1"/>
  <c r="AW69" i="1"/>
  <c r="AV69" i="1"/>
  <c r="AU69" i="1"/>
  <c r="AT69" i="1"/>
  <c r="AS69" i="1"/>
  <c r="AO69" i="1"/>
  <c r="AJ69" i="1"/>
  <c r="AI69" i="1"/>
  <c r="AH69" i="1"/>
  <c r="AG69" i="1"/>
  <c r="AF69" i="1"/>
  <c r="AE69" i="1"/>
  <c r="V69" i="1"/>
  <c r="U69" i="1"/>
  <c r="Q69" i="1"/>
  <c r="P69" i="1"/>
  <c r="M69" i="1"/>
  <c r="L69" i="1"/>
  <c r="K69" i="1"/>
  <c r="J69" i="1"/>
  <c r="I69" i="1"/>
  <c r="H69" i="1" s="1"/>
  <c r="CO68" i="1"/>
  <c r="CI68" i="1" s="1"/>
  <c r="CM68" i="1"/>
  <c r="CL68" i="1"/>
  <c r="CH68" i="1"/>
  <c r="BZ68" i="1"/>
  <c r="BY68" i="1"/>
  <c r="BX68" i="1"/>
  <c r="BW68" i="1"/>
  <c r="BV68" i="1"/>
  <c r="BU68" i="1"/>
  <c r="BQ68" i="1"/>
  <c r="BL68" i="1"/>
  <c r="BK68" i="1"/>
  <c r="BJ68" i="1"/>
  <c r="BI68" i="1"/>
  <c r="BH68" i="1"/>
  <c r="BG68" i="1"/>
  <c r="BC68" i="1"/>
  <c r="AX68" i="1"/>
  <c r="AW68" i="1"/>
  <c r="AV68" i="1"/>
  <c r="AU68" i="1"/>
  <c r="AT68" i="1"/>
  <c r="AS68" i="1"/>
  <c r="AO68" i="1"/>
  <c r="AJ68" i="1"/>
  <c r="AI68" i="1"/>
  <c r="AH68" i="1"/>
  <c r="AG68" i="1"/>
  <c r="AF68" i="1"/>
  <c r="AE68" i="1"/>
  <c r="V68" i="1"/>
  <c r="X68" i="1" s="1"/>
  <c r="U68" i="1"/>
  <c r="Q68" i="1"/>
  <c r="S68" i="1" s="1"/>
  <c r="P68" i="1"/>
  <c r="M68" i="1"/>
  <c r="L68" i="1"/>
  <c r="K68" i="1"/>
  <c r="J68" i="1"/>
  <c r="I68" i="1"/>
  <c r="H68" i="1" s="1"/>
  <c r="CO67" i="1"/>
  <c r="CI67" i="1" s="1"/>
  <c r="CM67" i="1"/>
  <c r="CL67" i="1"/>
  <c r="CH67" i="1"/>
  <c r="BZ67" i="1"/>
  <c r="BY67" i="1"/>
  <c r="BX67" i="1"/>
  <c r="BW67" i="1"/>
  <c r="BV67" i="1"/>
  <c r="BU67" i="1"/>
  <c r="BQ67" i="1"/>
  <c r="BL67" i="1"/>
  <c r="BK67" i="1"/>
  <c r="BJ67" i="1"/>
  <c r="BI67" i="1"/>
  <c r="BH67" i="1"/>
  <c r="BG67" i="1"/>
  <c r="BC67" i="1"/>
  <c r="AX67" i="1"/>
  <c r="AW67" i="1"/>
  <c r="AV67" i="1"/>
  <c r="AU67" i="1"/>
  <c r="AT67" i="1"/>
  <c r="AS67" i="1"/>
  <c r="AO67" i="1"/>
  <c r="AJ67" i="1"/>
  <c r="AI67" i="1"/>
  <c r="AH67" i="1"/>
  <c r="AG67" i="1"/>
  <c r="AF67" i="1"/>
  <c r="AE67" i="1"/>
  <c r="V67" i="1"/>
  <c r="W67" i="1" s="1"/>
  <c r="U67" i="1"/>
  <c r="Q67" i="1"/>
  <c r="R67" i="1" s="1"/>
  <c r="P67" i="1"/>
  <c r="M67" i="1"/>
  <c r="L67" i="1"/>
  <c r="K67" i="1"/>
  <c r="J67" i="1"/>
  <c r="I67" i="1"/>
  <c r="CO66" i="1"/>
  <c r="CK66" i="1" s="1"/>
  <c r="CM66" i="1"/>
  <c r="CL66" i="1"/>
  <c r="CH66" i="1"/>
  <c r="BZ66" i="1"/>
  <c r="BY66" i="1"/>
  <c r="BX66" i="1"/>
  <c r="BW66" i="1"/>
  <c r="BV66" i="1"/>
  <c r="BU66" i="1"/>
  <c r="BQ66" i="1"/>
  <c r="BL66" i="1"/>
  <c r="BK66" i="1"/>
  <c r="BJ66" i="1"/>
  <c r="BI66" i="1"/>
  <c r="BH66" i="1"/>
  <c r="BG66" i="1"/>
  <c r="BC66" i="1"/>
  <c r="AX66" i="1"/>
  <c r="AW66" i="1"/>
  <c r="AV66" i="1"/>
  <c r="AU66" i="1"/>
  <c r="AT66" i="1"/>
  <c r="AS66" i="1"/>
  <c r="AO66" i="1"/>
  <c r="AJ66" i="1"/>
  <c r="AI66" i="1"/>
  <c r="AH66" i="1"/>
  <c r="AG66" i="1"/>
  <c r="AF66" i="1"/>
  <c r="AE66" i="1"/>
  <c r="V66" i="1"/>
  <c r="X66" i="1" s="1"/>
  <c r="U66" i="1"/>
  <c r="Q66" i="1"/>
  <c r="S66" i="1" s="1"/>
  <c r="P66" i="1"/>
  <c r="M66" i="1"/>
  <c r="L66" i="1"/>
  <c r="K66" i="1"/>
  <c r="J66" i="1"/>
  <c r="I66" i="1"/>
  <c r="H66" i="1" s="1"/>
  <c r="CO65" i="1"/>
  <c r="CK65" i="1" s="1"/>
  <c r="CM65" i="1"/>
  <c r="CL65" i="1"/>
  <c r="CH65" i="1"/>
  <c r="BZ65" i="1"/>
  <c r="BY65" i="1"/>
  <c r="BX65" i="1"/>
  <c r="BW65" i="1"/>
  <c r="BV65" i="1"/>
  <c r="BU65" i="1"/>
  <c r="BQ65" i="1"/>
  <c r="BL65" i="1"/>
  <c r="BK65" i="1"/>
  <c r="BJ65" i="1"/>
  <c r="BI65" i="1"/>
  <c r="BH65" i="1"/>
  <c r="BG65" i="1"/>
  <c r="BC65" i="1"/>
  <c r="AX65" i="1"/>
  <c r="AW65" i="1"/>
  <c r="AV65" i="1"/>
  <c r="AU65" i="1"/>
  <c r="AT65" i="1"/>
  <c r="AS65" i="1"/>
  <c r="AO65" i="1"/>
  <c r="AJ65" i="1"/>
  <c r="AI65" i="1"/>
  <c r="AH65" i="1"/>
  <c r="AG65" i="1"/>
  <c r="AF65" i="1"/>
  <c r="AE65" i="1"/>
  <c r="V65" i="1"/>
  <c r="U65" i="1"/>
  <c r="Q65" i="1"/>
  <c r="P65" i="1"/>
  <c r="M65" i="1"/>
  <c r="L65" i="1"/>
  <c r="K65" i="1"/>
  <c r="J65" i="1"/>
  <c r="I65" i="1"/>
  <c r="H65" i="1" s="1"/>
  <c r="CO64" i="1"/>
  <c r="CI64" i="1" s="1"/>
  <c r="CM64" i="1"/>
  <c r="CL64" i="1"/>
  <c r="CH64" i="1"/>
  <c r="BZ64" i="1"/>
  <c r="BY64" i="1"/>
  <c r="BX64" i="1"/>
  <c r="BW64" i="1"/>
  <c r="BV64" i="1"/>
  <c r="BU64" i="1"/>
  <c r="BQ64" i="1"/>
  <c r="BL64" i="1"/>
  <c r="BK64" i="1"/>
  <c r="BJ64" i="1"/>
  <c r="BI64" i="1"/>
  <c r="BH64" i="1"/>
  <c r="BG64" i="1"/>
  <c r="BC64" i="1"/>
  <c r="AX64" i="1"/>
  <c r="AW64" i="1"/>
  <c r="AV64" i="1"/>
  <c r="AU64" i="1"/>
  <c r="AT64" i="1"/>
  <c r="AS64" i="1"/>
  <c r="AO64" i="1"/>
  <c r="AJ64" i="1"/>
  <c r="AI64" i="1"/>
  <c r="AH64" i="1"/>
  <c r="AG64" i="1"/>
  <c r="AF64" i="1"/>
  <c r="AE64" i="1"/>
  <c r="V64" i="1"/>
  <c r="X64" i="1" s="1"/>
  <c r="U64" i="1"/>
  <c r="Q64" i="1"/>
  <c r="S64" i="1" s="1"/>
  <c r="P64" i="1"/>
  <c r="M64" i="1"/>
  <c r="L64" i="1"/>
  <c r="K64" i="1"/>
  <c r="J64" i="1"/>
  <c r="I64" i="1"/>
  <c r="CO63" i="1"/>
  <c r="CI63" i="1" s="1"/>
  <c r="CM63" i="1"/>
  <c r="CL63" i="1"/>
  <c r="CH63" i="1"/>
  <c r="BZ63" i="1"/>
  <c r="BY63" i="1"/>
  <c r="BX63" i="1"/>
  <c r="BW63" i="1"/>
  <c r="BV63" i="1"/>
  <c r="BU63" i="1"/>
  <c r="BQ63" i="1"/>
  <c r="BL63" i="1"/>
  <c r="BK63" i="1"/>
  <c r="BJ63" i="1"/>
  <c r="BI63" i="1"/>
  <c r="BH63" i="1"/>
  <c r="BG63" i="1"/>
  <c r="BC63" i="1"/>
  <c r="AX63" i="1"/>
  <c r="AW63" i="1"/>
  <c r="AV63" i="1"/>
  <c r="AU63" i="1"/>
  <c r="AT63" i="1"/>
  <c r="AS63" i="1"/>
  <c r="AO63" i="1"/>
  <c r="AJ63" i="1"/>
  <c r="AI63" i="1"/>
  <c r="AH63" i="1"/>
  <c r="AG63" i="1"/>
  <c r="AF63" i="1"/>
  <c r="AE63" i="1"/>
  <c r="V63" i="1"/>
  <c r="X63" i="1" s="1"/>
  <c r="U63" i="1"/>
  <c r="Q63" i="1"/>
  <c r="S63" i="1" s="1"/>
  <c r="P63" i="1"/>
  <c r="M63" i="1"/>
  <c r="L63" i="1"/>
  <c r="K63" i="1"/>
  <c r="J63" i="1"/>
  <c r="I63" i="1"/>
  <c r="H63" i="1" s="1"/>
  <c r="CO62" i="1"/>
  <c r="CK62" i="1" s="1"/>
  <c r="CM62" i="1"/>
  <c r="CL62" i="1"/>
  <c r="CH62" i="1"/>
  <c r="BZ62" i="1"/>
  <c r="BY62" i="1"/>
  <c r="BX62" i="1"/>
  <c r="BW62" i="1"/>
  <c r="BV62" i="1"/>
  <c r="BU62" i="1"/>
  <c r="BQ62" i="1"/>
  <c r="BL62" i="1"/>
  <c r="BK62" i="1"/>
  <c r="BJ62" i="1"/>
  <c r="BI62" i="1"/>
  <c r="BH62" i="1"/>
  <c r="BG62" i="1"/>
  <c r="BC62" i="1"/>
  <c r="AX62" i="1"/>
  <c r="AW62" i="1"/>
  <c r="AV62" i="1"/>
  <c r="AU62" i="1"/>
  <c r="AT62" i="1"/>
  <c r="AS62" i="1"/>
  <c r="AO62" i="1"/>
  <c r="AJ62" i="1"/>
  <c r="AI62" i="1"/>
  <c r="AH62" i="1"/>
  <c r="AG62" i="1"/>
  <c r="AF62" i="1"/>
  <c r="AE62" i="1"/>
  <c r="V62" i="1"/>
  <c r="X62" i="1" s="1"/>
  <c r="U62" i="1"/>
  <c r="Q62" i="1"/>
  <c r="S62" i="1" s="1"/>
  <c r="P62" i="1"/>
  <c r="M62" i="1"/>
  <c r="L62" i="1"/>
  <c r="K62" i="1"/>
  <c r="J62" i="1"/>
  <c r="I62" i="1"/>
  <c r="H62" i="1" s="1"/>
  <c r="CO61" i="1"/>
  <c r="CK61" i="1" s="1"/>
  <c r="CM61" i="1"/>
  <c r="CL61" i="1"/>
  <c r="CH61" i="1"/>
  <c r="BZ61" i="1"/>
  <c r="BY61" i="1"/>
  <c r="BX61" i="1"/>
  <c r="BW61" i="1"/>
  <c r="BV61" i="1"/>
  <c r="BU61" i="1"/>
  <c r="BQ61" i="1"/>
  <c r="BL61" i="1"/>
  <c r="BK61" i="1"/>
  <c r="BJ61" i="1"/>
  <c r="BI61" i="1"/>
  <c r="BH61" i="1"/>
  <c r="BG61" i="1"/>
  <c r="BC61" i="1"/>
  <c r="AX61" i="1"/>
  <c r="AW61" i="1"/>
  <c r="AV61" i="1"/>
  <c r="AU61" i="1"/>
  <c r="AT61" i="1"/>
  <c r="AS61" i="1"/>
  <c r="AO61" i="1"/>
  <c r="AJ61" i="1"/>
  <c r="AI61" i="1"/>
  <c r="AH61" i="1"/>
  <c r="AG61" i="1"/>
  <c r="AF61" i="1"/>
  <c r="AE61" i="1"/>
  <c r="V61" i="1"/>
  <c r="W61" i="1" s="1"/>
  <c r="U61" i="1"/>
  <c r="Q61" i="1"/>
  <c r="R61" i="1" s="1"/>
  <c r="P61" i="1"/>
  <c r="M61" i="1"/>
  <c r="L61" i="1"/>
  <c r="K61" i="1"/>
  <c r="J61" i="1"/>
  <c r="I61" i="1"/>
  <c r="H61" i="1" s="1"/>
  <c r="CO60" i="1"/>
  <c r="CI60" i="1" s="1"/>
  <c r="CM60" i="1"/>
  <c r="CL60" i="1"/>
  <c r="CH60" i="1"/>
  <c r="BZ60" i="1"/>
  <c r="BY60" i="1"/>
  <c r="BX60" i="1"/>
  <c r="BW60" i="1"/>
  <c r="BV60" i="1"/>
  <c r="BU60" i="1"/>
  <c r="BQ60" i="1"/>
  <c r="BL60" i="1"/>
  <c r="BK60" i="1"/>
  <c r="BJ60" i="1"/>
  <c r="BI60" i="1"/>
  <c r="BH60" i="1"/>
  <c r="BG60" i="1"/>
  <c r="BC60" i="1"/>
  <c r="AX60" i="1"/>
  <c r="AW60" i="1"/>
  <c r="AV60" i="1"/>
  <c r="AU60" i="1"/>
  <c r="AT60" i="1"/>
  <c r="AS60" i="1"/>
  <c r="AO60" i="1"/>
  <c r="AJ60" i="1"/>
  <c r="AI60" i="1"/>
  <c r="AH60" i="1"/>
  <c r="AG60" i="1"/>
  <c r="AF60" i="1"/>
  <c r="AE60" i="1"/>
  <c r="V60" i="1"/>
  <c r="X60" i="1" s="1"/>
  <c r="U60" i="1"/>
  <c r="Q60" i="1"/>
  <c r="S60" i="1" s="1"/>
  <c r="P60" i="1"/>
  <c r="M60" i="1"/>
  <c r="L60" i="1"/>
  <c r="K60" i="1"/>
  <c r="J60" i="1"/>
  <c r="I60" i="1"/>
  <c r="G60" i="1" s="1"/>
  <c r="CO59" i="1"/>
  <c r="CK59" i="1" s="1"/>
  <c r="CM59" i="1"/>
  <c r="CL59" i="1"/>
  <c r="CH59" i="1"/>
  <c r="BZ59" i="1"/>
  <c r="BY59" i="1"/>
  <c r="BX59" i="1"/>
  <c r="BW59" i="1"/>
  <c r="BV59" i="1"/>
  <c r="BU59" i="1"/>
  <c r="BQ59" i="1"/>
  <c r="BL59" i="1"/>
  <c r="BK59" i="1"/>
  <c r="BJ59" i="1"/>
  <c r="BI59" i="1"/>
  <c r="BH59" i="1"/>
  <c r="BG59" i="1"/>
  <c r="BC59" i="1"/>
  <c r="AX59" i="1"/>
  <c r="AW59" i="1"/>
  <c r="AV59" i="1"/>
  <c r="AU59" i="1"/>
  <c r="AT59" i="1"/>
  <c r="AS59" i="1"/>
  <c r="AO59" i="1"/>
  <c r="AJ59" i="1"/>
  <c r="AI59" i="1"/>
  <c r="AH59" i="1"/>
  <c r="AG59" i="1"/>
  <c r="AF59" i="1"/>
  <c r="AE59" i="1"/>
  <c r="V59" i="1"/>
  <c r="X59" i="1" s="1"/>
  <c r="U59" i="1"/>
  <c r="Q59" i="1"/>
  <c r="S59" i="1" s="1"/>
  <c r="P59" i="1"/>
  <c r="M59" i="1"/>
  <c r="L59" i="1"/>
  <c r="K59" i="1"/>
  <c r="J59" i="1"/>
  <c r="I59" i="1"/>
  <c r="F59" i="1" s="1"/>
  <c r="CO58" i="1"/>
  <c r="CK58" i="1" s="1"/>
  <c r="CM58" i="1"/>
  <c r="CL58" i="1"/>
  <c r="CH58" i="1"/>
  <c r="BZ58" i="1"/>
  <c r="BY58" i="1"/>
  <c r="BX58" i="1"/>
  <c r="BW58" i="1"/>
  <c r="BV58" i="1"/>
  <c r="BU58" i="1"/>
  <c r="BQ58" i="1"/>
  <c r="BL58" i="1"/>
  <c r="BK58" i="1"/>
  <c r="BJ58" i="1"/>
  <c r="BI58" i="1"/>
  <c r="BH58" i="1"/>
  <c r="BG58" i="1"/>
  <c r="BC58" i="1"/>
  <c r="AX58" i="1"/>
  <c r="AW58" i="1"/>
  <c r="AV58" i="1"/>
  <c r="AU58" i="1"/>
  <c r="AT58" i="1"/>
  <c r="AS58" i="1"/>
  <c r="AO58" i="1"/>
  <c r="AJ58" i="1"/>
  <c r="AI58" i="1"/>
  <c r="AH58" i="1"/>
  <c r="AG58" i="1"/>
  <c r="AF58" i="1"/>
  <c r="AE58" i="1"/>
  <c r="V58" i="1"/>
  <c r="X58" i="1" s="1"/>
  <c r="U58" i="1"/>
  <c r="Q58" i="1"/>
  <c r="S58" i="1" s="1"/>
  <c r="P58" i="1"/>
  <c r="M58" i="1"/>
  <c r="L58" i="1"/>
  <c r="K58" i="1"/>
  <c r="J58" i="1"/>
  <c r="I58" i="1"/>
  <c r="H58" i="1" s="1"/>
  <c r="CO57" i="1"/>
  <c r="CI57" i="1" s="1"/>
  <c r="CM57" i="1"/>
  <c r="CL57" i="1"/>
  <c r="CH57" i="1"/>
  <c r="BZ57" i="1"/>
  <c r="BY57" i="1"/>
  <c r="BX57" i="1"/>
  <c r="BW57" i="1"/>
  <c r="BV57" i="1"/>
  <c r="BU57" i="1"/>
  <c r="BQ57" i="1"/>
  <c r="BL57" i="1"/>
  <c r="BK57" i="1"/>
  <c r="BJ57" i="1"/>
  <c r="BI57" i="1"/>
  <c r="BH57" i="1"/>
  <c r="BG57" i="1"/>
  <c r="BC57" i="1"/>
  <c r="AX57" i="1"/>
  <c r="AW57" i="1"/>
  <c r="AV57" i="1"/>
  <c r="AU57" i="1"/>
  <c r="AT57" i="1"/>
  <c r="AS57" i="1"/>
  <c r="AO57" i="1"/>
  <c r="AJ57" i="1"/>
  <c r="AI57" i="1"/>
  <c r="AH57" i="1"/>
  <c r="AG57" i="1"/>
  <c r="AF57" i="1"/>
  <c r="AE57" i="1"/>
  <c r="V57" i="1"/>
  <c r="W57" i="1" s="1"/>
  <c r="U57" i="1"/>
  <c r="Q57" i="1"/>
  <c r="R57" i="1" s="1"/>
  <c r="P57" i="1"/>
  <c r="M57" i="1"/>
  <c r="L57" i="1"/>
  <c r="K57" i="1"/>
  <c r="J57" i="1"/>
  <c r="I57" i="1"/>
  <c r="H57" i="1" s="1"/>
  <c r="CO56" i="1"/>
  <c r="CI56" i="1" s="1"/>
  <c r="CM56" i="1"/>
  <c r="CL56" i="1"/>
  <c r="CH56" i="1"/>
  <c r="BZ56" i="1"/>
  <c r="BY56" i="1"/>
  <c r="BX56" i="1"/>
  <c r="BW56" i="1"/>
  <c r="BV56" i="1"/>
  <c r="BU56" i="1"/>
  <c r="BQ56" i="1"/>
  <c r="BL56" i="1"/>
  <c r="BK56" i="1"/>
  <c r="BJ56" i="1"/>
  <c r="BI56" i="1"/>
  <c r="BH56" i="1"/>
  <c r="BG56" i="1"/>
  <c r="BC56" i="1"/>
  <c r="AX56" i="1"/>
  <c r="AW56" i="1"/>
  <c r="AV56" i="1"/>
  <c r="AU56" i="1"/>
  <c r="AT56" i="1"/>
  <c r="AS56" i="1"/>
  <c r="AO56" i="1"/>
  <c r="AJ56" i="1"/>
  <c r="AI56" i="1"/>
  <c r="AH56" i="1"/>
  <c r="AG56" i="1"/>
  <c r="AF56" i="1"/>
  <c r="AE56" i="1"/>
  <c r="V56" i="1"/>
  <c r="X56" i="1" s="1"/>
  <c r="U56" i="1"/>
  <c r="Q56" i="1"/>
  <c r="S56" i="1" s="1"/>
  <c r="P56" i="1"/>
  <c r="M56" i="1"/>
  <c r="L56" i="1"/>
  <c r="K56" i="1"/>
  <c r="J56" i="1"/>
  <c r="I56" i="1"/>
  <c r="G56" i="1" s="1"/>
  <c r="CO55" i="1"/>
  <c r="CI55" i="1" s="1"/>
  <c r="CM55" i="1"/>
  <c r="CL55" i="1"/>
  <c r="CH55" i="1"/>
  <c r="BZ55" i="1"/>
  <c r="BY55" i="1"/>
  <c r="BX55" i="1"/>
  <c r="BW55" i="1"/>
  <c r="BV55" i="1"/>
  <c r="BU55" i="1"/>
  <c r="BQ55" i="1"/>
  <c r="BL55" i="1"/>
  <c r="BK55" i="1"/>
  <c r="BJ55" i="1"/>
  <c r="BI55" i="1"/>
  <c r="BH55" i="1"/>
  <c r="BG55" i="1"/>
  <c r="BC55" i="1"/>
  <c r="AX55" i="1"/>
  <c r="AW55" i="1"/>
  <c r="AV55" i="1"/>
  <c r="AU55" i="1"/>
  <c r="AT55" i="1"/>
  <c r="AS55" i="1"/>
  <c r="AO55" i="1"/>
  <c r="AJ55" i="1"/>
  <c r="AI55" i="1"/>
  <c r="AH55" i="1"/>
  <c r="AG55" i="1"/>
  <c r="AF55" i="1"/>
  <c r="AE55" i="1"/>
  <c r="V55" i="1"/>
  <c r="X55" i="1" s="1"/>
  <c r="U55" i="1"/>
  <c r="Q55" i="1"/>
  <c r="S55" i="1" s="1"/>
  <c r="P55" i="1"/>
  <c r="M55" i="1"/>
  <c r="L55" i="1"/>
  <c r="K55" i="1"/>
  <c r="J55" i="1"/>
  <c r="I55" i="1"/>
  <c r="F55" i="1" s="1"/>
  <c r="CO54" i="1"/>
  <c r="CK54" i="1" s="1"/>
  <c r="CM54" i="1"/>
  <c r="CL54" i="1"/>
  <c r="CH54" i="1"/>
  <c r="BZ54" i="1"/>
  <c r="BY54" i="1"/>
  <c r="BX54" i="1"/>
  <c r="BW54" i="1"/>
  <c r="BV54" i="1"/>
  <c r="BU54" i="1"/>
  <c r="BQ54" i="1"/>
  <c r="BL54" i="1"/>
  <c r="BK54" i="1"/>
  <c r="BJ54" i="1"/>
  <c r="BI54" i="1"/>
  <c r="BH54" i="1"/>
  <c r="BG54" i="1"/>
  <c r="BC54" i="1"/>
  <c r="AX54" i="1"/>
  <c r="AW54" i="1"/>
  <c r="AV54" i="1"/>
  <c r="AU54" i="1"/>
  <c r="AT54" i="1"/>
  <c r="AS54" i="1"/>
  <c r="AO54" i="1"/>
  <c r="AJ54" i="1"/>
  <c r="AI54" i="1"/>
  <c r="AH54" i="1"/>
  <c r="AG54" i="1"/>
  <c r="AF54" i="1"/>
  <c r="AE54" i="1"/>
  <c r="V54" i="1"/>
  <c r="X54" i="1" s="1"/>
  <c r="U54" i="1"/>
  <c r="Q54" i="1"/>
  <c r="S54" i="1" s="1"/>
  <c r="P54" i="1"/>
  <c r="M54" i="1"/>
  <c r="L54" i="1"/>
  <c r="K54" i="1"/>
  <c r="J54" i="1"/>
  <c r="I54" i="1"/>
  <c r="F54" i="1" s="1"/>
  <c r="CO53" i="1"/>
  <c r="CI53" i="1" s="1"/>
  <c r="CM53" i="1"/>
  <c r="CL53" i="1"/>
  <c r="CH53" i="1"/>
  <c r="BZ53" i="1"/>
  <c r="BY53" i="1"/>
  <c r="BX53" i="1"/>
  <c r="BW53" i="1"/>
  <c r="BV53" i="1"/>
  <c r="BU53" i="1"/>
  <c r="BQ53" i="1"/>
  <c r="BL53" i="1"/>
  <c r="BK53" i="1"/>
  <c r="BJ53" i="1"/>
  <c r="BI53" i="1"/>
  <c r="BH53" i="1"/>
  <c r="BG53" i="1"/>
  <c r="BC53" i="1"/>
  <c r="AX53" i="1"/>
  <c r="AW53" i="1"/>
  <c r="AV53" i="1"/>
  <c r="AU53" i="1"/>
  <c r="AT53" i="1"/>
  <c r="AS53" i="1"/>
  <c r="AO53" i="1"/>
  <c r="AJ53" i="1"/>
  <c r="AI53" i="1"/>
  <c r="AH53" i="1"/>
  <c r="AG53" i="1"/>
  <c r="AF53" i="1"/>
  <c r="AE53" i="1"/>
  <c r="V53" i="1"/>
  <c r="W53" i="1" s="1"/>
  <c r="U53" i="1"/>
  <c r="Q53" i="1"/>
  <c r="R53" i="1" s="1"/>
  <c r="P53" i="1"/>
  <c r="M53" i="1"/>
  <c r="L53" i="1"/>
  <c r="K53" i="1"/>
  <c r="J53" i="1"/>
  <c r="I53" i="1"/>
  <c r="H53" i="1" s="1"/>
  <c r="CO52" i="1"/>
  <c r="CI52" i="1" s="1"/>
  <c r="CM52" i="1"/>
  <c r="CL52" i="1"/>
  <c r="CH52" i="1"/>
  <c r="BZ52" i="1"/>
  <c r="BY52" i="1"/>
  <c r="BX52" i="1"/>
  <c r="BW52" i="1"/>
  <c r="BV52" i="1"/>
  <c r="BU52" i="1"/>
  <c r="BQ52" i="1"/>
  <c r="BL52" i="1"/>
  <c r="BK52" i="1"/>
  <c r="BJ52" i="1"/>
  <c r="BI52" i="1"/>
  <c r="BH52" i="1"/>
  <c r="BG52" i="1"/>
  <c r="BC52" i="1"/>
  <c r="AX52" i="1"/>
  <c r="AW52" i="1"/>
  <c r="AV52" i="1"/>
  <c r="AU52" i="1"/>
  <c r="AT52" i="1"/>
  <c r="AS52" i="1"/>
  <c r="AO52" i="1"/>
  <c r="AJ52" i="1"/>
  <c r="AI52" i="1"/>
  <c r="AH52" i="1"/>
  <c r="AG52" i="1"/>
  <c r="AF52" i="1"/>
  <c r="AE52" i="1"/>
  <c r="V52" i="1"/>
  <c r="W52" i="1" s="1"/>
  <c r="U52" i="1"/>
  <c r="Q52" i="1"/>
  <c r="R52" i="1" s="1"/>
  <c r="P52" i="1"/>
  <c r="M52" i="1"/>
  <c r="L52" i="1"/>
  <c r="K52" i="1"/>
  <c r="J52" i="1"/>
  <c r="I52" i="1"/>
  <c r="G52" i="1" s="1"/>
  <c r="M24" i="3"/>
  <c r="L154" i="4" l="1"/>
  <c r="L152" i="4"/>
  <c r="T152" i="4"/>
  <c r="S152" i="4"/>
  <c r="P152" i="4"/>
  <c r="N152" i="4"/>
  <c r="I152" i="4"/>
  <c r="T154" i="4"/>
  <c r="P154" i="4"/>
  <c r="O152" i="4"/>
  <c r="N154" i="4"/>
  <c r="M152" i="4"/>
  <c r="K152" i="4"/>
  <c r="A4" i="4"/>
  <c r="R154" i="4"/>
  <c r="S155" i="4"/>
  <c r="S154" i="4"/>
  <c r="S156" i="4"/>
  <c r="O157" i="4"/>
  <c r="O156" i="4"/>
  <c r="O155" i="4"/>
  <c r="O154" i="4"/>
  <c r="M155" i="4"/>
  <c r="M154" i="4"/>
  <c r="M157" i="4"/>
  <c r="M156" i="4"/>
  <c r="K158" i="4"/>
  <c r="K157" i="4"/>
  <c r="K156" i="4"/>
  <c r="K155" i="4"/>
  <c r="K154" i="4"/>
  <c r="I155" i="4"/>
  <c r="I154" i="4"/>
  <c r="I156" i="4"/>
  <c r="J57" i="4"/>
  <c r="A57" i="4"/>
  <c r="J59" i="4"/>
  <c r="A59" i="4"/>
  <c r="J61" i="4"/>
  <c r="A61" i="4"/>
  <c r="J65" i="4"/>
  <c r="A65" i="4"/>
  <c r="J69" i="4"/>
  <c r="A69" i="4"/>
  <c r="Q71" i="4"/>
  <c r="A71" i="4"/>
  <c r="J73" i="4"/>
  <c r="A73" i="4"/>
  <c r="Q79" i="4"/>
  <c r="A79" i="4"/>
  <c r="J81" i="4"/>
  <c r="A81" i="4"/>
  <c r="Q83" i="4"/>
  <c r="A83" i="4"/>
  <c r="J85" i="4"/>
  <c r="A85" i="4"/>
  <c r="J89" i="4"/>
  <c r="A89" i="4"/>
  <c r="Q91" i="4"/>
  <c r="A91" i="4"/>
  <c r="J93" i="4"/>
  <c r="A93" i="4"/>
  <c r="Q95" i="4"/>
  <c r="A95" i="4"/>
  <c r="J97" i="4"/>
  <c r="A97" i="4"/>
  <c r="Q99" i="4"/>
  <c r="A99" i="4"/>
  <c r="J101" i="4"/>
  <c r="A101" i="4"/>
  <c r="Q103" i="4"/>
  <c r="A103" i="4"/>
  <c r="J105" i="4"/>
  <c r="A105" i="4"/>
  <c r="J107" i="4"/>
  <c r="A107" i="4"/>
  <c r="Q111" i="4"/>
  <c r="A111" i="4"/>
  <c r="J113" i="4"/>
  <c r="A113" i="4"/>
  <c r="Q115" i="4"/>
  <c r="A115" i="4"/>
  <c r="J117" i="4"/>
  <c r="A117" i="4"/>
  <c r="J121" i="4"/>
  <c r="A121" i="4"/>
  <c r="Q123" i="4"/>
  <c r="A123" i="4"/>
  <c r="J125" i="4"/>
  <c r="A125" i="4"/>
  <c r="Q127" i="4"/>
  <c r="A127" i="4"/>
  <c r="J129" i="4"/>
  <c r="A129" i="4"/>
  <c r="Q131" i="4"/>
  <c r="A131" i="4"/>
  <c r="J133" i="4"/>
  <c r="A133" i="4"/>
  <c r="Q135" i="4"/>
  <c r="A135" i="4"/>
  <c r="J137" i="4"/>
  <c r="A137" i="4"/>
  <c r="J139" i="4"/>
  <c r="A139" i="4"/>
  <c r="J141" i="4"/>
  <c r="A141" i="4"/>
  <c r="Q143" i="4"/>
  <c r="A143" i="4"/>
  <c r="J145" i="4"/>
  <c r="A145" i="4"/>
  <c r="A147" i="4"/>
  <c r="Q147" i="4"/>
  <c r="J149" i="4"/>
  <c r="A149" i="4"/>
  <c r="N72" i="2"/>
  <c r="N68" i="2"/>
  <c r="N64" i="2"/>
  <c r="N60" i="2"/>
  <c r="N56" i="2"/>
  <c r="M147" i="2"/>
  <c r="M143" i="2"/>
  <c r="M139" i="2"/>
  <c r="M135" i="2"/>
  <c r="M131" i="2"/>
  <c r="M127" i="2"/>
  <c r="M123" i="2"/>
  <c r="M119" i="2"/>
  <c r="M115" i="2"/>
  <c r="M111" i="2"/>
  <c r="M107" i="2"/>
  <c r="M103" i="2"/>
  <c r="M99" i="2"/>
  <c r="M95" i="2"/>
  <c r="M91" i="2"/>
  <c r="M87" i="2"/>
  <c r="M83" i="2"/>
  <c r="M79" i="2"/>
  <c r="M75" i="2"/>
  <c r="N54" i="2"/>
  <c r="N73" i="2"/>
  <c r="N85" i="2"/>
  <c r="N93" i="2"/>
  <c r="N113" i="2"/>
  <c r="N145" i="2"/>
  <c r="M71" i="2"/>
  <c r="M67" i="2"/>
  <c r="M63" i="2"/>
  <c r="M59" i="2"/>
  <c r="M55" i="2"/>
  <c r="M51" i="2"/>
  <c r="M47" i="2"/>
  <c r="M43" i="2"/>
  <c r="M39" i="2"/>
  <c r="M35" i="2"/>
  <c r="M31" i="2"/>
  <c r="M27" i="2"/>
  <c r="M23" i="2"/>
  <c r="M19" i="2"/>
  <c r="M15" i="2"/>
  <c r="N57" i="2"/>
  <c r="N65" i="2"/>
  <c r="N97" i="2"/>
  <c r="N105" i="2"/>
  <c r="N117" i="2"/>
  <c r="N125" i="2"/>
  <c r="N137" i="2"/>
  <c r="N149" i="2"/>
  <c r="N69" i="2"/>
  <c r="N77" i="2"/>
  <c r="N89" i="2"/>
  <c r="N129" i="2"/>
  <c r="M5" i="2"/>
  <c r="M7" i="2"/>
  <c r="M150" i="2"/>
  <c r="M146" i="2"/>
  <c r="M142" i="2"/>
  <c r="M138" i="2"/>
  <c r="M134" i="2"/>
  <c r="M130" i="2"/>
  <c r="M126" i="2"/>
  <c r="M122" i="2"/>
  <c r="M118" i="2"/>
  <c r="M114" i="2"/>
  <c r="M110" i="2"/>
  <c r="M106" i="2"/>
  <c r="M102" i="2"/>
  <c r="M98" i="2"/>
  <c r="M94" i="2"/>
  <c r="M90" i="2"/>
  <c r="M86" i="2"/>
  <c r="M82" i="2"/>
  <c r="M78" i="2"/>
  <c r="M74" i="2"/>
  <c r="M70" i="2"/>
  <c r="M66" i="2"/>
  <c r="M62" i="2"/>
  <c r="M58" i="2"/>
  <c r="M54" i="2"/>
  <c r="M50" i="2"/>
  <c r="M46" i="2"/>
  <c r="M42" i="2"/>
  <c r="M38" i="2"/>
  <c r="M34" i="2"/>
  <c r="M30" i="2"/>
  <c r="M26" i="2"/>
  <c r="M22" i="2"/>
  <c r="M18" i="2"/>
  <c r="M14" i="2"/>
  <c r="N151" i="2"/>
  <c r="N147" i="2"/>
  <c r="N143" i="2"/>
  <c r="N139" i="2"/>
  <c r="N135" i="2"/>
  <c r="N131" i="2"/>
  <c r="N127" i="2"/>
  <c r="N123" i="2"/>
  <c r="N119" i="2"/>
  <c r="N115" i="2"/>
  <c r="N111" i="2"/>
  <c r="N107" i="2"/>
  <c r="N103" i="2"/>
  <c r="N99" i="2"/>
  <c r="N95" i="2"/>
  <c r="N91" i="2"/>
  <c r="N87" i="2"/>
  <c r="N83" i="2"/>
  <c r="N79" i="2"/>
  <c r="N75" i="2"/>
  <c r="N71" i="2"/>
  <c r="N67" i="2"/>
  <c r="N63" i="2"/>
  <c r="N59" i="2"/>
  <c r="N55" i="2"/>
  <c r="M153" i="2"/>
  <c r="M149" i="2"/>
  <c r="M145" i="2"/>
  <c r="M141" i="2"/>
  <c r="M137" i="2"/>
  <c r="M133" i="2"/>
  <c r="M129" i="2"/>
  <c r="M125" i="2"/>
  <c r="M121" i="2"/>
  <c r="M117" i="2"/>
  <c r="M113" i="2"/>
  <c r="M109" i="2"/>
  <c r="M105" i="2"/>
  <c r="M101" i="2"/>
  <c r="M97" i="2"/>
  <c r="M93" i="2"/>
  <c r="M89" i="2"/>
  <c r="M85" i="2"/>
  <c r="M81" i="2"/>
  <c r="M77" i="2"/>
  <c r="M73" i="2"/>
  <c r="M69" i="2"/>
  <c r="M65" i="2"/>
  <c r="M61" i="2"/>
  <c r="M57" i="2"/>
  <c r="M53" i="2"/>
  <c r="M49" i="2"/>
  <c r="M45" i="2"/>
  <c r="M41" i="2"/>
  <c r="M37" i="2"/>
  <c r="M33" i="2"/>
  <c r="M29" i="2"/>
  <c r="M25" i="2"/>
  <c r="M21" i="2"/>
  <c r="M17" i="2"/>
  <c r="M13" i="2"/>
  <c r="N82" i="2"/>
  <c r="N78" i="2"/>
  <c r="N74" i="2"/>
  <c r="N62" i="2"/>
  <c r="N58" i="2"/>
  <c r="M10" i="2"/>
  <c r="M152" i="2"/>
  <c r="M148" i="2"/>
  <c r="M144" i="2"/>
  <c r="M140" i="2"/>
  <c r="M136" i="2"/>
  <c r="M132" i="2"/>
  <c r="M128" i="2"/>
  <c r="M124" i="2"/>
  <c r="M120" i="2"/>
  <c r="M116" i="2"/>
  <c r="M112" i="2"/>
  <c r="M108" i="2"/>
  <c r="M104" i="2"/>
  <c r="M100" i="2"/>
  <c r="M96" i="2"/>
  <c r="M92" i="2"/>
  <c r="M88" i="2"/>
  <c r="M84" i="2"/>
  <c r="M80" i="2"/>
  <c r="M76" i="2"/>
  <c r="M72" i="2"/>
  <c r="M68" i="2"/>
  <c r="M64" i="2"/>
  <c r="M60" i="2"/>
  <c r="M56" i="2"/>
  <c r="M52" i="2"/>
  <c r="M48" i="2"/>
  <c r="M44" i="2"/>
  <c r="M40" i="2"/>
  <c r="M36" i="2"/>
  <c r="M32" i="2"/>
  <c r="M28" i="2"/>
  <c r="M24" i="2"/>
  <c r="M20" i="2"/>
  <c r="M16" i="2"/>
  <c r="M12" i="2"/>
  <c r="M9" i="2"/>
  <c r="M6" i="2"/>
  <c r="F76" i="1"/>
  <c r="H135" i="1"/>
  <c r="M8" i="2"/>
  <c r="F80" i="1"/>
  <c r="X79" i="1"/>
  <c r="R80" i="1"/>
  <c r="H59" i="1"/>
  <c r="S90" i="1"/>
  <c r="X83" i="1"/>
  <c r="S67" i="1"/>
  <c r="W102" i="1"/>
  <c r="R105" i="1"/>
  <c r="X113" i="1"/>
  <c r="G74" i="1"/>
  <c r="G78" i="1"/>
  <c r="G81" i="1"/>
  <c r="R112" i="1"/>
  <c r="F131" i="1"/>
  <c r="H139" i="1"/>
  <c r="H93" i="1"/>
  <c r="R59" i="1"/>
  <c r="H88" i="1"/>
  <c r="W109" i="1"/>
  <c r="S113" i="1"/>
  <c r="H117" i="1"/>
  <c r="R117" i="1"/>
  <c r="X122" i="1"/>
  <c r="F124" i="1"/>
  <c r="G143" i="1"/>
  <c r="S145" i="1"/>
  <c r="H84" i="1"/>
  <c r="R86" i="1"/>
  <c r="W106" i="1"/>
  <c r="F108" i="1"/>
  <c r="F120" i="1"/>
  <c r="G131" i="1"/>
  <c r="R132" i="1"/>
  <c r="G147" i="1"/>
  <c r="S149" i="1"/>
  <c r="G70" i="1"/>
  <c r="H92" i="1"/>
  <c r="H101" i="1"/>
  <c r="R101" i="1"/>
  <c r="R106" i="1"/>
  <c r="S111" i="1"/>
  <c r="G115" i="1"/>
  <c r="H120" i="1"/>
  <c r="S122" i="1"/>
  <c r="H124" i="1"/>
  <c r="X130" i="1"/>
  <c r="R137" i="1"/>
  <c r="W137" i="1"/>
  <c r="H144" i="1"/>
  <c r="G54" i="1"/>
  <c r="G128" i="1"/>
  <c r="H54" i="1"/>
  <c r="W60" i="1"/>
  <c r="X87" i="1"/>
  <c r="F88" i="1"/>
  <c r="R97" i="1"/>
  <c r="H128" i="1"/>
  <c r="R133" i="1"/>
  <c r="X134" i="1"/>
  <c r="F135" i="1"/>
  <c r="H140" i="1"/>
  <c r="W144" i="1"/>
  <c r="Q129" i="4"/>
  <c r="U129" i="4" s="1"/>
  <c r="J91" i="4"/>
  <c r="U91" i="4" s="1"/>
  <c r="Q113" i="4"/>
  <c r="U113" i="4" s="1"/>
  <c r="Q81" i="4"/>
  <c r="U81" i="4" s="1"/>
  <c r="J123" i="4"/>
  <c r="U123" i="4" s="1"/>
  <c r="Q145" i="4"/>
  <c r="U145" i="4" s="1"/>
  <c r="Q65" i="4"/>
  <c r="U65" i="4" s="1"/>
  <c r="F132" i="1"/>
  <c r="H132" i="1"/>
  <c r="Q102" i="4"/>
  <c r="J102" i="4"/>
  <c r="X61" i="1"/>
  <c r="S75" i="1"/>
  <c r="S79" i="1"/>
  <c r="R93" i="1"/>
  <c r="W94" i="1"/>
  <c r="F97" i="1"/>
  <c r="G97" i="1"/>
  <c r="R98" i="1"/>
  <c r="W98" i="1"/>
  <c r="W103" i="1"/>
  <c r="X103" i="1"/>
  <c r="W107" i="1"/>
  <c r="X107" i="1"/>
  <c r="R115" i="1"/>
  <c r="S115" i="1"/>
  <c r="S120" i="1"/>
  <c r="R120" i="1"/>
  <c r="H123" i="1"/>
  <c r="F123" i="1"/>
  <c r="S124" i="1"/>
  <c r="R124" i="1"/>
  <c r="S144" i="1"/>
  <c r="R144" i="1"/>
  <c r="Q75" i="4"/>
  <c r="Q87" i="4"/>
  <c r="J87" i="4"/>
  <c r="Q90" i="4"/>
  <c r="J90" i="4"/>
  <c r="J109" i="4"/>
  <c r="Q109" i="4"/>
  <c r="J124" i="4"/>
  <c r="Q124" i="4"/>
  <c r="Q134" i="4"/>
  <c r="J134" i="4"/>
  <c r="J77" i="4"/>
  <c r="Q77" i="4"/>
  <c r="R54" i="1"/>
  <c r="R60" i="1"/>
  <c r="F62" i="1"/>
  <c r="S71" i="1"/>
  <c r="G62" i="1"/>
  <c r="G66" i="1"/>
  <c r="W68" i="1"/>
  <c r="F69" i="1"/>
  <c r="W70" i="1"/>
  <c r="W74" i="1"/>
  <c r="W78" i="1"/>
  <c r="R82" i="1"/>
  <c r="W82" i="1"/>
  <c r="G89" i="1"/>
  <c r="X91" i="1"/>
  <c r="F92" i="1"/>
  <c r="R94" i="1"/>
  <c r="X95" i="1"/>
  <c r="F96" i="1"/>
  <c r="W99" i="1"/>
  <c r="X99" i="1"/>
  <c r="G100" i="1"/>
  <c r="H100" i="1"/>
  <c r="F100" i="1"/>
  <c r="S102" i="1"/>
  <c r="R102" i="1"/>
  <c r="G105" i="1"/>
  <c r="H105" i="1"/>
  <c r="F105" i="1"/>
  <c r="X114" i="1"/>
  <c r="W114" i="1"/>
  <c r="F136" i="1"/>
  <c r="H136" i="1"/>
  <c r="G136" i="1"/>
  <c r="X148" i="1"/>
  <c r="W148" i="1"/>
  <c r="J72" i="4"/>
  <c r="Q72" i="4"/>
  <c r="Q107" i="4"/>
  <c r="U107" i="4" s="1"/>
  <c r="Q119" i="4"/>
  <c r="J119" i="4"/>
  <c r="Q122" i="4"/>
  <c r="J122" i="4"/>
  <c r="J75" i="4"/>
  <c r="Q97" i="4"/>
  <c r="U97" i="4" s="1"/>
  <c r="H112" i="1"/>
  <c r="G112" i="1"/>
  <c r="F112" i="1"/>
  <c r="J92" i="4"/>
  <c r="Q92" i="4"/>
  <c r="J136" i="4"/>
  <c r="Q136" i="4"/>
  <c r="F66" i="1"/>
  <c r="X52" i="1"/>
  <c r="S52" i="1"/>
  <c r="X53" i="1"/>
  <c r="F56" i="1"/>
  <c r="R62" i="1"/>
  <c r="R66" i="1"/>
  <c r="X67" i="1"/>
  <c r="F68" i="1"/>
  <c r="R68" i="1"/>
  <c r="G69" i="1"/>
  <c r="W72" i="1"/>
  <c r="G73" i="1"/>
  <c r="W76" i="1"/>
  <c r="G77" i="1"/>
  <c r="H85" i="1"/>
  <c r="R85" i="1"/>
  <c r="W86" i="1"/>
  <c r="H89" i="1"/>
  <c r="R89" i="1"/>
  <c r="H96" i="1"/>
  <c r="H111" i="1"/>
  <c r="F111" i="1"/>
  <c r="F116" i="1"/>
  <c r="G116" i="1"/>
  <c r="X121" i="1"/>
  <c r="W121" i="1"/>
  <c r="X125" i="1"/>
  <c r="W125" i="1"/>
  <c r="G127" i="1"/>
  <c r="H127" i="1"/>
  <c r="F127" i="1"/>
  <c r="S128" i="1"/>
  <c r="R128" i="1"/>
  <c r="S140" i="1"/>
  <c r="R140" i="1"/>
  <c r="J53" i="4"/>
  <c r="Q53" i="4"/>
  <c r="J60" i="4"/>
  <c r="Q60" i="4"/>
  <c r="Q63" i="4"/>
  <c r="J63" i="4"/>
  <c r="Q67" i="4"/>
  <c r="J67" i="4"/>
  <c r="J104" i="4"/>
  <c r="Q104" i="4"/>
  <c r="Q139" i="4"/>
  <c r="U139" i="4" s="1"/>
  <c r="J148" i="4"/>
  <c r="Q148" i="4"/>
  <c r="Q51" i="4"/>
  <c r="Q54" i="4"/>
  <c r="J54" i="4"/>
  <c r="J64" i="4"/>
  <c r="Q64" i="4"/>
  <c r="Q70" i="4"/>
  <c r="J70" i="4"/>
  <c r="Q78" i="4"/>
  <c r="J78" i="4"/>
  <c r="J80" i="4"/>
  <c r="Q80" i="4"/>
  <c r="Q98" i="4"/>
  <c r="J98" i="4"/>
  <c r="J100" i="4"/>
  <c r="Q100" i="4"/>
  <c r="Q110" i="4"/>
  <c r="J110" i="4"/>
  <c r="J112" i="4"/>
  <c r="Q112" i="4"/>
  <c r="Q130" i="4"/>
  <c r="J130" i="4"/>
  <c r="J132" i="4"/>
  <c r="Q132" i="4"/>
  <c r="J140" i="4"/>
  <c r="Q140" i="4"/>
  <c r="Q142" i="4"/>
  <c r="J142" i="4"/>
  <c r="J144" i="4"/>
  <c r="Q144" i="4"/>
  <c r="Q146" i="4"/>
  <c r="J146" i="4"/>
  <c r="J135" i="4"/>
  <c r="U135" i="4" s="1"/>
  <c r="J103" i="4"/>
  <c r="U103" i="4" s="1"/>
  <c r="J71" i="4"/>
  <c r="U71" i="4" s="1"/>
  <c r="J55" i="4"/>
  <c r="U55" i="4" s="1"/>
  <c r="Q141" i="4"/>
  <c r="U141" i="4" s="1"/>
  <c r="Q125" i="4"/>
  <c r="U125" i="4" s="1"/>
  <c r="Q93" i="4"/>
  <c r="U93" i="4" s="1"/>
  <c r="Q61" i="4"/>
  <c r="U61" i="4" s="1"/>
  <c r="S107" i="1"/>
  <c r="H114" i="1"/>
  <c r="R114" i="1"/>
  <c r="H118" i="1"/>
  <c r="R118" i="1"/>
  <c r="W118" i="1"/>
  <c r="S119" i="1"/>
  <c r="R121" i="1"/>
  <c r="R125" i="1"/>
  <c r="X126" i="1"/>
  <c r="R129" i="1"/>
  <c r="W129" i="1"/>
  <c r="X138" i="1"/>
  <c r="F139" i="1"/>
  <c r="S141" i="1"/>
  <c r="H148" i="1"/>
  <c r="R148" i="1"/>
  <c r="G151" i="1"/>
  <c r="J52" i="4"/>
  <c r="Q52" i="4"/>
  <c r="Q58" i="4"/>
  <c r="J58" i="4"/>
  <c r="J68" i="4"/>
  <c r="Q68" i="4"/>
  <c r="Q74" i="4"/>
  <c r="J74" i="4"/>
  <c r="J76" i="4"/>
  <c r="Q76" i="4"/>
  <c r="Q86" i="4"/>
  <c r="J86" i="4"/>
  <c r="J88" i="4"/>
  <c r="Q88" i="4"/>
  <c r="Q106" i="4"/>
  <c r="J106" i="4"/>
  <c r="J108" i="4"/>
  <c r="Q108" i="4"/>
  <c r="Q118" i="4"/>
  <c r="J118" i="4"/>
  <c r="J120" i="4"/>
  <c r="Q120" i="4"/>
  <c r="Q138" i="4"/>
  <c r="J138" i="4"/>
  <c r="J147" i="4"/>
  <c r="U147" i="4" s="1"/>
  <c r="J131" i="4"/>
  <c r="U131" i="4" s="1"/>
  <c r="J115" i="4"/>
  <c r="U115" i="4" s="1"/>
  <c r="J99" i="4"/>
  <c r="U99" i="4" s="1"/>
  <c r="J83" i="4"/>
  <c r="U83" i="4" s="1"/>
  <c r="J51" i="4"/>
  <c r="Q137" i="4"/>
  <c r="U137" i="4" s="1"/>
  <c r="Q121" i="4"/>
  <c r="U121" i="4" s="1"/>
  <c r="Q105" i="4"/>
  <c r="U105" i="4" s="1"/>
  <c r="Q89" i="4"/>
  <c r="U89" i="4" s="1"/>
  <c r="Q73" i="4"/>
  <c r="U73" i="4" s="1"/>
  <c r="Q57" i="4"/>
  <c r="U57" i="4" s="1"/>
  <c r="J56" i="4"/>
  <c r="Q56" i="4"/>
  <c r="Q59" i="4"/>
  <c r="U59" i="4" s="1"/>
  <c r="Q62" i="4"/>
  <c r="J62" i="4"/>
  <c r="Q66" i="4"/>
  <c r="J66" i="4"/>
  <c r="Q82" i="4"/>
  <c r="J82" i="4"/>
  <c r="J84" i="4"/>
  <c r="Q84" i="4"/>
  <c r="Q94" i="4"/>
  <c r="J94" i="4"/>
  <c r="J96" i="4"/>
  <c r="Q96" i="4"/>
  <c r="Q114" i="4"/>
  <c r="J114" i="4"/>
  <c r="J116" i="4"/>
  <c r="Q116" i="4"/>
  <c r="Q126" i="4"/>
  <c r="J126" i="4"/>
  <c r="J128" i="4"/>
  <c r="Q128" i="4"/>
  <c r="Q150" i="4"/>
  <c r="J150" i="4"/>
  <c r="J143" i="4"/>
  <c r="U143" i="4" s="1"/>
  <c r="J127" i="4"/>
  <c r="U127" i="4" s="1"/>
  <c r="J111" i="4"/>
  <c r="U111" i="4" s="1"/>
  <c r="J95" i="4"/>
  <c r="U95" i="4" s="1"/>
  <c r="J79" i="4"/>
  <c r="U79" i="4" s="1"/>
  <c r="Q149" i="4"/>
  <c r="U149" i="4" s="1"/>
  <c r="Q133" i="4"/>
  <c r="U133" i="4" s="1"/>
  <c r="Q117" i="4"/>
  <c r="U117" i="4" s="1"/>
  <c r="Q101" i="4"/>
  <c r="U101" i="4" s="1"/>
  <c r="Q85" i="4"/>
  <c r="U85" i="4" s="1"/>
  <c r="Q69" i="4"/>
  <c r="U69" i="4" s="1"/>
  <c r="H56" i="1"/>
  <c r="R56" i="1"/>
  <c r="W56" i="1"/>
  <c r="F58" i="1"/>
  <c r="W58" i="1"/>
  <c r="G59" i="1"/>
  <c r="W59" i="1"/>
  <c r="R63" i="1"/>
  <c r="W63" i="1"/>
  <c r="R64" i="1"/>
  <c r="W64" i="1"/>
  <c r="H70" i="1"/>
  <c r="R70" i="1"/>
  <c r="F73" i="1"/>
  <c r="H74" i="1"/>
  <c r="R74" i="1"/>
  <c r="F77" i="1"/>
  <c r="H78" i="1"/>
  <c r="R78" i="1"/>
  <c r="G85" i="1"/>
  <c r="W85" i="1"/>
  <c r="F87" i="1"/>
  <c r="S87" i="1"/>
  <c r="G93" i="1"/>
  <c r="W93" i="1"/>
  <c r="F95" i="1"/>
  <c r="S95" i="1"/>
  <c r="G101" i="1"/>
  <c r="W101" i="1"/>
  <c r="F103" i="1"/>
  <c r="S103" i="1"/>
  <c r="G104" i="1"/>
  <c r="G108" i="1"/>
  <c r="R110" i="1"/>
  <c r="W110" i="1"/>
  <c r="W112" i="1"/>
  <c r="H116" i="1"/>
  <c r="G123" i="1"/>
  <c r="W128" i="1"/>
  <c r="F130" i="1"/>
  <c r="S130" i="1"/>
  <c r="W136" i="1"/>
  <c r="F138" i="1"/>
  <c r="S138" i="1"/>
  <c r="X141" i="1"/>
  <c r="F142" i="1"/>
  <c r="H143" i="1"/>
  <c r="X145" i="1"/>
  <c r="F146" i="1"/>
  <c r="H147" i="1"/>
  <c r="X149" i="1"/>
  <c r="F150" i="1"/>
  <c r="F52" i="1"/>
  <c r="F65" i="1"/>
  <c r="G109" i="1"/>
  <c r="G142" i="1"/>
  <c r="G146" i="1"/>
  <c r="G150" i="1"/>
  <c r="F57" i="1"/>
  <c r="G58" i="1"/>
  <c r="H52" i="1"/>
  <c r="S53" i="1"/>
  <c r="W54" i="1"/>
  <c r="G55" i="1"/>
  <c r="G57" i="1"/>
  <c r="S57" i="1"/>
  <c r="G65" i="1"/>
  <c r="F83" i="1"/>
  <c r="S83" i="1"/>
  <c r="W89" i="1"/>
  <c r="F91" i="1"/>
  <c r="S91" i="1"/>
  <c r="W97" i="1"/>
  <c r="F99" i="1"/>
  <c r="S99" i="1"/>
  <c r="W105" i="1"/>
  <c r="F107" i="1"/>
  <c r="H109" i="1"/>
  <c r="R109" i="1"/>
  <c r="F115" i="1"/>
  <c r="X115" i="1"/>
  <c r="W116" i="1"/>
  <c r="G117" i="1"/>
  <c r="W117" i="1"/>
  <c r="F118" i="1"/>
  <c r="W120" i="1"/>
  <c r="F122" i="1"/>
  <c r="W124" i="1"/>
  <c r="F126" i="1"/>
  <c r="S126" i="1"/>
  <c r="G132" i="1"/>
  <c r="W132" i="1"/>
  <c r="F134" i="1"/>
  <c r="S134" i="1"/>
  <c r="G140" i="1"/>
  <c r="W140" i="1"/>
  <c r="CI141" i="1"/>
  <c r="CI143" i="1"/>
  <c r="CJ69" i="1"/>
  <c r="CI92" i="1"/>
  <c r="CJ129" i="1"/>
  <c r="CJ149" i="1"/>
  <c r="CI88" i="1"/>
  <c r="CI123" i="1"/>
  <c r="CK149" i="1"/>
  <c r="CJ119" i="1"/>
  <c r="CJ122" i="1"/>
  <c r="CI126" i="1"/>
  <c r="CI135" i="1"/>
  <c r="CJ134" i="1"/>
  <c r="CI147" i="1"/>
  <c r="CJ56" i="1"/>
  <c r="CJ79" i="1"/>
  <c r="CJ83" i="1"/>
  <c r="CI100" i="1"/>
  <c r="CJ114" i="1"/>
  <c r="CJ115" i="1"/>
  <c r="CJ126" i="1"/>
  <c r="CJ99" i="1"/>
  <c r="CJ103" i="1"/>
  <c r="CK119" i="1"/>
  <c r="CJ121" i="1"/>
  <c r="CJ123" i="1"/>
  <c r="CI139" i="1"/>
  <c r="CI83" i="1"/>
  <c r="CJ108" i="1"/>
  <c r="CJ111" i="1"/>
  <c r="CI127" i="1"/>
  <c r="CJ57" i="1"/>
  <c r="CJ73" i="1"/>
  <c r="CI84" i="1"/>
  <c r="CJ91" i="1"/>
  <c r="CJ76" i="1"/>
  <c r="CI80" i="1"/>
  <c r="CI112" i="1"/>
  <c r="CJ133" i="1"/>
  <c r="CJ138" i="1"/>
  <c r="CI142" i="1"/>
  <c r="CJ147" i="1"/>
  <c r="CJ59" i="1"/>
  <c r="CI61" i="1"/>
  <c r="CI62" i="1"/>
  <c r="CI65" i="1"/>
  <c r="CI66" i="1"/>
  <c r="CJ86" i="1"/>
  <c r="CJ90" i="1"/>
  <c r="CK91" i="1"/>
  <c r="CJ92" i="1"/>
  <c r="CK94" i="1"/>
  <c r="CJ107" i="1"/>
  <c r="CK122" i="1"/>
  <c r="CJ127" i="1"/>
  <c r="CK129" i="1"/>
  <c r="CJ137" i="1"/>
  <c r="CJ141" i="1"/>
  <c r="CJ94" i="1"/>
  <c r="CJ95" i="1"/>
  <c r="CJ106" i="1"/>
  <c r="CJ113" i="1"/>
  <c r="CJ151" i="1"/>
  <c r="CJ87" i="1"/>
  <c r="CK99" i="1"/>
  <c r="CJ100" i="1"/>
  <c r="CK102" i="1"/>
  <c r="CK107" i="1"/>
  <c r="CK108" i="1"/>
  <c r="CJ110" i="1"/>
  <c r="CK115" i="1"/>
  <c r="CI116" i="1"/>
  <c r="CK121" i="1"/>
  <c r="CI131" i="1"/>
  <c r="CK134" i="1"/>
  <c r="CJ135" i="1"/>
  <c r="CK137" i="1"/>
  <c r="CI146" i="1"/>
  <c r="CK151" i="1"/>
  <c r="CJ65" i="1"/>
  <c r="CJ72" i="1"/>
  <c r="CJ55" i="1"/>
  <c r="CJ64" i="1"/>
  <c r="CJ66" i="1"/>
  <c r="CJ68" i="1"/>
  <c r="CJ77" i="1"/>
  <c r="CJ80" i="1"/>
  <c r="CJ84" i="1"/>
  <c r="CK86" i="1"/>
  <c r="CI96" i="1"/>
  <c r="CJ104" i="1"/>
  <c r="CJ130" i="1"/>
  <c r="CJ142" i="1"/>
  <c r="CJ145" i="1"/>
  <c r="CJ102" i="1"/>
  <c r="CK56" i="1"/>
  <c r="CK106" i="1"/>
  <c r="CK114" i="1"/>
  <c r="CJ98" i="1"/>
  <c r="CK67" i="1"/>
  <c r="CI69" i="1"/>
  <c r="CK71" i="1"/>
  <c r="CI73" i="1"/>
  <c r="CK75" i="1"/>
  <c r="CI77" i="1"/>
  <c r="CK79" i="1"/>
  <c r="CK82" i="1"/>
  <c r="CI87" i="1"/>
  <c r="CK95" i="1"/>
  <c r="CJ96" i="1"/>
  <c r="CK98" i="1"/>
  <c r="CI103" i="1"/>
  <c r="CI104" i="1"/>
  <c r="CI111" i="1"/>
  <c r="CK113" i="1"/>
  <c r="CK125" i="1"/>
  <c r="CI130" i="1"/>
  <c r="CK138" i="1"/>
  <c r="CJ139" i="1"/>
  <c r="CI145" i="1"/>
  <c r="CJ150" i="1"/>
  <c r="CJ71" i="1"/>
  <c r="CK53" i="1"/>
  <c r="CJ53" i="1"/>
  <c r="CJ67" i="1"/>
  <c r="CJ75" i="1"/>
  <c r="CJ82" i="1"/>
  <c r="CJ125" i="1"/>
  <c r="CK55" i="1"/>
  <c r="CK57" i="1"/>
  <c r="CJ61" i="1"/>
  <c r="CJ54" i="1"/>
  <c r="CJ62" i="1"/>
  <c r="CK64" i="1"/>
  <c r="CK68" i="1"/>
  <c r="CK72" i="1"/>
  <c r="CK76" i="1"/>
  <c r="CJ88" i="1"/>
  <c r="CK90" i="1"/>
  <c r="CK110" i="1"/>
  <c r="CJ116" i="1"/>
  <c r="CJ131" i="1"/>
  <c r="CK133" i="1"/>
  <c r="CJ143" i="1"/>
  <c r="CJ146" i="1"/>
  <c r="CJ63" i="1"/>
  <c r="H64" i="1"/>
  <c r="G64" i="1"/>
  <c r="S69" i="1"/>
  <c r="R69" i="1"/>
  <c r="CI89" i="1"/>
  <c r="CK89" i="1"/>
  <c r="CJ89" i="1"/>
  <c r="CI97" i="1"/>
  <c r="CK97" i="1"/>
  <c r="CJ97" i="1"/>
  <c r="H106" i="1"/>
  <c r="G106" i="1"/>
  <c r="F106" i="1"/>
  <c r="CK52" i="1"/>
  <c r="F53" i="1"/>
  <c r="CI54" i="1"/>
  <c r="H55" i="1"/>
  <c r="R55" i="1"/>
  <c r="W55" i="1"/>
  <c r="X57" i="1"/>
  <c r="CJ58" i="1"/>
  <c r="CI59" i="1"/>
  <c r="CK63" i="1"/>
  <c r="W66" i="1"/>
  <c r="CI74" i="1"/>
  <c r="CK74" i="1"/>
  <c r="X80" i="1"/>
  <c r="W80" i="1"/>
  <c r="S81" i="1"/>
  <c r="R81" i="1"/>
  <c r="X65" i="1"/>
  <c r="W65" i="1"/>
  <c r="G67" i="1"/>
  <c r="F67" i="1"/>
  <c r="X73" i="1"/>
  <c r="W73" i="1"/>
  <c r="S77" i="1"/>
  <c r="R77" i="1"/>
  <c r="G63" i="1"/>
  <c r="F63" i="1"/>
  <c r="S65" i="1"/>
  <c r="R65" i="1"/>
  <c r="X69" i="1"/>
  <c r="W69" i="1"/>
  <c r="H71" i="1"/>
  <c r="G71" i="1"/>
  <c r="F71" i="1"/>
  <c r="S73" i="1"/>
  <c r="R73" i="1"/>
  <c r="X77" i="1"/>
  <c r="W77" i="1"/>
  <c r="H79" i="1"/>
  <c r="G79" i="1"/>
  <c r="F79" i="1"/>
  <c r="CI85" i="1"/>
  <c r="CK85" i="1"/>
  <c r="CJ85" i="1"/>
  <c r="CI93" i="1"/>
  <c r="CK93" i="1"/>
  <c r="CJ93" i="1"/>
  <c r="CI101" i="1"/>
  <c r="CK101" i="1"/>
  <c r="CJ101" i="1"/>
  <c r="X104" i="1"/>
  <c r="W104" i="1"/>
  <c r="R143" i="1"/>
  <c r="S143" i="1"/>
  <c r="CJ52" i="1"/>
  <c r="CI58" i="1"/>
  <c r="H75" i="1"/>
  <c r="G75" i="1"/>
  <c r="F75" i="1"/>
  <c r="CK81" i="1"/>
  <c r="CJ81" i="1"/>
  <c r="G53" i="1"/>
  <c r="F60" i="1"/>
  <c r="CJ60" i="1"/>
  <c r="F61" i="1"/>
  <c r="R58" i="1"/>
  <c r="H60" i="1"/>
  <c r="CK60" i="1"/>
  <c r="G61" i="1"/>
  <c r="S61" i="1"/>
  <c r="W62" i="1"/>
  <c r="F64" i="1"/>
  <c r="H67" i="1"/>
  <c r="CI70" i="1"/>
  <c r="CK70" i="1"/>
  <c r="CI78" i="1"/>
  <c r="CK78" i="1"/>
  <c r="X81" i="1"/>
  <c r="W81" i="1"/>
  <c r="S108" i="1"/>
  <c r="R108" i="1"/>
  <c r="H119" i="1"/>
  <c r="F119" i="1"/>
  <c r="G119" i="1"/>
  <c r="G68" i="1"/>
  <c r="G72" i="1"/>
  <c r="G76" i="1"/>
  <c r="G80" i="1"/>
  <c r="H81" i="1"/>
  <c r="X84" i="1"/>
  <c r="W84" i="1"/>
  <c r="X88" i="1"/>
  <c r="W88" i="1"/>
  <c r="X92" i="1"/>
  <c r="W92" i="1"/>
  <c r="X96" i="1"/>
  <c r="W96" i="1"/>
  <c r="X100" i="1"/>
  <c r="W100" i="1"/>
  <c r="CI105" i="1"/>
  <c r="CK105" i="1"/>
  <c r="H110" i="1"/>
  <c r="G110" i="1"/>
  <c r="F110" i="1"/>
  <c r="F113" i="1"/>
  <c r="H113" i="1"/>
  <c r="G113" i="1"/>
  <c r="S116" i="1"/>
  <c r="R116" i="1"/>
  <c r="CK124" i="1"/>
  <c r="CI124" i="1"/>
  <c r="CJ124" i="1"/>
  <c r="CK132" i="1"/>
  <c r="CI132" i="1"/>
  <c r="CJ132" i="1"/>
  <c r="CK140" i="1"/>
  <c r="CI140" i="1"/>
  <c r="CJ140" i="1"/>
  <c r="CK148" i="1"/>
  <c r="CI148" i="1"/>
  <c r="CJ148" i="1"/>
  <c r="S104" i="1"/>
  <c r="R104" i="1"/>
  <c r="CJ105" i="1"/>
  <c r="X108" i="1"/>
  <c r="W108" i="1"/>
  <c r="CI109" i="1"/>
  <c r="CK109" i="1"/>
  <c r="W147" i="1"/>
  <c r="X147" i="1"/>
  <c r="H82" i="1"/>
  <c r="G82" i="1"/>
  <c r="F82" i="1"/>
  <c r="S84" i="1"/>
  <c r="R84" i="1"/>
  <c r="H86" i="1"/>
  <c r="G86" i="1"/>
  <c r="F86" i="1"/>
  <c r="S88" i="1"/>
  <c r="R88" i="1"/>
  <c r="H90" i="1"/>
  <c r="G90" i="1"/>
  <c r="F90" i="1"/>
  <c r="S92" i="1"/>
  <c r="R92" i="1"/>
  <c r="H94" i="1"/>
  <c r="G94" i="1"/>
  <c r="F94" i="1"/>
  <c r="S96" i="1"/>
  <c r="R96" i="1"/>
  <c r="H98" i="1"/>
  <c r="G98" i="1"/>
  <c r="F98" i="1"/>
  <c r="S100" i="1"/>
  <c r="R100" i="1"/>
  <c r="H102" i="1"/>
  <c r="G102" i="1"/>
  <c r="F102" i="1"/>
  <c r="CI117" i="1"/>
  <c r="CK117" i="1"/>
  <c r="CK128" i="1"/>
  <c r="CI128" i="1"/>
  <c r="CJ128" i="1"/>
  <c r="CK136" i="1"/>
  <c r="CI136" i="1"/>
  <c r="CJ136" i="1"/>
  <c r="G83" i="1"/>
  <c r="G87" i="1"/>
  <c r="G91" i="1"/>
  <c r="G95" i="1"/>
  <c r="G99" i="1"/>
  <c r="G103" i="1"/>
  <c r="G107" i="1"/>
  <c r="G111" i="1"/>
  <c r="W119" i="1"/>
  <c r="X119" i="1"/>
  <c r="F121" i="1"/>
  <c r="H121" i="1"/>
  <c r="G121" i="1"/>
  <c r="R123" i="1"/>
  <c r="S123" i="1"/>
  <c r="W127" i="1"/>
  <c r="X127" i="1"/>
  <c r="W131" i="1"/>
  <c r="X131" i="1"/>
  <c r="W135" i="1"/>
  <c r="X135" i="1"/>
  <c r="W139" i="1"/>
  <c r="X139" i="1"/>
  <c r="F145" i="1"/>
  <c r="H145" i="1"/>
  <c r="G145" i="1"/>
  <c r="X111" i="1"/>
  <c r="CJ112" i="1"/>
  <c r="CK120" i="1"/>
  <c r="CI120" i="1"/>
  <c r="W143" i="1"/>
  <c r="X143" i="1"/>
  <c r="CK144" i="1"/>
  <c r="CI144" i="1"/>
  <c r="R147" i="1"/>
  <c r="S147" i="1"/>
  <c r="R151" i="1"/>
  <c r="S151" i="1"/>
  <c r="CI118" i="1"/>
  <c r="CK118" i="1"/>
  <c r="W123" i="1"/>
  <c r="X123" i="1"/>
  <c r="F125" i="1"/>
  <c r="H125" i="1"/>
  <c r="G125" i="1"/>
  <c r="R127" i="1"/>
  <c r="S127" i="1"/>
  <c r="F129" i="1"/>
  <c r="H129" i="1"/>
  <c r="G129" i="1"/>
  <c r="R131" i="1"/>
  <c r="S131" i="1"/>
  <c r="F133" i="1"/>
  <c r="H133" i="1"/>
  <c r="G133" i="1"/>
  <c r="R135" i="1"/>
  <c r="S135" i="1"/>
  <c r="F137" i="1"/>
  <c r="H137" i="1"/>
  <c r="G137" i="1"/>
  <c r="R139" i="1"/>
  <c r="S139" i="1"/>
  <c r="F141" i="1"/>
  <c r="H141" i="1"/>
  <c r="G141" i="1"/>
  <c r="CJ144" i="1"/>
  <c r="F149" i="1"/>
  <c r="H149" i="1"/>
  <c r="G149" i="1"/>
  <c r="H122" i="1"/>
  <c r="H126" i="1"/>
  <c r="H130" i="1"/>
  <c r="H134" i="1"/>
  <c r="H138" i="1"/>
  <c r="R142" i="1"/>
  <c r="W142" i="1"/>
  <c r="F144" i="1"/>
  <c r="R146" i="1"/>
  <c r="W146" i="1"/>
  <c r="F148" i="1"/>
  <c r="R150" i="1"/>
  <c r="W150" i="1"/>
  <c r="X151" i="1"/>
  <c r="CK150" i="1"/>
  <c r="F151" i="1"/>
  <c r="BZ51" i="1"/>
  <c r="BY51" i="1"/>
  <c r="BX51" i="1"/>
  <c r="BW51" i="1"/>
  <c r="BV51" i="1"/>
  <c r="BU51" i="1"/>
  <c r="BZ50" i="1"/>
  <c r="BY50" i="1"/>
  <c r="BX50" i="1"/>
  <c r="BW50" i="1"/>
  <c r="BV50" i="1"/>
  <c r="BU50" i="1"/>
  <c r="BZ49" i="1"/>
  <c r="BY49" i="1"/>
  <c r="BX49" i="1"/>
  <c r="BW49" i="1"/>
  <c r="BV49" i="1"/>
  <c r="BU49" i="1"/>
  <c r="BZ48" i="1"/>
  <c r="BY48" i="1"/>
  <c r="BX48" i="1"/>
  <c r="BW48" i="1"/>
  <c r="BV48" i="1"/>
  <c r="BU48" i="1"/>
  <c r="BZ47" i="1"/>
  <c r="BY47" i="1"/>
  <c r="BX47" i="1"/>
  <c r="BW47" i="1"/>
  <c r="BV47" i="1"/>
  <c r="BU47" i="1"/>
  <c r="BZ46" i="1"/>
  <c r="BY46" i="1"/>
  <c r="BX46" i="1"/>
  <c r="BW46" i="1"/>
  <c r="BV46" i="1"/>
  <c r="BU46" i="1"/>
  <c r="BZ45" i="1"/>
  <c r="BY45" i="1"/>
  <c r="BX45" i="1"/>
  <c r="BW45" i="1"/>
  <c r="BV45" i="1"/>
  <c r="BU45" i="1"/>
  <c r="BZ44" i="1"/>
  <c r="BY44" i="1"/>
  <c r="BX44" i="1"/>
  <c r="BW44" i="1"/>
  <c r="BV44" i="1"/>
  <c r="BU44" i="1"/>
  <c r="BZ43" i="1"/>
  <c r="BY43" i="1"/>
  <c r="BX43" i="1"/>
  <c r="BW43" i="1"/>
  <c r="BV43" i="1"/>
  <c r="BU43" i="1"/>
  <c r="BZ42" i="1"/>
  <c r="BY42" i="1"/>
  <c r="BX42" i="1"/>
  <c r="BW42" i="1"/>
  <c r="BV42" i="1"/>
  <c r="BU42" i="1"/>
  <c r="BZ41" i="1"/>
  <c r="BY41" i="1"/>
  <c r="BX41" i="1"/>
  <c r="BW41" i="1"/>
  <c r="BV41" i="1"/>
  <c r="BU41" i="1"/>
  <c r="BZ40" i="1"/>
  <c r="BY40" i="1"/>
  <c r="BX40" i="1"/>
  <c r="BW40" i="1"/>
  <c r="BV40" i="1"/>
  <c r="BU40" i="1"/>
  <c r="BZ39" i="1"/>
  <c r="BY39" i="1"/>
  <c r="BX39" i="1"/>
  <c r="BW39" i="1"/>
  <c r="BV39" i="1"/>
  <c r="BU39" i="1"/>
  <c r="BZ38" i="1"/>
  <c r="BY38" i="1"/>
  <c r="BX38" i="1"/>
  <c r="BW38" i="1"/>
  <c r="BV38" i="1"/>
  <c r="BU38" i="1"/>
  <c r="BZ37" i="1"/>
  <c r="BY37" i="1"/>
  <c r="BX37" i="1"/>
  <c r="BW37" i="1"/>
  <c r="BV37" i="1"/>
  <c r="BU37" i="1"/>
  <c r="BZ36" i="1"/>
  <c r="BY36" i="1"/>
  <c r="BX36" i="1"/>
  <c r="BW36" i="1"/>
  <c r="BV36" i="1"/>
  <c r="BU36" i="1"/>
  <c r="BZ35" i="1"/>
  <c r="BY35" i="1"/>
  <c r="BX35" i="1"/>
  <c r="BW35" i="1"/>
  <c r="BV35" i="1"/>
  <c r="BU35" i="1"/>
  <c r="BZ34" i="1"/>
  <c r="BY34" i="1"/>
  <c r="BX34" i="1"/>
  <c r="BW34" i="1"/>
  <c r="BV34" i="1"/>
  <c r="BU34" i="1"/>
  <c r="BZ33" i="1"/>
  <c r="BY33" i="1"/>
  <c r="BX33" i="1"/>
  <c r="BW33" i="1"/>
  <c r="BV33" i="1"/>
  <c r="BU33" i="1"/>
  <c r="BZ32" i="1"/>
  <c r="BY32" i="1"/>
  <c r="BX32" i="1"/>
  <c r="BW32" i="1"/>
  <c r="BV32" i="1"/>
  <c r="BU32" i="1"/>
  <c r="BZ31" i="1"/>
  <c r="BY31" i="1"/>
  <c r="BX31" i="1"/>
  <c r="BW31" i="1"/>
  <c r="BV31" i="1"/>
  <c r="BU31" i="1"/>
  <c r="BZ30" i="1"/>
  <c r="BY30" i="1"/>
  <c r="BX30" i="1"/>
  <c r="BW30" i="1"/>
  <c r="BV30" i="1"/>
  <c r="BU30" i="1"/>
  <c r="BZ29" i="1"/>
  <c r="BY29" i="1"/>
  <c r="BX29" i="1"/>
  <c r="BW29" i="1"/>
  <c r="BV29" i="1"/>
  <c r="BU29" i="1"/>
  <c r="BZ28" i="1"/>
  <c r="BY28" i="1"/>
  <c r="BX28" i="1"/>
  <c r="BW28" i="1"/>
  <c r="BV28" i="1"/>
  <c r="BU28" i="1"/>
  <c r="BZ27" i="1"/>
  <c r="BY27" i="1"/>
  <c r="BX27" i="1"/>
  <c r="BW27" i="1"/>
  <c r="BV27" i="1"/>
  <c r="BU27" i="1"/>
  <c r="BZ26" i="1"/>
  <c r="BY26" i="1"/>
  <c r="BX26" i="1"/>
  <c r="BW26" i="1"/>
  <c r="BV26" i="1"/>
  <c r="BU26" i="1"/>
  <c r="BZ25" i="1"/>
  <c r="BY25" i="1"/>
  <c r="BX25" i="1"/>
  <c r="BW25" i="1"/>
  <c r="BV25" i="1"/>
  <c r="BU25" i="1"/>
  <c r="BZ24" i="1"/>
  <c r="BY24" i="1"/>
  <c r="BX24" i="1"/>
  <c r="BW24" i="1"/>
  <c r="BV24" i="1"/>
  <c r="BU24" i="1"/>
  <c r="BZ23" i="1"/>
  <c r="BY23" i="1"/>
  <c r="BX23" i="1"/>
  <c r="BW23" i="1"/>
  <c r="BV23" i="1"/>
  <c r="BU23" i="1"/>
  <c r="BZ22" i="1"/>
  <c r="BY22" i="1"/>
  <c r="BX22" i="1"/>
  <c r="BW22" i="1"/>
  <c r="BV22" i="1"/>
  <c r="BU22" i="1"/>
  <c r="BZ21" i="1"/>
  <c r="BY21" i="1"/>
  <c r="BX21" i="1"/>
  <c r="BW21" i="1"/>
  <c r="BV21" i="1"/>
  <c r="BU21" i="1"/>
  <c r="BZ20" i="1"/>
  <c r="BY20" i="1"/>
  <c r="BX20" i="1"/>
  <c r="BW20" i="1"/>
  <c r="BV20" i="1"/>
  <c r="BU20" i="1"/>
  <c r="BZ19" i="1"/>
  <c r="BY19" i="1"/>
  <c r="BX19" i="1"/>
  <c r="BW19" i="1"/>
  <c r="BV19" i="1"/>
  <c r="BU19" i="1"/>
  <c r="BZ18" i="1"/>
  <c r="BY18" i="1"/>
  <c r="BX18" i="1"/>
  <c r="BW18" i="1"/>
  <c r="BV18" i="1"/>
  <c r="BU18" i="1"/>
  <c r="BZ17" i="1"/>
  <c r="BY17" i="1"/>
  <c r="BX17" i="1"/>
  <c r="BW17" i="1"/>
  <c r="BV17" i="1"/>
  <c r="BU17" i="1"/>
  <c r="BZ16" i="1"/>
  <c r="BY16" i="1"/>
  <c r="BX16" i="1"/>
  <c r="BW16" i="1"/>
  <c r="BV16" i="1"/>
  <c r="BU16" i="1"/>
  <c r="BZ15" i="1"/>
  <c r="BY15" i="1"/>
  <c r="BX15" i="1"/>
  <c r="BW15" i="1"/>
  <c r="BV15" i="1"/>
  <c r="BU15" i="1"/>
  <c r="BZ14" i="1"/>
  <c r="BY14" i="1"/>
  <c r="BX14" i="1"/>
  <c r="BW14" i="1"/>
  <c r="BV14" i="1"/>
  <c r="BU14" i="1"/>
  <c r="BZ13" i="1"/>
  <c r="BY13" i="1"/>
  <c r="BX13" i="1"/>
  <c r="BW13" i="1"/>
  <c r="BV13" i="1"/>
  <c r="BU13" i="1"/>
  <c r="BZ12" i="1"/>
  <c r="BY12" i="1"/>
  <c r="BX12" i="1"/>
  <c r="BW12" i="1"/>
  <c r="BV12" i="1"/>
  <c r="BU12" i="1"/>
  <c r="BZ11" i="1"/>
  <c r="BY11" i="1"/>
  <c r="BX11" i="1"/>
  <c r="BW11" i="1"/>
  <c r="BV11" i="1"/>
  <c r="BU11" i="1"/>
  <c r="BZ10" i="1"/>
  <c r="BY10" i="1"/>
  <c r="BX10" i="1"/>
  <c r="BW10" i="1"/>
  <c r="BV10" i="1"/>
  <c r="BU10" i="1"/>
  <c r="BZ9" i="1"/>
  <c r="BY9" i="1"/>
  <c r="BX9" i="1"/>
  <c r="BW9" i="1"/>
  <c r="BV9" i="1"/>
  <c r="BU9" i="1"/>
  <c r="BZ8" i="1"/>
  <c r="BY8" i="1"/>
  <c r="BX8" i="1"/>
  <c r="BW8" i="1"/>
  <c r="BV8" i="1"/>
  <c r="BU8" i="1"/>
  <c r="BZ6" i="1"/>
  <c r="BY6" i="1"/>
  <c r="BX6" i="1"/>
  <c r="BW6" i="1"/>
  <c r="BV6" i="1"/>
  <c r="BU6" i="1"/>
  <c r="BZ4" i="1"/>
  <c r="BY4" i="1"/>
  <c r="BX4" i="1"/>
  <c r="BW4" i="1"/>
  <c r="BV4" i="1"/>
  <c r="BU4" i="1"/>
  <c r="BZ2" i="1"/>
  <c r="BY2" i="1"/>
  <c r="BX2" i="1"/>
  <c r="BW2" i="1"/>
  <c r="BV2" i="1"/>
  <c r="BU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6" i="1"/>
  <c r="BQ4" i="1"/>
  <c r="BQ2" i="1"/>
  <c r="P2" i="1"/>
  <c r="AO2" i="1"/>
  <c r="F18" i="8" s="1"/>
  <c r="AO4" i="1"/>
  <c r="AO6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H54" i="7"/>
  <c r="G54" i="7"/>
  <c r="D54" i="7"/>
  <c r="C54" i="7"/>
  <c r="A54" i="7"/>
  <c r="H155" i="7"/>
  <c r="G155" i="7"/>
  <c r="D155" i="7"/>
  <c r="C155" i="7"/>
  <c r="A155" i="7"/>
  <c r="N53" i="2"/>
  <c r="N154" i="2"/>
  <c r="I308" i="8"/>
  <c r="H308" i="8"/>
  <c r="I106" i="8"/>
  <c r="H106" i="8"/>
  <c r="I104" i="8"/>
  <c r="H104" i="8"/>
  <c r="I102" i="8"/>
  <c r="H102" i="8"/>
  <c r="I100" i="8"/>
  <c r="H100" i="8"/>
  <c r="I98" i="8"/>
  <c r="H98" i="8"/>
  <c r="I96" i="8"/>
  <c r="H96" i="8"/>
  <c r="I94" i="8"/>
  <c r="H94" i="8"/>
  <c r="I92" i="8"/>
  <c r="H92" i="8"/>
  <c r="I90" i="8"/>
  <c r="H90" i="8"/>
  <c r="I88" i="8"/>
  <c r="H88" i="8"/>
  <c r="I86" i="8"/>
  <c r="H86" i="8"/>
  <c r="I84" i="8"/>
  <c r="H84" i="8"/>
  <c r="I82" i="8"/>
  <c r="H82" i="8"/>
  <c r="I80" i="8"/>
  <c r="H80" i="8"/>
  <c r="I78" i="8"/>
  <c r="H78" i="8"/>
  <c r="I76" i="8"/>
  <c r="H76" i="8"/>
  <c r="I74" i="8"/>
  <c r="H74" i="8"/>
  <c r="I72" i="8"/>
  <c r="H72" i="8"/>
  <c r="I70" i="8"/>
  <c r="H70" i="8"/>
  <c r="I68" i="8"/>
  <c r="H68" i="8"/>
  <c r="I66" i="8"/>
  <c r="H66" i="8"/>
  <c r="I64" i="8"/>
  <c r="H64" i="8"/>
  <c r="I62" i="8"/>
  <c r="H62" i="8"/>
  <c r="I60" i="8"/>
  <c r="H60" i="8"/>
  <c r="I58" i="8"/>
  <c r="H58" i="8"/>
  <c r="I56" i="8"/>
  <c r="H56" i="8"/>
  <c r="I54" i="8"/>
  <c r="H54" i="8"/>
  <c r="I52" i="8"/>
  <c r="H52" i="8"/>
  <c r="I50" i="8"/>
  <c r="H50" i="8"/>
  <c r="I48" i="8"/>
  <c r="H48" i="8"/>
  <c r="I46" i="8"/>
  <c r="H46" i="8"/>
  <c r="I44" i="8"/>
  <c r="H44" i="8"/>
  <c r="I42" i="8"/>
  <c r="H42" i="8"/>
  <c r="I40" i="8"/>
  <c r="H40" i="8"/>
  <c r="I38" i="8"/>
  <c r="H38" i="8"/>
  <c r="I36" i="8"/>
  <c r="H36" i="8"/>
  <c r="I34" i="8"/>
  <c r="H34" i="8"/>
  <c r="I32" i="8"/>
  <c r="H32" i="8"/>
  <c r="I30" i="8"/>
  <c r="H30" i="8"/>
  <c r="I28" i="8"/>
  <c r="H28" i="8"/>
  <c r="I26" i="8"/>
  <c r="H26" i="8"/>
  <c r="I24" i="8"/>
  <c r="H24" i="8"/>
  <c r="I22" i="8"/>
  <c r="H22" i="8"/>
  <c r="I20" i="8"/>
  <c r="H20" i="8"/>
  <c r="I18" i="8"/>
  <c r="H18" i="8"/>
  <c r="I16" i="8"/>
  <c r="H16" i="8"/>
  <c r="I14" i="8"/>
  <c r="H14" i="8"/>
  <c r="I12" i="8"/>
  <c r="H12" i="8"/>
  <c r="I10" i="8"/>
  <c r="H10" i="8"/>
  <c r="C53" i="7"/>
  <c r="A53" i="7"/>
  <c r="C52" i="7"/>
  <c r="A52" i="7"/>
  <c r="C51" i="7"/>
  <c r="A51" i="7"/>
  <c r="C50" i="7"/>
  <c r="C49" i="7"/>
  <c r="A49" i="7"/>
  <c r="C48" i="7"/>
  <c r="A48" i="7"/>
  <c r="C47" i="7"/>
  <c r="A47" i="7"/>
  <c r="C46" i="7"/>
  <c r="A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A6" i="7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BC2" i="1"/>
  <c r="BC4" i="1"/>
  <c r="BC6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M2" i="1"/>
  <c r="M4" i="1"/>
  <c r="M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4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2" i="1"/>
  <c r="K4" i="1"/>
  <c r="K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2" i="1"/>
  <c r="J4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2" i="1"/>
  <c r="G2" i="1" s="1"/>
  <c r="I4" i="1"/>
  <c r="I6" i="1"/>
  <c r="G6" i="1" s="1"/>
  <c r="I8" i="1"/>
  <c r="I9" i="1"/>
  <c r="F9" i="1" s="1"/>
  <c r="I10" i="1"/>
  <c r="G10" i="1" s="1"/>
  <c r="I11" i="1"/>
  <c r="G11" i="1" s="1"/>
  <c r="I12" i="1"/>
  <c r="I13" i="1"/>
  <c r="H13" i="1" s="1"/>
  <c r="I14" i="1"/>
  <c r="G14" i="1" s="1"/>
  <c r="I15" i="1"/>
  <c r="F15" i="1" s="1"/>
  <c r="I16" i="1"/>
  <c r="I17" i="1"/>
  <c r="F17" i="1" s="1"/>
  <c r="I18" i="1"/>
  <c r="G18" i="1" s="1"/>
  <c r="I19" i="1"/>
  <c r="F19" i="1" s="1"/>
  <c r="I20" i="1"/>
  <c r="I21" i="1"/>
  <c r="G21" i="1" s="1"/>
  <c r="I22" i="1"/>
  <c r="G22" i="1" s="1"/>
  <c r="I23" i="1"/>
  <c r="H23" i="1" s="1"/>
  <c r="I24" i="1"/>
  <c r="I25" i="1"/>
  <c r="F25" i="1" s="1"/>
  <c r="I26" i="1"/>
  <c r="G26" i="1" s="1"/>
  <c r="I27" i="1"/>
  <c r="G27" i="1" s="1"/>
  <c r="I28" i="1"/>
  <c r="I29" i="1"/>
  <c r="H29" i="1" s="1"/>
  <c r="I30" i="1"/>
  <c r="G30" i="1" s="1"/>
  <c r="I31" i="1"/>
  <c r="F31" i="1" s="1"/>
  <c r="I32" i="1"/>
  <c r="I33" i="1"/>
  <c r="H33" i="1" s="1"/>
  <c r="I34" i="1"/>
  <c r="G34" i="1" s="1"/>
  <c r="I35" i="1"/>
  <c r="F35" i="1" s="1"/>
  <c r="I36" i="1"/>
  <c r="H36" i="1" s="1"/>
  <c r="I37" i="1"/>
  <c r="G37" i="1" s="1"/>
  <c r="I38" i="1"/>
  <c r="G38" i="1" s="1"/>
  <c r="I39" i="1"/>
  <c r="H39" i="1" s="1"/>
  <c r="I40" i="1"/>
  <c r="H40" i="1" s="1"/>
  <c r="I41" i="1"/>
  <c r="H41" i="1" s="1"/>
  <c r="I42" i="1"/>
  <c r="G42" i="1" s="1"/>
  <c r="I43" i="1"/>
  <c r="G43" i="1" s="1"/>
  <c r="I44" i="1"/>
  <c r="H44" i="1" s="1"/>
  <c r="I45" i="1"/>
  <c r="H45" i="1" s="1"/>
  <c r="I46" i="1"/>
  <c r="G46" i="1" s="1"/>
  <c r="I47" i="1"/>
  <c r="F47" i="1" s="1"/>
  <c r="I48" i="1"/>
  <c r="H48" i="1" s="1"/>
  <c r="I49" i="1"/>
  <c r="H49" i="1" s="1"/>
  <c r="I50" i="1"/>
  <c r="G50" i="1" s="1"/>
  <c r="I51" i="1"/>
  <c r="F51" i="1" s="1"/>
  <c r="H53" i="7"/>
  <c r="G53" i="7"/>
  <c r="D53" i="7"/>
  <c r="H52" i="7"/>
  <c r="G52" i="7"/>
  <c r="D52" i="7"/>
  <c r="H51" i="7"/>
  <c r="G51" i="7"/>
  <c r="D51" i="7"/>
  <c r="H50" i="7"/>
  <c r="G50" i="7"/>
  <c r="D50" i="7"/>
  <c r="A50" i="7"/>
  <c r="H49" i="7"/>
  <c r="G49" i="7"/>
  <c r="D49" i="7"/>
  <c r="H48" i="7"/>
  <c r="G48" i="7"/>
  <c r="D48" i="7"/>
  <c r="H47" i="7"/>
  <c r="G47" i="7"/>
  <c r="D47" i="7"/>
  <c r="H46" i="7"/>
  <c r="G46" i="7"/>
  <c r="D46" i="7"/>
  <c r="H45" i="7"/>
  <c r="G45" i="7"/>
  <c r="D45" i="7"/>
  <c r="H44" i="7"/>
  <c r="G44" i="7"/>
  <c r="D44" i="7"/>
  <c r="H43" i="7"/>
  <c r="G43" i="7"/>
  <c r="D43" i="7"/>
  <c r="H42" i="7"/>
  <c r="G42" i="7"/>
  <c r="D42" i="7"/>
  <c r="H41" i="7"/>
  <c r="G41" i="7"/>
  <c r="D41" i="7"/>
  <c r="H40" i="7"/>
  <c r="G40" i="7"/>
  <c r="D40" i="7"/>
  <c r="H39" i="7"/>
  <c r="G39" i="7"/>
  <c r="D39" i="7"/>
  <c r="H38" i="7"/>
  <c r="G38" i="7"/>
  <c r="D38" i="7"/>
  <c r="H37" i="7"/>
  <c r="G37" i="7"/>
  <c r="D37" i="7"/>
  <c r="H36" i="7"/>
  <c r="G36" i="7"/>
  <c r="D36" i="7"/>
  <c r="H35" i="7"/>
  <c r="G35" i="7"/>
  <c r="D35" i="7"/>
  <c r="H34" i="7"/>
  <c r="G34" i="7"/>
  <c r="D34" i="7"/>
  <c r="H33" i="7"/>
  <c r="G33" i="7"/>
  <c r="D33" i="7"/>
  <c r="H32" i="7"/>
  <c r="G32" i="7"/>
  <c r="D32" i="7"/>
  <c r="H31" i="7"/>
  <c r="G31" i="7"/>
  <c r="D31" i="7"/>
  <c r="H30" i="7"/>
  <c r="G30" i="7"/>
  <c r="D30" i="7"/>
  <c r="H29" i="7"/>
  <c r="G29" i="7"/>
  <c r="D29" i="7"/>
  <c r="H28" i="7"/>
  <c r="G28" i="7"/>
  <c r="D28" i="7"/>
  <c r="H27" i="7"/>
  <c r="G27" i="7"/>
  <c r="D27" i="7"/>
  <c r="H26" i="7"/>
  <c r="G26" i="7"/>
  <c r="D26" i="7"/>
  <c r="H25" i="7"/>
  <c r="G25" i="7"/>
  <c r="D25" i="7"/>
  <c r="H24" i="7"/>
  <c r="G24" i="7"/>
  <c r="D24" i="7"/>
  <c r="H23" i="7"/>
  <c r="G23" i="7"/>
  <c r="D23" i="7"/>
  <c r="H22" i="7"/>
  <c r="G22" i="7"/>
  <c r="D22" i="7"/>
  <c r="H21" i="7"/>
  <c r="G21" i="7"/>
  <c r="D21" i="7"/>
  <c r="H20" i="7"/>
  <c r="G20" i="7"/>
  <c r="D20" i="7"/>
  <c r="H19" i="7"/>
  <c r="G19" i="7"/>
  <c r="D19" i="7"/>
  <c r="H18" i="7"/>
  <c r="G18" i="7"/>
  <c r="D18" i="7"/>
  <c r="H17" i="7"/>
  <c r="G17" i="7"/>
  <c r="D17" i="7"/>
  <c r="H16" i="7"/>
  <c r="G16" i="7"/>
  <c r="D16" i="7"/>
  <c r="H15" i="7"/>
  <c r="G15" i="7"/>
  <c r="D15" i="7"/>
  <c r="H14" i="7"/>
  <c r="G14" i="7"/>
  <c r="D14" i="7"/>
  <c r="H13" i="7"/>
  <c r="G13" i="7"/>
  <c r="D13" i="7"/>
  <c r="H12" i="7"/>
  <c r="G12" i="7"/>
  <c r="D12" i="7"/>
  <c r="H11" i="7"/>
  <c r="G11" i="7"/>
  <c r="D11" i="7"/>
  <c r="H10" i="7"/>
  <c r="G10" i="7"/>
  <c r="D10" i="7"/>
  <c r="H9" i="7"/>
  <c r="G9" i="7"/>
  <c r="D9" i="7"/>
  <c r="H8" i="7"/>
  <c r="G8" i="7"/>
  <c r="D8" i="7"/>
  <c r="H7" i="7"/>
  <c r="G7" i="7"/>
  <c r="D7" i="7"/>
  <c r="H6" i="7"/>
  <c r="G6" i="7"/>
  <c r="D6" i="7"/>
  <c r="D55" i="3"/>
  <c r="Q48" i="3"/>
  <c r="Q46" i="3"/>
  <c r="Q44" i="3"/>
  <c r="Q42" i="3"/>
  <c r="N39" i="3"/>
  <c r="L39" i="3"/>
  <c r="N38" i="3"/>
  <c r="L38" i="3"/>
  <c r="N37" i="3"/>
  <c r="L37" i="3"/>
  <c r="N36" i="3"/>
  <c r="L36" i="3"/>
  <c r="N35" i="3"/>
  <c r="L35" i="3"/>
  <c r="N34" i="3"/>
  <c r="L34" i="3"/>
  <c r="P29" i="3"/>
  <c r="M29" i="3"/>
  <c r="P28" i="3"/>
  <c r="M28" i="3"/>
  <c r="P27" i="3"/>
  <c r="M27" i="3"/>
  <c r="P26" i="3"/>
  <c r="M26" i="3"/>
  <c r="P25" i="3"/>
  <c r="M25" i="3"/>
  <c r="P24" i="3"/>
  <c r="P19" i="3"/>
  <c r="M19" i="3"/>
  <c r="P18" i="3"/>
  <c r="M18" i="3"/>
  <c r="P17" i="3"/>
  <c r="M17" i="3"/>
  <c r="P16" i="3"/>
  <c r="M16" i="3"/>
  <c r="P15" i="3"/>
  <c r="M15" i="3"/>
  <c r="P14" i="3"/>
  <c r="M14" i="3"/>
  <c r="L7" i="3"/>
  <c r="G7" i="3"/>
  <c r="L6" i="3"/>
  <c r="G6" i="3"/>
  <c r="L5" i="3"/>
  <c r="G5" i="3"/>
  <c r="L4" i="3"/>
  <c r="G4" i="3"/>
  <c r="CO51" i="1"/>
  <c r="CK51" i="1" s="1"/>
  <c r="CM51" i="1"/>
  <c r="CL51" i="1"/>
  <c r="CH51" i="1"/>
  <c r="BL51" i="1"/>
  <c r="BK51" i="1"/>
  <c r="BJ51" i="1"/>
  <c r="BI51" i="1"/>
  <c r="BH51" i="1"/>
  <c r="BG51" i="1"/>
  <c r="AX51" i="1"/>
  <c r="AW51" i="1"/>
  <c r="AV51" i="1"/>
  <c r="AU51" i="1"/>
  <c r="AT51" i="1"/>
  <c r="AS51" i="1"/>
  <c r="AJ51" i="1"/>
  <c r="AI51" i="1"/>
  <c r="AH51" i="1"/>
  <c r="AG51" i="1"/>
  <c r="AF51" i="1"/>
  <c r="AE51" i="1"/>
  <c r="V51" i="1"/>
  <c r="X51" i="1" s="1"/>
  <c r="U51" i="1"/>
  <c r="Q51" i="1"/>
  <c r="S51" i="1" s="1"/>
  <c r="P51" i="1"/>
  <c r="CO50" i="1"/>
  <c r="CK50" i="1" s="1"/>
  <c r="CM50" i="1"/>
  <c r="CL50" i="1"/>
  <c r="CH50" i="1"/>
  <c r="BL50" i="1"/>
  <c r="BK50" i="1"/>
  <c r="BJ50" i="1"/>
  <c r="BI50" i="1"/>
  <c r="BH50" i="1"/>
  <c r="BG50" i="1"/>
  <c r="AX50" i="1"/>
  <c r="AW50" i="1"/>
  <c r="AV50" i="1"/>
  <c r="AU50" i="1"/>
  <c r="AT50" i="1"/>
  <c r="AS50" i="1"/>
  <c r="AJ50" i="1"/>
  <c r="AI50" i="1"/>
  <c r="AH50" i="1"/>
  <c r="AG50" i="1"/>
  <c r="AF50" i="1"/>
  <c r="AE50" i="1"/>
  <c r="V50" i="1"/>
  <c r="X50" i="1" s="1"/>
  <c r="U50" i="1"/>
  <c r="Q50" i="1"/>
  <c r="S50" i="1" s="1"/>
  <c r="P50" i="1"/>
  <c r="CO49" i="1"/>
  <c r="CK49" i="1" s="1"/>
  <c r="CM49" i="1"/>
  <c r="CL49" i="1"/>
  <c r="CH49" i="1"/>
  <c r="BL49" i="1"/>
  <c r="BK49" i="1"/>
  <c r="BJ49" i="1"/>
  <c r="BI49" i="1"/>
  <c r="BH49" i="1"/>
  <c r="BG49" i="1"/>
  <c r="AX49" i="1"/>
  <c r="AW49" i="1"/>
  <c r="AV49" i="1"/>
  <c r="AU49" i="1"/>
  <c r="AT49" i="1"/>
  <c r="AS49" i="1"/>
  <c r="AJ49" i="1"/>
  <c r="AI49" i="1"/>
  <c r="AH49" i="1"/>
  <c r="AG49" i="1"/>
  <c r="AF49" i="1"/>
  <c r="AE49" i="1"/>
  <c r="V49" i="1"/>
  <c r="W49" i="1" s="1"/>
  <c r="U49" i="1"/>
  <c r="Q49" i="1"/>
  <c r="R49" i="1" s="1"/>
  <c r="P49" i="1"/>
  <c r="CO48" i="1"/>
  <c r="CK48" i="1" s="1"/>
  <c r="CM48" i="1"/>
  <c r="CL48" i="1"/>
  <c r="CH48" i="1"/>
  <c r="BL48" i="1"/>
  <c r="BK48" i="1"/>
  <c r="BJ48" i="1"/>
  <c r="BI48" i="1"/>
  <c r="BH48" i="1"/>
  <c r="BG48" i="1"/>
  <c r="AX48" i="1"/>
  <c r="AW48" i="1"/>
  <c r="AV48" i="1"/>
  <c r="AU48" i="1"/>
  <c r="AT48" i="1"/>
  <c r="AS48" i="1"/>
  <c r="AJ48" i="1"/>
  <c r="AI48" i="1"/>
  <c r="AH48" i="1"/>
  <c r="AG48" i="1"/>
  <c r="AF48" i="1"/>
  <c r="AE48" i="1"/>
  <c r="V48" i="1"/>
  <c r="U48" i="1"/>
  <c r="Q48" i="1"/>
  <c r="P48" i="1"/>
  <c r="CO47" i="1"/>
  <c r="CK47" i="1" s="1"/>
  <c r="CM47" i="1"/>
  <c r="CL47" i="1"/>
  <c r="CH47" i="1"/>
  <c r="BL47" i="1"/>
  <c r="BK47" i="1"/>
  <c r="BJ47" i="1"/>
  <c r="BI47" i="1"/>
  <c r="BH47" i="1"/>
  <c r="BG47" i="1"/>
  <c r="AX47" i="1"/>
  <c r="AW47" i="1"/>
  <c r="AV47" i="1"/>
  <c r="AU47" i="1"/>
  <c r="AT47" i="1"/>
  <c r="AS47" i="1"/>
  <c r="AJ47" i="1"/>
  <c r="AI47" i="1"/>
  <c r="AH47" i="1"/>
  <c r="AG47" i="1"/>
  <c r="AF47" i="1"/>
  <c r="AE47" i="1"/>
  <c r="V47" i="1"/>
  <c r="X47" i="1" s="1"/>
  <c r="U47" i="1"/>
  <c r="Q47" i="1"/>
  <c r="S47" i="1" s="1"/>
  <c r="P47" i="1"/>
  <c r="CO46" i="1"/>
  <c r="CK46" i="1" s="1"/>
  <c r="CM46" i="1"/>
  <c r="CL46" i="1"/>
  <c r="CH46" i="1"/>
  <c r="BL46" i="1"/>
  <c r="BK46" i="1"/>
  <c r="BJ46" i="1"/>
  <c r="BI46" i="1"/>
  <c r="BH46" i="1"/>
  <c r="BG46" i="1"/>
  <c r="AX46" i="1"/>
  <c r="AW46" i="1"/>
  <c r="AV46" i="1"/>
  <c r="AU46" i="1"/>
  <c r="AT46" i="1"/>
  <c r="AS46" i="1"/>
  <c r="AJ46" i="1"/>
  <c r="AI46" i="1"/>
  <c r="AH46" i="1"/>
  <c r="AG46" i="1"/>
  <c r="AF46" i="1"/>
  <c r="AE46" i="1"/>
  <c r="V46" i="1"/>
  <c r="W46" i="1" s="1"/>
  <c r="U46" i="1"/>
  <c r="Q46" i="1"/>
  <c r="R46" i="1" s="1"/>
  <c r="P46" i="1"/>
  <c r="CO45" i="1"/>
  <c r="CK45" i="1" s="1"/>
  <c r="CM45" i="1"/>
  <c r="CL45" i="1"/>
  <c r="CH45" i="1"/>
  <c r="BL45" i="1"/>
  <c r="BK45" i="1"/>
  <c r="BJ45" i="1"/>
  <c r="BI45" i="1"/>
  <c r="BH45" i="1"/>
  <c r="BG45" i="1"/>
  <c r="AX45" i="1"/>
  <c r="AW45" i="1"/>
  <c r="AV45" i="1"/>
  <c r="AU45" i="1"/>
  <c r="AT45" i="1"/>
  <c r="AS45" i="1"/>
  <c r="AJ45" i="1"/>
  <c r="AI45" i="1"/>
  <c r="AH45" i="1"/>
  <c r="AG45" i="1"/>
  <c r="AF45" i="1"/>
  <c r="AE45" i="1"/>
  <c r="V45" i="1"/>
  <c r="W45" i="1" s="1"/>
  <c r="U45" i="1"/>
  <c r="Q45" i="1"/>
  <c r="R45" i="1" s="1"/>
  <c r="P45" i="1"/>
  <c r="CO44" i="1"/>
  <c r="CK44" i="1" s="1"/>
  <c r="CM44" i="1"/>
  <c r="CL44" i="1"/>
  <c r="CH44" i="1"/>
  <c r="BL44" i="1"/>
  <c r="BK44" i="1"/>
  <c r="BJ44" i="1"/>
  <c r="BI44" i="1"/>
  <c r="BH44" i="1"/>
  <c r="BG44" i="1"/>
  <c r="AX44" i="1"/>
  <c r="AW44" i="1"/>
  <c r="AV44" i="1"/>
  <c r="AU44" i="1"/>
  <c r="AT44" i="1"/>
  <c r="AS44" i="1"/>
  <c r="AJ44" i="1"/>
  <c r="AI44" i="1"/>
  <c r="AH44" i="1"/>
  <c r="AG44" i="1"/>
  <c r="AF44" i="1"/>
  <c r="AE44" i="1"/>
  <c r="V44" i="1"/>
  <c r="U44" i="1"/>
  <c r="Q44" i="1"/>
  <c r="P44" i="1"/>
  <c r="CO43" i="1"/>
  <c r="CK43" i="1" s="1"/>
  <c r="CM43" i="1"/>
  <c r="CL43" i="1"/>
  <c r="CH43" i="1"/>
  <c r="BL43" i="1"/>
  <c r="BK43" i="1"/>
  <c r="BJ43" i="1"/>
  <c r="BI43" i="1"/>
  <c r="BH43" i="1"/>
  <c r="BG43" i="1"/>
  <c r="AX43" i="1"/>
  <c r="AW43" i="1"/>
  <c r="AV43" i="1"/>
  <c r="AU43" i="1"/>
  <c r="AT43" i="1"/>
  <c r="AS43" i="1"/>
  <c r="AJ43" i="1"/>
  <c r="AI43" i="1"/>
  <c r="AH43" i="1"/>
  <c r="AG43" i="1"/>
  <c r="AF43" i="1"/>
  <c r="AE43" i="1"/>
  <c r="V43" i="1"/>
  <c r="X43" i="1" s="1"/>
  <c r="U43" i="1"/>
  <c r="Q43" i="1"/>
  <c r="S43" i="1" s="1"/>
  <c r="P43" i="1"/>
  <c r="CO42" i="1"/>
  <c r="CK42" i="1" s="1"/>
  <c r="CM42" i="1"/>
  <c r="CL42" i="1"/>
  <c r="CH42" i="1"/>
  <c r="BL42" i="1"/>
  <c r="BK42" i="1"/>
  <c r="BJ42" i="1"/>
  <c r="BI42" i="1"/>
  <c r="BH42" i="1"/>
  <c r="BG42" i="1"/>
  <c r="AX42" i="1"/>
  <c r="AW42" i="1"/>
  <c r="AV42" i="1"/>
  <c r="AU42" i="1"/>
  <c r="AT42" i="1"/>
  <c r="AS42" i="1"/>
  <c r="AJ42" i="1"/>
  <c r="AI42" i="1"/>
  <c r="AH42" i="1"/>
  <c r="AG42" i="1"/>
  <c r="AF42" i="1"/>
  <c r="AE42" i="1"/>
  <c r="V42" i="1"/>
  <c r="W42" i="1" s="1"/>
  <c r="U42" i="1"/>
  <c r="Q42" i="1"/>
  <c r="R42" i="1" s="1"/>
  <c r="P42" i="1"/>
  <c r="CO41" i="1"/>
  <c r="CK41" i="1" s="1"/>
  <c r="CM41" i="1"/>
  <c r="CL41" i="1"/>
  <c r="CH41" i="1"/>
  <c r="BL41" i="1"/>
  <c r="BK41" i="1"/>
  <c r="BJ41" i="1"/>
  <c r="BI41" i="1"/>
  <c r="BH41" i="1"/>
  <c r="BG41" i="1"/>
  <c r="AX41" i="1"/>
  <c r="AW41" i="1"/>
  <c r="AV41" i="1"/>
  <c r="AU41" i="1"/>
  <c r="AT41" i="1"/>
  <c r="AS41" i="1"/>
  <c r="AJ41" i="1"/>
  <c r="AI41" i="1"/>
  <c r="AH41" i="1"/>
  <c r="AG41" i="1"/>
  <c r="AF41" i="1"/>
  <c r="AE41" i="1"/>
  <c r="V41" i="1"/>
  <c r="W41" i="1" s="1"/>
  <c r="U41" i="1"/>
  <c r="Q41" i="1"/>
  <c r="R41" i="1" s="1"/>
  <c r="P41" i="1"/>
  <c r="CO40" i="1"/>
  <c r="CK40" i="1" s="1"/>
  <c r="CM40" i="1"/>
  <c r="CL40" i="1"/>
  <c r="CH40" i="1"/>
  <c r="BL40" i="1"/>
  <c r="BK40" i="1"/>
  <c r="BJ40" i="1"/>
  <c r="BI40" i="1"/>
  <c r="BH40" i="1"/>
  <c r="BG40" i="1"/>
  <c r="AX40" i="1"/>
  <c r="AW40" i="1"/>
  <c r="AV40" i="1"/>
  <c r="AU40" i="1"/>
  <c r="AT40" i="1"/>
  <c r="AS40" i="1"/>
  <c r="AJ40" i="1"/>
  <c r="AI40" i="1"/>
  <c r="AH40" i="1"/>
  <c r="AG40" i="1"/>
  <c r="AF40" i="1"/>
  <c r="AE40" i="1"/>
  <c r="V40" i="1"/>
  <c r="U40" i="1"/>
  <c r="Q40" i="1"/>
  <c r="P40" i="1"/>
  <c r="CO39" i="1"/>
  <c r="CK39" i="1" s="1"/>
  <c r="CM39" i="1"/>
  <c r="CL39" i="1"/>
  <c r="CH39" i="1"/>
  <c r="BL39" i="1"/>
  <c r="BK39" i="1"/>
  <c r="BJ39" i="1"/>
  <c r="BI39" i="1"/>
  <c r="BH39" i="1"/>
  <c r="BG39" i="1"/>
  <c r="AX39" i="1"/>
  <c r="AW39" i="1"/>
  <c r="AV39" i="1"/>
  <c r="AU39" i="1"/>
  <c r="AT39" i="1"/>
  <c r="AS39" i="1"/>
  <c r="AJ39" i="1"/>
  <c r="AI39" i="1"/>
  <c r="AH39" i="1"/>
  <c r="AG39" i="1"/>
  <c r="AF39" i="1"/>
  <c r="AE39" i="1"/>
  <c r="V39" i="1"/>
  <c r="X39" i="1" s="1"/>
  <c r="U39" i="1"/>
  <c r="Q39" i="1"/>
  <c r="S39" i="1" s="1"/>
  <c r="P39" i="1"/>
  <c r="CO38" i="1"/>
  <c r="CK38" i="1" s="1"/>
  <c r="CM38" i="1"/>
  <c r="CL38" i="1"/>
  <c r="CH38" i="1"/>
  <c r="BL38" i="1"/>
  <c r="BK38" i="1"/>
  <c r="BJ38" i="1"/>
  <c r="BI38" i="1"/>
  <c r="BH38" i="1"/>
  <c r="BG38" i="1"/>
  <c r="AX38" i="1"/>
  <c r="AW38" i="1"/>
  <c r="AV38" i="1"/>
  <c r="AU38" i="1"/>
  <c r="AT38" i="1"/>
  <c r="AS38" i="1"/>
  <c r="AJ38" i="1"/>
  <c r="AI38" i="1"/>
  <c r="AH38" i="1"/>
  <c r="AG38" i="1"/>
  <c r="AF38" i="1"/>
  <c r="AE38" i="1"/>
  <c r="V38" i="1"/>
  <c r="W38" i="1" s="1"/>
  <c r="U38" i="1"/>
  <c r="Q38" i="1"/>
  <c r="R38" i="1" s="1"/>
  <c r="P38" i="1"/>
  <c r="CO37" i="1"/>
  <c r="CK37" i="1" s="1"/>
  <c r="CM37" i="1"/>
  <c r="CL37" i="1"/>
  <c r="CH37" i="1"/>
  <c r="BL37" i="1"/>
  <c r="BK37" i="1"/>
  <c r="BJ37" i="1"/>
  <c r="BI37" i="1"/>
  <c r="BH37" i="1"/>
  <c r="BG37" i="1"/>
  <c r="AX37" i="1"/>
  <c r="AW37" i="1"/>
  <c r="AV37" i="1"/>
  <c r="AU37" i="1"/>
  <c r="AT37" i="1"/>
  <c r="AS37" i="1"/>
  <c r="AJ37" i="1"/>
  <c r="AI37" i="1"/>
  <c r="AH37" i="1"/>
  <c r="AG37" i="1"/>
  <c r="AF37" i="1"/>
  <c r="AE37" i="1"/>
  <c r="V37" i="1"/>
  <c r="W37" i="1" s="1"/>
  <c r="U37" i="1"/>
  <c r="Q37" i="1"/>
  <c r="R37" i="1" s="1"/>
  <c r="P37" i="1"/>
  <c r="CO36" i="1"/>
  <c r="CK36" i="1" s="1"/>
  <c r="CM36" i="1"/>
  <c r="CL36" i="1"/>
  <c r="CH36" i="1"/>
  <c r="BL36" i="1"/>
  <c r="BK36" i="1"/>
  <c r="BJ36" i="1"/>
  <c r="BI36" i="1"/>
  <c r="BH36" i="1"/>
  <c r="BG36" i="1"/>
  <c r="AX36" i="1"/>
  <c r="AW36" i="1"/>
  <c r="AV36" i="1"/>
  <c r="AU36" i="1"/>
  <c r="AT36" i="1"/>
  <c r="AS36" i="1"/>
  <c r="AJ36" i="1"/>
  <c r="AI36" i="1"/>
  <c r="AH36" i="1"/>
  <c r="AG36" i="1"/>
  <c r="AF36" i="1"/>
  <c r="AE36" i="1"/>
  <c r="V36" i="1"/>
  <c r="U36" i="1"/>
  <c r="Q36" i="1"/>
  <c r="P36" i="1"/>
  <c r="CO35" i="1"/>
  <c r="CK35" i="1" s="1"/>
  <c r="CM35" i="1"/>
  <c r="CL35" i="1"/>
  <c r="CH35" i="1"/>
  <c r="BL35" i="1"/>
  <c r="BK35" i="1"/>
  <c r="BJ35" i="1"/>
  <c r="BI35" i="1"/>
  <c r="BH35" i="1"/>
  <c r="BG35" i="1"/>
  <c r="AX35" i="1"/>
  <c r="AW35" i="1"/>
  <c r="AV35" i="1"/>
  <c r="AU35" i="1"/>
  <c r="AT35" i="1"/>
  <c r="AS35" i="1"/>
  <c r="AJ35" i="1"/>
  <c r="AI35" i="1"/>
  <c r="AH35" i="1"/>
  <c r="AG35" i="1"/>
  <c r="AF35" i="1"/>
  <c r="AE35" i="1"/>
  <c r="V35" i="1"/>
  <c r="X35" i="1" s="1"/>
  <c r="U35" i="1"/>
  <c r="Q35" i="1"/>
  <c r="S35" i="1" s="1"/>
  <c r="P35" i="1"/>
  <c r="CO34" i="1"/>
  <c r="CK34" i="1" s="1"/>
  <c r="CM34" i="1"/>
  <c r="CL34" i="1"/>
  <c r="CH34" i="1"/>
  <c r="BL34" i="1"/>
  <c r="BK34" i="1"/>
  <c r="BJ34" i="1"/>
  <c r="BI34" i="1"/>
  <c r="BH34" i="1"/>
  <c r="BG34" i="1"/>
  <c r="AX34" i="1"/>
  <c r="AW34" i="1"/>
  <c r="AV34" i="1"/>
  <c r="AU34" i="1"/>
  <c r="AT34" i="1"/>
  <c r="AS34" i="1"/>
  <c r="AJ34" i="1"/>
  <c r="AI34" i="1"/>
  <c r="AH34" i="1"/>
  <c r="AG34" i="1"/>
  <c r="AF34" i="1"/>
  <c r="AE34" i="1"/>
  <c r="V34" i="1"/>
  <c r="W34" i="1" s="1"/>
  <c r="U34" i="1"/>
  <c r="Q34" i="1"/>
  <c r="R34" i="1" s="1"/>
  <c r="P34" i="1"/>
  <c r="CO33" i="1"/>
  <c r="CK33" i="1" s="1"/>
  <c r="CM33" i="1"/>
  <c r="CL33" i="1"/>
  <c r="CH33" i="1"/>
  <c r="BL33" i="1"/>
  <c r="BK33" i="1"/>
  <c r="BJ33" i="1"/>
  <c r="BI33" i="1"/>
  <c r="BH33" i="1"/>
  <c r="BG33" i="1"/>
  <c r="AX33" i="1"/>
  <c r="AW33" i="1"/>
  <c r="AV33" i="1"/>
  <c r="AU33" i="1"/>
  <c r="AT33" i="1"/>
  <c r="AS33" i="1"/>
  <c r="AJ33" i="1"/>
  <c r="AI33" i="1"/>
  <c r="AH33" i="1"/>
  <c r="AG33" i="1"/>
  <c r="AF33" i="1"/>
  <c r="AE33" i="1"/>
  <c r="V33" i="1"/>
  <c r="W33" i="1" s="1"/>
  <c r="U33" i="1"/>
  <c r="Q33" i="1"/>
  <c r="R33" i="1" s="1"/>
  <c r="P33" i="1"/>
  <c r="CO32" i="1"/>
  <c r="CK32" i="1" s="1"/>
  <c r="CM32" i="1"/>
  <c r="CL32" i="1"/>
  <c r="CH32" i="1"/>
  <c r="BL32" i="1"/>
  <c r="BK32" i="1"/>
  <c r="BJ32" i="1"/>
  <c r="BI32" i="1"/>
  <c r="BH32" i="1"/>
  <c r="BG32" i="1"/>
  <c r="AX32" i="1"/>
  <c r="AW32" i="1"/>
  <c r="AV32" i="1"/>
  <c r="AU32" i="1"/>
  <c r="AT32" i="1"/>
  <c r="AS32" i="1"/>
  <c r="AJ32" i="1"/>
  <c r="AI32" i="1"/>
  <c r="AH32" i="1"/>
  <c r="AG32" i="1"/>
  <c r="AF32" i="1"/>
  <c r="AE32" i="1"/>
  <c r="V32" i="1"/>
  <c r="U32" i="1"/>
  <c r="Q32" i="1"/>
  <c r="P32" i="1"/>
  <c r="CO31" i="1"/>
  <c r="CK31" i="1" s="1"/>
  <c r="CM31" i="1"/>
  <c r="CL31" i="1"/>
  <c r="CH31" i="1"/>
  <c r="BL31" i="1"/>
  <c r="BK31" i="1"/>
  <c r="BJ31" i="1"/>
  <c r="BI31" i="1"/>
  <c r="BH31" i="1"/>
  <c r="BG31" i="1"/>
  <c r="AX31" i="1"/>
  <c r="AW31" i="1"/>
  <c r="AV31" i="1"/>
  <c r="AU31" i="1"/>
  <c r="AT31" i="1"/>
  <c r="AS31" i="1"/>
  <c r="AJ31" i="1"/>
  <c r="AI31" i="1"/>
  <c r="AH31" i="1"/>
  <c r="AG31" i="1"/>
  <c r="AF31" i="1"/>
  <c r="AE31" i="1"/>
  <c r="V31" i="1"/>
  <c r="X31" i="1" s="1"/>
  <c r="U31" i="1"/>
  <c r="Q31" i="1"/>
  <c r="S31" i="1" s="1"/>
  <c r="P31" i="1"/>
  <c r="CO30" i="1"/>
  <c r="CK30" i="1" s="1"/>
  <c r="CM30" i="1"/>
  <c r="CL30" i="1"/>
  <c r="CH30" i="1"/>
  <c r="BL30" i="1"/>
  <c r="BK30" i="1"/>
  <c r="BJ30" i="1"/>
  <c r="BI30" i="1"/>
  <c r="BH30" i="1"/>
  <c r="BG30" i="1"/>
  <c r="AX30" i="1"/>
  <c r="AW30" i="1"/>
  <c r="AV30" i="1"/>
  <c r="AU30" i="1"/>
  <c r="AT30" i="1"/>
  <c r="AS30" i="1"/>
  <c r="AJ30" i="1"/>
  <c r="AI30" i="1"/>
  <c r="AH30" i="1"/>
  <c r="AG30" i="1"/>
  <c r="AF30" i="1"/>
  <c r="AE30" i="1"/>
  <c r="V30" i="1"/>
  <c r="X30" i="1" s="1"/>
  <c r="U30" i="1"/>
  <c r="Q30" i="1"/>
  <c r="S30" i="1" s="1"/>
  <c r="P30" i="1"/>
  <c r="CO29" i="1"/>
  <c r="CK29" i="1" s="1"/>
  <c r="CM29" i="1"/>
  <c r="CL29" i="1"/>
  <c r="CH29" i="1"/>
  <c r="BL29" i="1"/>
  <c r="BK29" i="1"/>
  <c r="BJ29" i="1"/>
  <c r="BI29" i="1"/>
  <c r="BH29" i="1"/>
  <c r="BG29" i="1"/>
  <c r="AX29" i="1"/>
  <c r="AW29" i="1"/>
  <c r="AV29" i="1"/>
  <c r="AU29" i="1"/>
  <c r="AT29" i="1"/>
  <c r="AS29" i="1"/>
  <c r="AJ29" i="1"/>
  <c r="AI29" i="1"/>
  <c r="AH29" i="1"/>
  <c r="AG29" i="1"/>
  <c r="AF29" i="1"/>
  <c r="AE29" i="1"/>
  <c r="V29" i="1"/>
  <c r="W29" i="1" s="1"/>
  <c r="U29" i="1"/>
  <c r="Q29" i="1"/>
  <c r="R29" i="1" s="1"/>
  <c r="P29" i="1"/>
  <c r="CO28" i="1"/>
  <c r="CK28" i="1" s="1"/>
  <c r="CM28" i="1"/>
  <c r="CL28" i="1"/>
  <c r="CH28" i="1"/>
  <c r="BL28" i="1"/>
  <c r="BK28" i="1"/>
  <c r="BJ28" i="1"/>
  <c r="BI28" i="1"/>
  <c r="BH28" i="1"/>
  <c r="BG28" i="1"/>
  <c r="AX28" i="1"/>
  <c r="AW28" i="1"/>
  <c r="AV28" i="1"/>
  <c r="AU28" i="1"/>
  <c r="AT28" i="1"/>
  <c r="AS28" i="1"/>
  <c r="AJ28" i="1"/>
  <c r="AI28" i="1"/>
  <c r="AH28" i="1"/>
  <c r="AG28" i="1"/>
  <c r="AF28" i="1"/>
  <c r="AE28" i="1"/>
  <c r="V28" i="1"/>
  <c r="U28" i="1"/>
  <c r="Q28" i="1"/>
  <c r="P28" i="1"/>
  <c r="CO27" i="1"/>
  <c r="CK27" i="1" s="1"/>
  <c r="CM27" i="1"/>
  <c r="CL27" i="1"/>
  <c r="CH27" i="1"/>
  <c r="BL27" i="1"/>
  <c r="BK27" i="1"/>
  <c r="BJ27" i="1"/>
  <c r="BI27" i="1"/>
  <c r="BH27" i="1"/>
  <c r="BG27" i="1"/>
  <c r="AX27" i="1"/>
  <c r="AW27" i="1"/>
  <c r="AV27" i="1"/>
  <c r="AU27" i="1"/>
  <c r="AT27" i="1"/>
  <c r="AS27" i="1"/>
  <c r="AJ27" i="1"/>
  <c r="AI27" i="1"/>
  <c r="AH27" i="1"/>
  <c r="AG27" i="1"/>
  <c r="AF27" i="1"/>
  <c r="AE27" i="1"/>
  <c r="V27" i="1"/>
  <c r="X27" i="1" s="1"/>
  <c r="U27" i="1"/>
  <c r="Q27" i="1"/>
  <c r="S27" i="1" s="1"/>
  <c r="P27" i="1"/>
  <c r="CO26" i="1"/>
  <c r="CK26" i="1" s="1"/>
  <c r="CM26" i="1"/>
  <c r="CL26" i="1"/>
  <c r="CH26" i="1"/>
  <c r="BL26" i="1"/>
  <c r="BK26" i="1"/>
  <c r="BJ26" i="1"/>
  <c r="BI26" i="1"/>
  <c r="BH26" i="1"/>
  <c r="BG26" i="1"/>
  <c r="AX26" i="1"/>
  <c r="AW26" i="1"/>
  <c r="AV26" i="1"/>
  <c r="AU26" i="1"/>
  <c r="AT26" i="1"/>
  <c r="AS26" i="1"/>
  <c r="AJ26" i="1"/>
  <c r="AI26" i="1"/>
  <c r="AH26" i="1"/>
  <c r="AG26" i="1"/>
  <c r="AF26" i="1"/>
  <c r="AE26" i="1"/>
  <c r="V26" i="1"/>
  <c r="X26" i="1" s="1"/>
  <c r="U26" i="1"/>
  <c r="Q26" i="1"/>
  <c r="S26" i="1" s="1"/>
  <c r="P26" i="1"/>
  <c r="CO25" i="1"/>
  <c r="CK25" i="1" s="1"/>
  <c r="CM25" i="1"/>
  <c r="CL25" i="1"/>
  <c r="CH25" i="1"/>
  <c r="BL25" i="1"/>
  <c r="BK25" i="1"/>
  <c r="BJ25" i="1"/>
  <c r="BI25" i="1"/>
  <c r="BH25" i="1"/>
  <c r="BG25" i="1"/>
  <c r="AX25" i="1"/>
  <c r="AW25" i="1"/>
  <c r="AV25" i="1"/>
  <c r="AU25" i="1"/>
  <c r="AT25" i="1"/>
  <c r="AS25" i="1"/>
  <c r="AJ25" i="1"/>
  <c r="AI25" i="1"/>
  <c r="AH25" i="1"/>
  <c r="AG25" i="1"/>
  <c r="AF25" i="1"/>
  <c r="AE25" i="1"/>
  <c r="V25" i="1"/>
  <c r="W25" i="1" s="1"/>
  <c r="U25" i="1"/>
  <c r="Q25" i="1"/>
  <c r="R25" i="1" s="1"/>
  <c r="P25" i="1"/>
  <c r="CO24" i="1"/>
  <c r="CK24" i="1" s="1"/>
  <c r="CM24" i="1"/>
  <c r="CL24" i="1"/>
  <c r="CH24" i="1"/>
  <c r="BL24" i="1"/>
  <c r="BK24" i="1"/>
  <c r="BJ24" i="1"/>
  <c r="BI24" i="1"/>
  <c r="BH24" i="1"/>
  <c r="BG24" i="1"/>
  <c r="AX24" i="1"/>
  <c r="AW24" i="1"/>
  <c r="AV24" i="1"/>
  <c r="AU24" i="1"/>
  <c r="AT24" i="1"/>
  <c r="AS24" i="1"/>
  <c r="AJ24" i="1"/>
  <c r="AI24" i="1"/>
  <c r="AH24" i="1"/>
  <c r="AG24" i="1"/>
  <c r="AF24" i="1"/>
  <c r="AE24" i="1"/>
  <c r="V24" i="1"/>
  <c r="X24" i="1" s="1"/>
  <c r="U24" i="1"/>
  <c r="Q24" i="1"/>
  <c r="S24" i="1" s="1"/>
  <c r="P24" i="1"/>
  <c r="CO23" i="1"/>
  <c r="CK23" i="1" s="1"/>
  <c r="CM23" i="1"/>
  <c r="CL23" i="1"/>
  <c r="CH23" i="1"/>
  <c r="BL23" i="1"/>
  <c r="BK23" i="1"/>
  <c r="BJ23" i="1"/>
  <c r="BI23" i="1"/>
  <c r="BH23" i="1"/>
  <c r="BG23" i="1"/>
  <c r="AX23" i="1"/>
  <c r="AW23" i="1"/>
  <c r="AV23" i="1"/>
  <c r="AU23" i="1"/>
  <c r="AT23" i="1"/>
  <c r="AS23" i="1"/>
  <c r="AJ23" i="1"/>
  <c r="AI23" i="1"/>
  <c r="AH23" i="1"/>
  <c r="AG23" i="1"/>
  <c r="AF23" i="1"/>
  <c r="AE23" i="1"/>
  <c r="V23" i="1"/>
  <c r="W23" i="1" s="1"/>
  <c r="U23" i="1"/>
  <c r="Q23" i="1"/>
  <c r="R23" i="1" s="1"/>
  <c r="P23" i="1"/>
  <c r="CO22" i="1"/>
  <c r="CK22" i="1" s="1"/>
  <c r="CM22" i="1"/>
  <c r="CL22" i="1"/>
  <c r="CH22" i="1"/>
  <c r="BL22" i="1"/>
  <c r="BK22" i="1"/>
  <c r="BJ22" i="1"/>
  <c r="BI22" i="1"/>
  <c r="BH22" i="1"/>
  <c r="BG22" i="1"/>
  <c r="AX22" i="1"/>
  <c r="AW22" i="1"/>
  <c r="AV22" i="1"/>
  <c r="AU22" i="1"/>
  <c r="AT22" i="1"/>
  <c r="AS22" i="1"/>
  <c r="AJ22" i="1"/>
  <c r="AI22" i="1"/>
  <c r="AH22" i="1"/>
  <c r="AG22" i="1"/>
  <c r="AF22" i="1"/>
  <c r="AE22" i="1"/>
  <c r="V22" i="1"/>
  <c r="X22" i="1" s="1"/>
  <c r="U22" i="1"/>
  <c r="Q22" i="1"/>
  <c r="S22" i="1" s="1"/>
  <c r="P22" i="1"/>
  <c r="CO21" i="1"/>
  <c r="CK21" i="1" s="1"/>
  <c r="CM21" i="1"/>
  <c r="CL21" i="1"/>
  <c r="CH21" i="1"/>
  <c r="BL21" i="1"/>
  <c r="BK21" i="1"/>
  <c r="BJ21" i="1"/>
  <c r="BI21" i="1"/>
  <c r="BH21" i="1"/>
  <c r="BG21" i="1"/>
  <c r="AX21" i="1"/>
  <c r="AW21" i="1"/>
  <c r="AV21" i="1"/>
  <c r="AU21" i="1"/>
  <c r="AT21" i="1"/>
  <c r="AS21" i="1"/>
  <c r="AJ21" i="1"/>
  <c r="AI21" i="1"/>
  <c r="AH21" i="1"/>
  <c r="AG21" i="1"/>
  <c r="AF21" i="1"/>
  <c r="AE21" i="1"/>
  <c r="V21" i="1"/>
  <c r="W21" i="1" s="1"/>
  <c r="U21" i="1"/>
  <c r="Q21" i="1"/>
  <c r="R21" i="1" s="1"/>
  <c r="P21" i="1"/>
  <c r="CO20" i="1"/>
  <c r="CK20" i="1" s="1"/>
  <c r="CM20" i="1"/>
  <c r="CL20" i="1"/>
  <c r="CH20" i="1"/>
  <c r="BL20" i="1"/>
  <c r="BK20" i="1"/>
  <c r="BJ20" i="1"/>
  <c r="BI20" i="1"/>
  <c r="BH20" i="1"/>
  <c r="BG20" i="1"/>
  <c r="AX20" i="1"/>
  <c r="AW20" i="1"/>
  <c r="AV20" i="1"/>
  <c r="AU20" i="1"/>
  <c r="AT20" i="1"/>
  <c r="AS20" i="1"/>
  <c r="AJ20" i="1"/>
  <c r="AI20" i="1"/>
  <c r="AH20" i="1"/>
  <c r="AG20" i="1"/>
  <c r="AF20" i="1"/>
  <c r="AE20" i="1"/>
  <c r="V20" i="1"/>
  <c r="X20" i="1" s="1"/>
  <c r="U20" i="1"/>
  <c r="Q20" i="1"/>
  <c r="S20" i="1" s="1"/>
  <c r="P20" i="1"/>
  <c r="CO19" i="1"/>
  <c r="CK19" i="1" s="1"/>
  <c r="CM19" i="1"/>
  <c r="CL19" i="1"/>
  <c r="CH19" i="1"/>
  <c r="BL19" i="1"/>
  <c r="BK19" i="1"/>
  <c r="BJ19" i="1"/>
  <c r="BI19" i="1"/>
  <c r="BH19" i="1"/>
  <c r="BG19" i="1"/>
  <c r="AX19" i="1"/>
  <c r="AW19" i="1"/>
  <c r="AV19" i="1"/>
  <c r="AU19" i="1"/>
  <c r="AT19" i="1"/>
  <c r="AS19" i="1"/>
  <c r="AJ19" i="1"/>
  <c r="AI19" i="1"/>
  <c r="AH19" i="1"/>
  <c r="AG19" i="1"/>
  <c r="AF19" i="1"/>
  <c r="AE19" i="1"/>
  <c r="V19" i="1"/>
  <c r="X19" i="1" s="1"/>
  <c r="U19" i="1"/>
  <c r="Q19" i="1"/>
  <c r="S19" i="1" s="1"/>
  <c r="P19" i="1"/>
  <c r="CO18" i="1"/>
  <c r="CK18" i="1" s="1"/>
  <c r="CM18" i="1"/>
  <c r="CL18" i="1"/>
  <c r="CH18" i="1"/>
  <c r="BL18" i="1"/>
  <c r="BK18" i="1"/>
  <c r="BJ18" i="1"/>
  <c r="BI18" i="1"/>
  <c r="BH18" i="1"/>
  <c r="BG18" i="1"/>
  <c r="AX18" i="1"/>
  <c r="AW18" i="1"/>
  <c r="AV18" i="1"/>
  <c r="AU18" i="1"/>
  <c r="AT18" i="1"/>
  <c r="AS18" i="1"/>
  <c r="AJ18" i="1"/>
  <c r="AI18" i="1"/>
  <c r="AH18" i="1"/>
  <c r="AG18" i="1"/>
  <c r="AF18" i="1"/>
  <c r="AE18" i="1"/>
  <c r="V18" i="1"/>
  <c r="X18" i="1" s="1"/>
  <c r="U18" i="1"/>
  <c r="Q18" i="1"/>
  <c r="S18" i="1" s="1"/>
  <c r="P18" i="1"/>
  <c r="CO17" i="1"/>
  <c r="CK17" i="1" s="1"/>
  <c r="CM17" i="1"/>
  <c r="CL17" i="1"/>
  <c r="CH17" i="1"/>
  <c r="BL17" i="1"/>
  <c r="BK17" i="1"/>
  <c r="BJ17" i="1"/>
  <c r="BI17" i="1"/>
  <c r="BH17" i="1"/>
  <c r="BG17" i="1"/>
  <c r="AX17" i="1"/>
  <c r="AW17" i="1"/>
  <c r="AV17" i="1"/>
  <c r="AU17" i="1"/>
  <c r="AT17" i="1"/>
  <c r="AS17" i="1"/>
  <c r="AJ17" i="1"/>
  <c r="AI17" i="1"/>
  <c r="AH17" i="1"/>
  <c r="AG17" i="1"/>
  <c r="AF17" i="1"/>
  <c r="AE17" i="1"/>
  <c r="V17" i="1"/>
  <c r="W17" i="1" s="1"/>
  <c r="U17" i="1"/>
  <c r="Q17" i="1"/>
  <c r="R17" i="1" s="1"/>
  <c r="P17" i="1"/>
  <c r="CO16" i="1"/>
  <c r="CK16" i="1" s="1"/>
  <c r="CM16" i="1"/>
  <c r="CL16" i="1"/>
  <c r="CH16" i="1"/>
  <c r="BL16" i="1"/>
  <c r="BK16" i="1"/>
  <c r="BJ16" i="1"/>
  <c r="BI16" i="1"/>
  <c r="BH16" i="1"/>
  <c r="BG16" i="1"/>
  <c r="AX16" i="1"/>
  <c r="AW16" i="1"/>
  <c r="AV16" i="1"/>
  <c r="AU16" i="1"/>
  <c r="AT16" i="1"/>
  <c r="AS16" i="1"/>
  <c r="AJ16" i="1"/>
  <c r="AI16" i="1"/>
  <c r="AH16" i="1"/>
  <c r="AG16" i="1"/>
  <c r="AF16" i="1"/>
  <c r="AE16" i="1"/>
  <c r="V16" i="1"/>
  <c r="X16" i="1" s="1"/>
  <c r="U16" i="1"/>
  <c r="Q16" i="1"/>
  <c r="S16" i="1" s="1"/>
  <c r="P16" i="1"/>
  <c r="CO15" i="1"/>
  <c r="CK15" i="1" s="1"/>
  <c r="CM15" i="1"/>
  <c r="CL15" i="1"/>
  <c r="CH15" i="1"/>
  <c r="BL15" i="1"/>
  <c r="BK15" i="1"/>
  <c r="BJ15" i="1"/>
  <c r="BI15" i="1"/>
  <c r="BH15" i="1"/>
  <c r="BG15" i="1"/>
  <c r="AX15" i="1"/>
  <c r="AW15" i="1"/>
  <c r="AV15" i="1"/>
  <c r="AU15" i="1"/>
  <c r="AT15" i="1"/>
  <c r="AS15" i="1"/>
  <c r="AJ15" i="1"/>
  <c r="AI15" i="1"/>
  <c r="AH15" i="1"/>
  <c r="AG15" i="1"/>
  <c r="AF15" i="1"/>
  <c r="AE15" i="1"/>
  <c r="V15" i="1"/>
  <c r="W15" i="1" s="1"/>
  <c r="U15" i="1"/>
  <c r="Q15" i="1"/>
  <c r="R15" i="1" s="1"/>
  <c r="P15" i="1"/>
  <c r="CO14" i="1"/>
  <c r="CK14" i="1" s="1"/>
  <c r="CM14" i="1"/>
  <c r="CL14" i="1"/>
  <c r="CH14" i="1"/>
  <c r="BL14" i="1"/>
  <c r="BK14" i="1"/>
  <c r="BJ14" i="1"/>
  <c r="BI14" i="1"/>
  <c r="BH14" i="1"/>
  <c r="BG14" i="1"/>
  <c r="AX14" i="1"/>
  <c r="AW14" i="1"/>
  <c r="AV14" i="1"/>
  <c r="AU14" i="1"/>
  <c r="AT14" i="1"/>
  <c r="AS14" i="1"/>
  <c r="AJ14" i="1"/>
  <c r="AI14" i="1"/>
  <c r="AH14" i="1"/>
  <c r="AG14" i="1"/>
  <c r="AF14" i="1"/>
  <c r="AE14" i="1"/>
  <c r="V14" i="1"/>
  <c r="X14" i="1" s="1"/>
  <c r="U14" i="1"/>
  <c r="Q14" i="1"/>
  <c r="S14" i="1" s="1"/>
  <c r="P14" i="1"/>
  <c r="CO13" i="1"/>
  <c r="CK13" i="1" s="1"/>
  <c r="CM13" i="1"/>
  <c r="CL13" i="1"/>
  <c r="CH13" i="1"/>
  <c r="BL13" i="1"/>
  <c r="BK13" i="1"/>
  <c r="BJ13" i="1"/>
  <c r="BI13" i="1"/>
  <c r="BH13" i="1"/>
  <c r="BG13" i="1"/>
  <c r="AX13" i="1"/>
  <c r="AW13" i="1"/>
  <c r="AV13" i="1"/>
  <c r="AU13" i="1"/>
  <c r="AT13" i="1"/>
  <c r="AS13" i="1"/>
  <c r="AJ13" i="1"/>
  <c r="AI13" i="1"/>
  <c r="AH13" i="1"/>
  <c r="AG13" i="1"/>
  <c r="AF13" i="1"/>
  <c r="AE13" i="1"/>
  <c r="V13" i="1"/>
  <c r="W13" i="1" s="1"/>
  <c r="U13" i="1"/>
  <c r="Q13" i="1"/>
  <c r="R13" i="1" s="1"/>
  <c r="P13" i="1"/>
  <c r="CO12" i="1"/>
  <c r="CK12" i="1" s="1"/>
  <c r="CM12" i="1"/>
  <c r="CL12" i="1"/>
  <c r="CH12" i="1"/>
  <c r="BL12" i="1"/>
  <c r="BK12" i="1"/>
  <c r="BJ12" i="1"/>
  <c r="BI12" i="1"/>
  <c r="BH12" i="1"/>
  <c r="BG12" i="1"/>
  <c r="AX12" i="1"/>
  <c r="AW12" i="1"/>
  <c r="AV12" i="1"/>
  <c r="AU12" i="1"/>
  <c r="AT12" i="1"/>
  <c r="AS12" i="1"/>
  <c r="AJ12" i="1"/>
  <c r="AI12" i="1"/>
  <c r="AH12" i="1"/>
  <c r="AG12" i="1"/>
  <c r="AF12" i="1"/>
  <c r="AE12" i="1"/>
  <c r="V12" i="1"/>
  <c r="X12" i="1" s="1"/>
  <c r="U12" i="1"/>
  <c r="Q12" i="1"/>
  <c r="S12" i="1" s="1"/>
  <c r="P12" i="1"/>
  <c r="CO11" i="1"/>
  <c r="CK11" i="1" s="1"/>
  <c r="CM11" i="1"/>
  <c r="CL11" i="1"/>
  <c r="CH11" i="1"/>
  <c r="BL11" i="1"/>
  <c r="BK11" i="1"/>
  <c r="BJ11" i="1"/>
  <c r="BI11" i="1"/>
  <c r="BH11" i="1"/>
  <c r="BG11" i="1"/>
  <c r="AX11" i="1"/>
  <c r="AW11" i="1"/>
  <c r="AV11" i="1"/>
  <c r="AU11" i="1"/>
  <c r="AT11" i="1"/>
  <c r="AS11" i="1"/>
  <c r="AJ11" i="1"/>
  <c r="AI11" i="1"/>
  <c r="AH11" i="1"/>
  <c r="AG11" i="1"/>
  <c r="AF11" i="1"/>
  <c r="AE11" i="1"/>
  <c r="V11" i="1"/>
  <c r="X11" i="1" s="1"/>
  <c r="U11" i="1"/>
  <c r="Q11" i="1"/>
  <c r="S11" i="1" s="1"/>
  <c r="P11" i="1"/>
  <c r="CO10" i="1"/>
  <c r="CK10" i="1" s="1"/>
  <c r="CM10" i="1"/>
  <c r="CL10" i="1"/>
  <c r="CH10" i="1"/>
  <c r="BL10" i="1"/>
  <c r="BK10" i="1"/>
  <c r="BJ10" i="1"/>
  <c r="BI10" i="1"/>
  <c r="BH10" i="1"/>
  <c r="BG10" i="1"/>
  <c r="AX10" i="1"/>
  <c r="AW10" i="1"/>
  <c r="AV10" i="1"/>
  <c r="AU10" i="1"/>
  <c r="AT10" i="1"/>
  <c r="AS10" i="1"/>
  <c r="AJ10" i="1"/>
  <c r="AI10" i="1"/>
  <c r="AH10" i="1"/>
  <c r="AG10" i="1"/>
  <c r="AF10" i="1"/>
  <c r="AE10" i="1"/>
  <c r="V10" i="1"/>
  <c r="W10" i="1" s="1"/>
  <c r="U10" i="1"/>
  <c r="Q10" i="1"/>
  <c r="R10" i="1" s="1"/>
  <c r="P10" i="1"/>
  <c r="CO9" i="1"/>
  <c r="CI9" i="1" s="1"/>
  <c r="CM9" i="1"/>
  <c r="CL9" i="1"/>
  <c r="CH9" i="1"/>
  <c r="BL9" i="1"/>
  <c r="BK9" i="1"/>
  <c r="BJ9" i="1"/>
  <c r="BI9" i="1"/>
  <c r="BH9" i="1"/>
  <c r="BG9" i="1"/>
  <c r="AX9" i="1"/>
  <c r="AW9" i="1"/>
  <c r="AV9" i="1"/>
  <c r="AU9" i="1"/>
  <c r="AT9" i="1"/>
  <c r="AS9" i="1"/>
  <c r="AJ9" i="1"/>
  <c r="AI9" i="1"/>
  <c r="AH9" i="1"/>
  <c r="AG9" i="1"/>
  <c r="AF9" i="1"/>
  <c r="AE9" i="1"/>
  <c r="V9" i="1"/>
  <c r="X9" i="1" s="1"/>
  <c r="U9" i="1"/>
  <c r="Q9" i="1"/>
  <c r="S9" i="1" s="1"/>
  <c r="P9" i="1"/>
  <c r="CO8" i="1"/>
  <c r="CK8" i="1" s="1"/>
  <c r="CM8" i="1"/>
  <c r="CL8" i="1"/>
  <c r="CH8" i="1"/>
  <c r="BL8" i="1"/>
  <c r="BK8" i="1"/>
  <c r="BJ8" i="1"/>
  <c r="BI8" i="1"/>
  <c r="BH8" i="1"/>
  <c r="BG8" i="1"/>
  <c r="AX8" i="1"/>
  <c r="AW8" i="1"/>
  <c r="AV8" i="1"/>
  <c r="AU8" i="1"/>
  <c r="AT8" i="1"/>
  <c r="AS8" i="1"/>
  <c r="AJ8" i="1"/>
  <c r="AI8" i="1"/>
  <c r="AH8" i="1"/>
  <c r="AG8" i="1"/>
  <c r="AF8" i="1"/>
  <c r="AE8" i="1"/>
  <c r="V8" i="1"/>
  <c r="W8" i="1" s="1"/>
  <c r="U8" i="1"/>
  <c r="Q8" i="1"/>
  <c r="R8" i="1" s="1"/>
  <c r="P8" i="1"/>
  <c r="CO6" i="1"/>
  <c r="CK6" i="1" s="1"/>
  <c r="CM6" i="1"/>
  <c r="CL6" i="1"/>
  <c r="CH6" i="1"/>
  <c r="BL6" i="1"/>
  <c r="BK6" i="1"/>
  <c r="BJ6" i="1"/>
  <c r="BI6" i="1"/>
  <c r="BH6" i="1"/>
  <c r="BG6" i="1"/>
  <c r="AX6" i="1"/>
  <c r="AW6" i="1"/>
  <c r="AV6" i="1"/>
  <c r="AU6" i="1"/>
  <c r="AT6" i="1"/>
  <c r="AS6" i="1"/>
  <c r="AJ6" i="1"/>
  <c r="AI6" i="1"/>
  <c r="AH6" i="1"/>
  <c r="AG6" i="1"/>
  <c r="AF6" i="1"/>
  <c r="AE6" i="1"/>
  <c r="V6" i="1"/>
  <c r="X6" i="1" s="1"/>
  <c r="U6" i="1"/>
  <c r="Q6" i="1"/>
  <c r="S6" i="1" s="1"/>
  <c r="P6" i="1"/>
  <c r="CO4" i="1"/>
  <c r="CK4" i="1" s="1"/>
  <c r="CM4" i="1"/>
  <c r="CL4" i="1"/>
  <c r="CH4" i="1"/>
  <c r="BL4" i="1"/>
  <c r="BK4" i="1"/>
  <c r="BJ4" i="1"/>
  <c r="BI4" i="1"/>
  <c r="BH4" i="1"/>
  <c r="BG4" i="1"/>
  <c r="AX4" i="1"/>
  <c r="AW4" i="1"/>
  <c r="AV4" i="1"/>
  <c r="AU4" i="1"/>
  <c r="AT4" i="1"/>
  <c r="AS4" i="1"/>
  <c r="AJ4" i="1"/>
  <c r="AI4" i="1"/>
  <c r="AH4" i="1"/>
  <c r="AG4" i="1"/>
  <c r="AF4" i="1"/>
  <c r="AE4" i="1"/>
  <c r="V4" i="1"/>
  <c r="W4" i="1" s="1"/>
  <c r="U4" i="1"/>
  <c r="Q4" i="1"/>
  <c r="R4" i="1" s="1"/>
  <c r="P4" i="1"/>
  <c r="CO2" i="1"/>
  <c r="CK2" i="1" s="1"/>
  <c r="CM2" i="1"/>
  <c r="CL2" i="1"/>
  <c r="CH2" i="1"/>
  <c r="BL2" i="1"/>
  <c r="BK2" i="1"/>
  <c r="BJ2" i="1"/>
  <c r="BI2" i="1"/>
  <c r="BH2" i="1"/>
  <c r="BG2" i="1"/>
  <c r="AX2" i="1"/>
  <c r="AW2" i="1"/>
  <c r="AV2" i="1"/>
  <c r="AU2" i="1"/>
  <c r="AT2" i="1"/>
  <c r="AS2" i="1"/>
  <c r="AJ2" i="1"/>
  <c r="AI2" i="1"/>
  <c r="AH2" i="1"/>
  <c r="AG2" i="1"/>
  <c r="AF2" i="1"/>
  <c r="AE2" i="1"/>
  <c r="V2" i="1"/>
  <c r="W2" i="1" s="1"/>
  <c r="U2" i="1"/>
  <c r="Q2" i="1"/>
  <c r="R2" i="1" s="1"/>
  <c r="F14" i="8" l="1"/>
  <c r="F17" i="8"/>
  <c r="F15" i="8"/>
  <c r="F19" i="8"/>
  <c r="F16" i="8"/>
  <c r="F13" i="8"/>
  <c r="F21" i="8"/>
  <c r="F11" i="8"/>
  <c r="F10" i="8"/>
  <c r="F12" i="8"/>
  <c r="U51" i="4"/>
  <c r="U119" i="4"/>
  <c r="A7" i="7"/>
  <c r="U63" i="4"/>
  <c r="U72" i="4"/>
  <c r="U77" i="4"/>
  <c r="U109" i="4"/>
  <c r="U87" i="4"/>
  <c r="U88" i="4"/>
  <c r="U74" i="4"/>
  <c r="U130" i="4"/>
  <c r="U70" i="4"/>
  <c r="U148" i="4"/>
  <c r="U118" i="4"/>
  <c r="U140" i="4"/>
  <c r="U110" i="4"/>
  <c r="U128" i="4"/>
  <c r="U82" i="4"/>
  <c r="U52" i="4"/>
  <c r="U102" i="4"/>
  <c r="X71" i="1"/>
  <c r="F72" i="1"/>
  <c r="R72" i="1"/>
  <c r="X90" i="1"/>
  <c r="F104" i="1"/>
  <c r="F84" i="1"/>
  <c r="F114" i="1"/>
  <c r="X75" i="1"/>
  <c r="R76" i="1"/>
  <c r="W133" i="1"/>
  <c r="R136" i="1"/>
  <c r="U114" i="4"/>
  <c r="U94" i="4"/>
  <c r="U138" i="4"/>
  <c r="U86" i="4"/>
  <c r="U68" i="4"/>
  <c r="U104" i="4"/>
  <c r="U98" i="4"/>
  <c r="U78" i="4"/>
  <c r="U134" i="4"/>
  <c r="U124" i="4"/>
  <c r="U90" i="4"/>
  <c r="U116" i="4"/>
  <c r="U96" i="4"/>
  <c r="U66" i="4"/>
  <c r="U120" i="4"/>
  <c r="U58" i="4"/>
  <c r="U80" i="4"/>
  <c r="U122" i="4"/>
  <c r="U75" i="4"/>
  <c r="U146" i="4"/>
  <c r="U142" i="4"/>
  <c r="U112" i="4"/>
  <c r="U64" i="4"/>
  <c r="U67" i="4"/>
  <c r="U60" i="4"/>
  <c r="U136" i="4"/>
  <c r="U150" i="4"/>
  <c r="U126" i="4"/>
  <c r="U84" i="4"/>
  <c r="U106" i="4"/>
  <c r="U53" i="4"/>
  <c r="U144" i="4"/>
  <c r="J5" i="4"/>
  <c r="Q5" i="4"/>
  <c r="J17" i="4"/>
  <c r="Q17" i="4"/>
  <c r="J29" i="4"/>
  <c r="Q29" i="4"/>
  <c r="J37" i="4"/>
  <c r="Q37" i="4"/>
  <c r="J49" i="4"/>
  <c r="Q49" i="4"/>
  <c r="Q2" i="4"/>
  <c r="J2" i="4"/>
  <c r="Q6" i="4"/>
  <c r="J6" i="4"/>
  <c r="Q10" i="4"/>
  <c r="J10" i="4"/>
  <c r="Q14" i="4"/>
  <c r="J14" i="4"/>
  <c r="Q18" i="4"/>
  <c r="J18" i="4"/>
  <c r="Q22" i="4"/>
  <c r="J22" i="4"/>
  <c r="Q26" i="4"/>
  <c r="J26" i="4"/>
  <c r="Q30" i="4"/>
  <c r="J30" i="4"/>
  <c r="U30" i="4" s="1"/>
  <c r="Q34" i="4"/>
  <c r="J34" i="4"/>
  <c r="U34" i="4" s="1"/>
  <c r="Q38" i="4"/>
  <c r="J38" i="4"/>
  <c r="Q42" i="4"/>
  <c r="J42" i="4"/>
  <c r="Q46" i="4"/>
  <c r="J46" i="4"/>
  <c r="Q50" i="4"/>
  <c r="J50" i="4"/>
  <c r="U76" i="4"/>
  <c r="U132" i="4"/>
  <c r="U92" i="4"/>
  <c r="J9" i="4"/>
  <c r="Q9" i="4"/>
  <c r="J21" i="4"/>
  <c r="Q21" i="4"/>
  <c r="J33" i="4"/>
  <c r="Q33" i="4"/>
  <c r="J45" i="4"/>
  <c r="Q45" i="4"/>
  <c r="Q3" i="4"/>
  <c r="J3" i="4"/>
  <c r="Q7" i="4"/>
  <c r="J7" i="4"/>
  <c r="Q11" i="4"/>
  <c r="J11" i="4"/>
  <c r="Q15" i="4"/>
  <c r="J15" i="4"/>
  <c r="Q19" i="4"/>
  <c r="J19" i="4"/>
  <c r="Q23" i="4"/>
  <c r="J23" i="4"/>
  <c r="Q27" i="4"/>
  <c r="J27" i="4"/>
  <c r="Q31" i="4"/>
  <c r="J31" i="4"/>
  <c r="Q35" i="4"/>
  <c r="J35" i="4"/>
  <c r="Q39" i="4"/>
  <c r="J39" i="4"/>
  <c r="U39" i="4" s="1"/>
  <c r="Q43" i="4"/>
  <c r="J43" i="4"/>
  <c r="U43" i="4" s="1"/>
  <c r="Q47" i="4"/>
  <c r="J47" i="4"/>
  <c r="U47" i="4" s="1"/>
  <c r="Q151" i="4"/>
  <c r="J151" i="4"/>
  <c r="U108" i="4"/>
  <c r="U100" i="4"/>
  <c r="J13" i="4"/>
  <c r="Q13" i="4"/>
  <c r="J25" i="4"/>
  <c r="Q25" i="4"/>
  <c r="J41" i="4"/>
  <c r="Q41" i="4"/>
  <c r="J4" i="4"/>
  <c r="Q4" i="4"/>
  <c r="J8" i="4"/>
  <c r="Q8" i="4"/>
  <c r="J12" i="4"/>
  <c r="Q12" i="4"/>
  <c r="J16" i="4"/>
  <c r="Q16" i="4"/>
  <c r="J20" i="4"/>
  <c r="Q20" i="4"/>
  <c r="J24" i="4"/>
  <c r="Q24" i="4"/>
  <c r="J28" i="4"/>
  <c r="Q28" i="4"/>
  <c r="J32" i="4"/>
  <c r="Q32" i="4"/>
  <c r="J36" i="4"/>
  <c r="Q36" i="4"/>
  <c r="J40" i="4"/>
  <c r="Q40" i="4"/>
  <c r="J44" i="4"/>
  <c r="Q44" i="4"/>
  <c r="J48" i="4"/>
  <c r="Q48" i="4"/>
  <c r="U56" i="4"/>
  <c r="U62" i="4"/>
  <c r="U54" i="4"/>
  <c r="X42" i="1"/>
  <c r="H38" i="1"/>
  <c r="H6" i="1"/>
  <c r="G49" i="1"/>
  <c r="Q7" i="3"/>
  <c r="F33" i="1"/>
  <c r="G33" i="1"/>
  <c r="H26" i="1"/>
  <c r="F49" i="1"/>
  <c r="S26" i="3"/>
  <c r="F41" i="1"/>
  <c r="F21" i="1"/>
  <c r="G17" i="1"/>
  <c r="H17" i="1"/>
  <c r="T37" i="3"/>
  <c r="X25" i="1"/>
  <c r="S42" i="1"/>
  <c r="Q4" i="3"/>
  <c r="S14" i="3"/>
  <c r="S16" i="3"/>
  <c r="S28" i="3"/>
  <c r="T34" i="3"/>
  <c r="T38" i="3"/>
  <c r="F46" i="1"/>
  <c r="F38" i="1"/>
  <c r="F29" i="1"/>
  <c r="F18" i="1"/>
  <c r="F6" i="1"/>
  <c r="G47" i="1"/>
  <c r="G31" i="1"/>
  <c r="G15" i="1"/>
  <c r="H43" i="1"/>
  <c r="H37" i="1"/>
  <c r="H25" i="1"/>
  <c r="H11" i="1"/>
  <c r="S2" i="1"/>
  <c r="Q5" i="3"/>
  <c r="F45" i="1"/>
  <c r="F37" i="1"/>
  <c r="F23" i="1"/>
  <c r="G45" i="1"/>
  <c r="G29" i="1"/>
  <c r="G13" i="1"/>
  <c r="H42" i="1"/>
  <c r="H22" i="1"/>
  <c r="H10" i="1"/>
  <c r="S17" i="3"/>
  <c r="T39" i="3"/>
  <c r="F50" i="1"/>
  <c r="F42" i="1"/>
  <c r="F34" i="1"/>
  <c r="F22" i="1"/>
  <c r="F13" i="1"/>
  <c r="F2" i="1"/>
  <c r="G41" i="1"/>
  <c r="G25" i="1"/>
  <c r="G9" i="1"/>
  <c r="H27" i="1"/>
  <c r="H21" i="1"/>
  <c r="H9" i="1"/>
  <c r="S34" i="1"/>
  <c r="X37" i="1"/>
  <c r="H32" i="1"/>
  <c r="F32" i="1"/>
  <c r="H28" i="1"/>
  <c r="F28" i="1"/>
  <c r="H24" i="1"/>
  <c r="F24" i="1"/>
  <c r="H20" i="1"/>
  <c r="F20" i="1"/>
  <c r="H16" i="1"/>
  <c r="F16" i="1"/>
  <c r="H12" i="1"/>
  <c r="F12" i="1"/>
  <c r="H8" i="1"/>
  <c r="F8" i="1"/>
  <c r="H4" i="1"/>
  <c r="F4" i="1"/>
  <c r="G36" i="1"/>
  <c r="G20" i="1"/>
  <c r="G4" i="1"/>
  <c r="S8" i="1"/>
  <c r="S29" i="1"/>
  <c r="R50" i="1"/>
  <c r="Q6" i="3"/>
  <c r="F27" i="1"/>
  <c r="F11" i="1"/>
  <c r="G51" i="1"/>
  <c r="G40" i="1"/>
  <c r="G35" i="1"/>
  <c r="G24" i="1"/>
  <c r="G19" i="1"/>
  <c r="G8" i="1"/>
  <c r="H47" i="1"/>
  <c r="H31" i="1"/>
  <c r="H15" i="1"/>
  <c r="S25" i="3"/>
  <c r="T36" i="3"/>
  <c r="F48" i="1"/>
  <c r="F44" i="1"/>
  <c r="F40" i="1"/>
  <c r="F36" i="1"/>
  <c r="F26" i="1"/>
  <c r="F10" i="1"/>
  <c r="G44" i="1"/>
  <c r="G39" i="1"/>
  <c r="G28" i="1"/>
  <c r="G23" i="1"/>
  <c r="G12" i="1"/>
  <c r="H51" i="1"/>
  <c r="H46" i="1"/>
  <c r="H35" i="1"/>
  <c r="H30" i="1"/>
  <c r="H19" i="1"/>
  <c r="H14" i="1"/>
  <c r="X15" i="1"/>
  <c r="R30" i="1"/>
  <c r="X34" i="1"/>
  <c r="R35" i="1"/>
  <c r="S41" i="1"/>
  <c r="S15" i="3"/>
  <c r="S18" i="3"/>
  <c r="S24" i="3"/>
  <c r="S29" i="3"/>
  <c r="T35" i="3"/>
  <c r="F43" i="1"/>
  <c r="F39" i="1"/>
  <c r="F30" i="1"/>
  <c r="F14" i="1"/>
  <c r="G48" i="1"/>
  <c r="G32" i="1"/>
  <c r="G16" i="1"/>
  <c r="H50" i="1"/>
  <c r="H34" i="1"/>
  <c r="H18" i="1"/>
  <c r="H2" i="1"/>
  <c r="CJ49" i="1"/>
  <c r="CJ45" i="1"/>
  <c r="CJ41" i="1"/>
  <c r="CJ37" i="1"/>
  <c r="CJ33" i="1"/>
  <c r="CJ29" i="1"/>
  <c r="CJ25" i="1"/>
  <c r="CJ21" i="1"/>
  <c r="CJ17" i="1"/>
  <c r="CJ13" i="1"/>
  <c r="CJ9" i="1"/>
  <c r="CJ48" i="1"/>
  <c r="CJ44" i="1"/>
  <c r="CJ40" i="1"/>
  <c r="CJ36" i="1"/>
  <c r="CJ32" i="1"/>
  <c r="CJ28" i="1"/>
  <c r="CJ24" i="1"/>
  <c r="CJ20" i="1"/>
  <c r="CJ16" i="1"/>
  <c r="CJ12" i="1"/>
  <c r="CJ8" i="1"/>
  <c r="CJ4" i="1"/>
  <c r="CJ51" i="1"/>
  <c r="CJ47" i="1"/>
  <c r="CJ43" i="1"/>
  <c r="CJ39" i="1"/>
  <c r="CJ35" i="1"/>
  <c r="CJ31" i="1"/>
  <c r="CJ27" i="1"/>
  <c r="CJ23" i="1"/>
  <c r="CJ19" i="1"/>
  <c r="CJ15" i="1"/>
  <c r="CJ11" i="1"/>
  <c r="CJ50" i="1"/>
  <c r="CJ46" i="1"/>
  <c r="CJ42" i="1"/>
  <c r="CJ38" i="1"/>
  <c r="CJ34" i="1"/>
  <c r="CJ30" i="1"/>
  <c r="CJ26" i="1"/>
  <c r="CJ22" i="1"/>
  <c r="CJ18" i="1"/>
  <c r="CJ14" i="1"/>
  <c r="CJ10" i="1"/>
  <c r="CJ6" i="1"/>
  <c r="CJ2" i="1"/>
  <c r="W14" i="1"/>
  <c r="R16" i="1"/>
  <c r="W22" i="1"/>
  <c r="X33" i="1"/>
  <c r="W39" i="1"/>
  <c r="R43" i="1"/>
  <c r="R14" i="1"/>
  <c r="R22" i="1"/>
  <c r="X29" i="1"/>
  <c r="W30" i="1"/>
  <c r="S33" i="1"/>
  <c r="X45" i="1"/>
  <c r="W50" i="1"/>
  <c r="X17" i="1"/>
  <c r="S25" i="1"/>
  <c r="R26" i="1"/>
  <c r="W26" i="1"/>
  <c r="W47" i="1"/>
  <c r="S49" i="1"/>
  <c r="X2" i="1"/>
  <c r="S4" i="1"/>
  <c r="R9" i="1"/>
  <c r="W9" i="1"/>
  <c r="S10" i="1"/>
  <c r="X10" i="1"/>
  <c r="X13" i="1"/>
  <c r="R18" i="1"/>
  <c r="W18" i="1"/>
  <c r="S23" i="1"/>
  <c r="S38" i="1"/>
  <c r="X38" i="1"/>
  <c r="X41" i="1"/>
  <c r="W43" i="1"/>
  <c r="S46" i="1"/>
  <c r="X46" i="1"/>
  <c r="X49" i="1"/>
  <c r="X8" i="1"/>
  <c r="X4" i="1"/>
  <c r="R12" i="1"/>
  <c r="S15" i="1"/>
  <c r="S21" i="1"/>
  <c r="X23" i="1"/>
  <c r="R24" i="1"/>
  <c r="S37" i="1"/>
  <c r="R39" i="1"/>
  <c r="S45" i="1"/>
  <c r="R47" i="1"/>
  <c r="C98" i="1" a="1"/>
  <c r="C47" i="1" a="1"/>
  <c r="C116" i="1" a="1"/>
  <c r="C25" i="1" a="1"/>
  <c r="D66" i="1" a="1"/>
  <c r="D139" i="1" a="1"/>
  <c r="C23" i="1" a="1"/>
  <c r="C80" i="1" a="1"/>
  <c r="C26" i="1" a="1"/>
  <c r="D73" i="1" a="1"/>
  <c r="D127" i="1" a="1"/>
  <c r="C34" i="1" a="1"/>
  <c r="C28" i="1" a="1"/>
  <c r="C78" i="1" a="1"/>
  <c r="D140" i="1" a="1"/>
  <c r="C17" i="1" a="1"/>
  <c r="C94" i="1" a="1"/>
  <c r="C32" i="1" a="1"/>
  <c r="D103" i="1" a="1"/>
  <c r="C57" i="1" a="1"/>
  <c r="D147" i="1" a="1"/>
  <c r="C37" i="1" a="1"/>
  <c r="C136" i="1" a="1"/>
  <c r="C50" i="1" a="1"/>
  <c r="C139" i="1" a="1"/>
  <c r="C114" i="1" a="1"/>
  <c r="C127" i="1" a="1"/>
  <c r="C21" i="1" a="1"/>
  <c r="C15" i="1" a="1"/>
  <c r="D16" i="1" a="1"/>
  <c r="D125" i="1" a="1"/>
  <c r="C118" i="1" a="1"/>
  <c r="C33" i="1" a="1"/>
  <c r="D135" i="1" a="1"/>
  <c r="D38" i="1" a="1"/>
  <c r="C90" i="1" a="1"/>
  <c r="D93" i="1" a="1"/>
  <c r="C121" i="1" a="1"/>
  <c r="D98" i="1" a="1"/>
  <c r="D124" i="1" a="1"/>
  <c r="D119" i="1" a="1"/>
  <c r="C145" i="1" a="1"/>
  <c r="D81" i="1" a="1"/>
  <c r="D8" i="1" a="1"/>
  <c r="D120" i="1" a="1"/>
  <c r="D55" i="1" a="1"/>
  <c r="D141" i="1" a="1"/>
  <c r="C38" i="1" a="1"/>
  <c r="D77" i="1" a="1"/>
  <c r="D61" i="1" a="1"/>
  <c r="D111" i="1" a="1"/>
  <c r="D90" i="1" a="1"/>
  <c r="D99" i="1" a="1"/>
  <c r="C56" i="1" a="1"/>
  <c r="C119" i="1" a="1"/>
  <c r="C52" i="1" a="1"/>
  <c r="D17" i="1" a="1"/>
  <c r="D63" i="1" a="1"/>
  <c r="D92" i="1" a="1"/>
  <c r="C59" i="1" a="1"/>
  <c r="D36" i="1" a="1"/>
  <c r="D82" i="1" a="1"/>
  <c r="D134" i="1" a="1"/>
  <c r="C146" i="1" a="1"/>
  <c r="C142" i="1" a="1"/>
  <c r="D86" i="1" a="1"/>
  <c r="D87" i="1" a="1"/>
  <c r="D49" i="1" a="1"/>
  <c r="C106" i="1" a="1"/>
  <c r="D19" i="1" a="1"/>
  <c r="C66" i="1" a="1"/>
  <c r="C141" i="1" a="1"/>
  <c r="C19" i="1" a="1"/>
  <c r="C44" i="1" a="1"/>
  <c r="C77" i="1" a="1"/>
  <c r="C8" i="1" a="1"/>
  <c r="C70" i="1" a="1"/>
  <c r="D146" i="1" a="1"/>
  <c r="D123" i="1" a="1"/>
  <c r="D65" i="1" a="1"/>
  <c r="D136" i="1" a="1"/>
  <c r="C48" i="1" a="1"/>
  <c r="C58" i="1" a="1"/>
  <c r="C76" i="1" a="1"/>
  <c r="D20" i="1" a="1"/>
  <c r="D72" i="1" a="1"/>
  <c r="D104" i="1" a="1"/>
  <c r="C109" i="1" a="1"/>
  <c r="D48" i="1" a="1"/>
  <c r="C11" i="1" a="1"/>
  <c r="D31" i="1" a="1"/>
  <c r="D33" i="1" a="1"/>
  <c r="C144" i="1" a="1"/>
  <c r="D22" i="1" a="1"/>
  <c r="D52" i="1" a="1"/>
  <c r="C137" i="1" a="1"/>
  <c r="D10" i="1" a="1"/>
  <c r="C39" i="1" a="1"/>
  <c r="D132" i="1" a="1"/>
  <c r="C18" i="1" a="1"/>
  <c r="C45" i="1" a="1"/>
  <c r="C20" i="1" a="1"/>
  <c r="D57" i="1" a="1"/>
  <c r="D50" i="1" a="1"/>
  <c r="C113" i="1" a="1"/>
  <c r="D102" i="1" a="1"/>
  <c r="D69" i="1" a="1"/>
  <c r="C73" i="1" a="1"/>
  <c r="D68" i="1" a="1"/>
  <c r="D95" i="1" a="1"/>
  <c r="D142" i="1" a="1"/>
  <c r="C148" i="1" a="1"/>
  <c r="D40" i="1" a="1"/>
  <c r="C16" i="1" a="1"/>
  <c r="D46" i="1" a="1"/>
  <c r="C92" i="1" a="1"/>
  <c r="D39" i="1" a="1"/>
  <c r="D11" i="1" a="1"/>
  <c r="D75" i="1" a="1"/>
  <c r="D6" i="1" a="1"/>
  <c r="C31" i="1" a="1"/>
  <c r="D74" i="1" a="1"/>
  <c r="D113" i="1" a="1"/>
  <c r="D143" i="1" a="1"/>
  <c r="C111" i="1" a="1"/>
  <c r="D42" i="1" a="1"/>
  <c r="D105" i="1" a="1"/>
  <c r="C42" i="1" a="1"/>
  <c r="D148" i="1" a="1"/>
  <c r="D106" i="1" a="1"/>
  <c r="D51" i="1" a="1"/>
  <c r="D149" i="1" a="1"/>
  <c r="C71" i="1" a="1"/>
  <c r="C88" i="1" a="1"/>
  <c r="D60" i="1" a="1"/>
  <c r="D35" i="1" a="1"/>
  <c r="D41" i="1" a="1"/>
  <c r="D128" i="1" a="1"/>
  <c r="C149" i="1" a="1"/>
  <c r="C135" i="1" a="1"/>
  <c r="D12" i="1" a="1"/>
  <c r="C104" i="1" a="1"/>
  <c r="C128" i="1" a="1"/>
  <c r="C117" i="1" a="1"/>
  <c r="C83" i="1" a="1"/>
  <c r="D54" i="1" a="1"/>
  <c r="D2" i="1" a="1"/>
  <c r="C10" i="1" a="1"/>
  <c r="D27" i="1" a="1"/>
  <c r="D83" i="1" a="1"/>
  <c r="D23" i="1" a="1"/>
  <c r="D96" i="1" a="1"/>
  <c r="D85" i="1" a="1"/>
  <c r="C49" i="1" a="1"/>
  <c r="C130" i="1" a="1"/>
  <c r="C85" i="1" a="1"/>
  <c r="C123" i="1" a="1"/>
  <c r="D26" i="1" a="1"/>
  <c r="D67" i="1" a="1"/>
  <c r="D84" i="1" a="1"/>
  <c r="D138" i="1" a="1"/>
  <c r="D133" i="1" a="1"/>
  <c r="D59" i="1" a="1"/>
  <c r="C120" i="1" a="1"/>
  <c r="C24" i="1" a="1"/>
  <c r="C101" i="1" a="1"/>
  <c r="C27" i="1" a="1"/>
  <c r="C95" i="1" a="1"/>
  <c r="C129" i="1" a="1"/>
  <c r="D43" i="1" a="1"/>
  <c r="C74" i="1" a="1"/>
  <c r="D115" i="1" a="1"/>
  <c r="D4" i="1" a="1"/>
  <c r="C65" i="1" a="1"/>
  <c r="C36" i="1" a="1"/>
  <c r="C138" i="1" a="1"/>
  <c r="D94" i="1" a="1"/>
  <c r="D150" i="1" a="1"/>
  <c r="C64" i="1" a="1"/>
  <c r="D100" i="1" a="1"/>
  <c r="C63" i="1" a="1"/>
  <c r="D121" i="1" a="1"/>
  <c r="C103" i="1" a="1"/>
  <c r="C2" i="1" a="1"/>
  <c r="D71" i="1" a="1"/>
  <c r="C51" i="1" a="1"/>
  <c r="D151" i="1" a="1"/>
  <c r="D44" i="1" a="1"/>
  <c r="D80" i="1" a="1"/>
  <c r="C102" i="1" a="1"/>
  <c r="C87" i="1" a="1"/>
  <c r="C108" i="1" a="1"/>
  <c r="C86" i="1" a="1"/>
  <c r="C100" i="1" a="1"/>
  <c r="C81" i="1" a="1"/>
  <c r="C126" i="1" a="1"/>
  <c r="D29" i="1" a="1"/>
  <c r="C6" i="1" a="1"/>
  <c r="D64" i="1" a="1"/>
  <c r="C84" i="1" a="1"/>
  <c r="C125" i="1" a="1"/>
  <c r="C13" i="1" a="1"/>
  <c r="C89" i="1" a="1"/>
  <c r="D47" i="1" a="1"/>
  <c r="C79" i="1" a="1"/>
  <c r="C133" i="1" a="1"/>
  <c r="D110" i="1" a="1"/>
  <c r="C97" i="1" a="1"/>
  <c r="C68" i="1" a="1"/>
  <c r="C147" i="1" a="1"/>
  <c r="D122" i="1" a="1"/>
  <c r="C131" i="1" a="1"/>
  <c r="C122" i="1" a="1"/>
  <c r="C132" i="1" a="1"/>
  <c r="D32" i="1" a="1"/>
  <c r="D107" i="1" a="1"/>
  <c r="C110" i="1" a="1"/>
  <c r="C124" i="1" a="1"/>
  <c r="D30" i="1" a="1"/>
  <c r="C9" i="1" a="1"/>
  <c r="C46" i="1" a="1"/>
  <c r="D116" i="1" a="1"/>
  <c r="C115" i="1" a="1"/>
  <c r="D108" i="1" a="1"/>
  <c r="D9" i="1" a="1"/>
  <c r="C105" i="1" a="1"/>
  <c r="D145" i="1" a="1"/>
  <c r="C60" i="1" a="1"/>
  <c r="D25" i="1" a="1"/>
  <c r="C112" i="1" a="1"/>
  <c r="C99" i="1" a="1"/>
  <c r="D78" i="1" a="1"/>
  <c r="D62" i="1" a="1"/>
  <c r="C54" i="1" a="1"/>
  <c r="D28" i="1" a="1"/>
  <c r="D21" i="1" a="1"/>
  <c r="D97" i="1" a="1"/>
  <c r="D137" i="1" a="1"/>
  <c r="C143" i="1" a="1"/>
  <c r="C43" i="1" a="1"/>
  <c r="C93" i="1" a="1"/>
  <c r="D14" i="1" a="1"/>
  <c r="C40" i="1" a="1"/>
  <c r="D130" i="1" a="1"/>
  <c r="C29" i="1" a="1"/>
  <c r="D89" i="1" a="1"/>
  <c r="C96" i="1" a="1"/>
  <c r="C12" i="1" a="1"/>
  <c r="D53" i="1" a="1"/>
  <c r="C134" i="1" a="1"/>
  <c r="D34" i="1" a="1"/>
  <c r="D79" i="1" a="1"/>
  <c r="D88" i="1" a="1"/>
  <c r="C35" i="1" a="1"/>
  <c r="C69" i="1" a="1"/>
  <c r="C67" i="1" a="1"/>
  <c r="D112" i="1" a="1"/>
  <c r="D70" i="1" a="1"/>
  <c r="C140" i="1" a="1"/>
  <c r="C61" i="1" a="1"/>
  <c r="D24" i="1" a="1"/>
  <c r="D45" i="1" a="1"/>
  <c r="C62" i="1" a="1"/>
  <c r="D118" i="1" a="1"/>
  <c r="D76" i="1" a="1"/>
  <c r="C75" i="1" a="1"/>
  <c r="C4" i="1" a="1"/>
  <c r="C72" i="1" a="1"/>
  <c r="C91" i="1" a="1"/>
  <c r="D114" i="1" a="1"/>
  <c r="D109" i="1" a="1"/>
  <c r="D101" i="1" a="1"/>
  <c r="C53" i="1" a="1"/>
  <c r="D129" i="1" a="1"/>
  <c r="C22" i="1" a="1"/>
  <c r="D37" i="1" a="1"/>
  <c r="D56" i="1" a="1"/>
  <c r="C55" i="1" a="1"/>
  <c r="C41" i="1" a="1"/>
  <c r="C82" i="1" a="1"/>
  <c r="C14" i="1" a="1"/>
  <c r="D13" i="1" a="1"/>
  <c r="D18" i="1" a="1"/>
  <c r="D117" i="1" a="1"/>
  <c r="D144" i="1" a="1"/>
  <c r="D126" i="1" a="1"/>
  <c r="D15" i="1" a="1"/>
  <c r="D131" i="1" a="1"/>
  <c r="D91" i="1" a="1"/>
  <c r="C150" i="1" a="1"/>
  <c r="C151" i="1" a="1"/>
  <c r="D58" i="1" a="1"/>
  <c r="C107" i="1" a="1"/>
  <c r="C30" i="1" a="1"/>
  <c r="A9" i="7"/>
  <c r="A45" i="7"/>
  <c r="A8" i="7"/>
  <c r="A17" i="7"/>
  <c r="A21" i="7"/>
  <c r="A37" i="7"/>
  <c r="A12" i="7"/>
  <c r="A16" i="7"/>
  <c r="A20" i="7"/>
  <c r="A24" i="7"/>
  <c r="A28" i="7"/>
  <c r="A32" i="7"/>
  <c r="A36" i="7"/>
  <c r="A40" i="7"/>
  <c r="A44" i="7"/>
  <c r="A25" i="7"/>
  <c r="A29" i="7"/>
  <c r="A33" i="7"/>
  <c r="A41" i="7"/>
  <c r="A11" i="7"/>
  <c r="A15" i="7"/>
  <c r="A19" i="7"/>
  <c r="A23" i="7"/>
  <c r="A27" i="7"/>
  <c r="A31" i="7"/>
  <c r="A35" i="7"/>
  <c r="A39" i="7"/>
  <c r="A43" i="7"/>
  <c r="A13" i="7"/>
  <c r="A10" i="7"/>
  <c r="A14" i="7"/>
  <c r="A18" i="7"/>
  <c r="A22" i="7"/>
  <c r="A26" i="7"/>
  <c r="A30" i="7"/>
  <c r="A34" i="7"/>
  <c r="A38" i="7"/>
  <c r="A42" i="7"/>
  <c r="CI10" i="1"/>
  <c r="CI26" i="1"/>
  <c r="CI31" i="1"/>
  <c r="CI34" i="1"/>
  <c r="CI20" i="1"/>
  <c r="CI25" i="1"/>
  <c r="CI46" i="1"/>
  <c r="CI27" i="1"/>
  <c r="CI33" i="1"/>
  <c r="CI14" i="1"/>
  <c r="CI43" i="1"/>
  <c r="CI47" i="1"/>
  <c r="CI12" i="1"/>
  <c r="CI50" i="1"/>
  <c r="CI11" i="1"/>
  <c r="CI13" i="1"/>
  <c r="CI18" i="1"/>
  <c r="CI32" i="1"/>
  <c r="CI35" i="1"/>
  <c r="CI49" i="1"/>
  <c r="CI30" i="1"/>
  <c r="CI38" i="1"/>
  <c r="CI45" i="1"/>
  <c r="CI51" i="1"/>
  <c r="CI39" i="1"/>
  <c r="CI19" i="1"/>
  <c r="CI22" i="1"/>
  <c r="CI37" i="1"/>
  <c r="CI16" i="1"/>
  <c r="CI23" i="1"/>
  <c r="CI29" i="1"/>
  <c r="CI42" i="1"/>
  <c r="CI2" i="1"/>
  <c r="CI6" i="1"/>
  <c r="CK9" i="1"/>
  <c r="CI21" i="1"/>
  <c r="CI24" i="1"/>
  <c r="CI41" i="1"/>
  <c r="CI4" i="1"/>
  <c r="CI8" i="1"/>
  <c r="CI15" i="1"/>
  <c r="S13" i="1"/>
  <c r="W16" i="1"/>
  <c r="W24" i="1"/>
  <c r="R27" i="1"/>
  <c r="W31" i="1"/>
  <c r="X32" i="1"/>
  <c r="W32" i="1"/>
  <c r="S28" i="1"/>
  <c r="R28" i="1"/>
  <c r="CI28" i="1"/>
  <c r="R31" i="1"/>
  <c r="W35" i="1"/>
  <c r="X36" i="1"/>
  <c r="W36" i="1"/>
  <c r="X40" i="1"/>
  <c r="W40" i="1"/>
  <c r="S44" i="1"/>
  <c r="R44" i="1"/>
  <c r="CI44" i="1"/>
  <c r="X48" i="1"/>
  <c r="W48" i="1"/>
  <c r="R6" i="1"/>
  <c r="W6" i="1"/>
  <c r="R11" i="1"/>
  <c r="W11" i="1"/>
  <c r="W12" i="1"/>
  <c r="S17" i="1"/>
  <c r="R19" i="1"/>
  <c r="W19" i="1"/>
  <c r="W20" i="1"/>
  <c r="S32" i="1"/>
  <c r="R32" i="1"/>
  <c r="CI17" i="1"/>
  <c r="R20" i="1"/>
  <c r="X21" i="1"/>
  <c r="W27" i="1"/>
  <c r="X28" i="1"/>
  <c r="W28" i="1"/>
  <c r="S36" i="1"/>
  <c r="R36" i="1"/>
  <c r="CI36" i="1"/>
  <c r="S40" i="1"/>
  <c r="R40" i="1"/>
  <c r="CI40" i="1"/>
  <c r="X44" i="1"/>
  <c r="W44" i="1"/>
  <c r="S48" i="1"/>
  <c r="R48" i="1"/>
  <c r="CI48" i="1"/>
  <c r="R51" i="1"/>
  <c r="W51" i="1"/>
  <c r="S27" i="3"/>
  <c r="S19" i="3"/>
  <c r="U41" i="4" l="1"/>
  <c r="J154" i="4"/>
  <c r="Q154" i="4"/>
  <c r="J152" i="4"/>
  <c r="Q152" i="4"/>
  <c r="U45" i="4"/>
  <c r="U32" i="4"/>
  <c r="U44" i="4"/>
  <c r="U38" i="4"/>
  <c r="U22" i="4"/>
  <c r="U26" i="4"/>
  <c r="U33" i="4"/>
  <c r="U25" i="4"/>
  <c r="U35" i="4"/>
  <c r="U23" i="4"/>
  <c r="U50" i="4"/>
  <c r="U48" i="4"/>
  <c r="U42" i="4"/>
  <c r="U40" i="4"/>
  <c r="U46" i="4"/>
  <c r="U151" i="4"/>
  <c r="U49" i="4"/>
  <c r="U29" i="4"/>
  <c r="U27" i="4"/>
  <c r="U28" i="4"/>
  <c r="U24" i="4"/>
  <c r="U36" i="4"/>
  <c r="U37" i="4"/>
  <c r="U31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  <c r="U152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<sst xmlns="http://schemas.openxmlformats.org/spreadsheetml/2006/main" count="978" uniqueCount="254">
  <si>
    <t>住　　　　所</t>
  </si>
  <si>
    <t>氏　　名</t>
  </si>
  <si>
    <t>職　業</t>
  </si>
  <si>
    <t>生年月日</t>
  </si>
  <si>
    <t xml:space="preserve">最近に受けた狩猟免状		</t>
  </si>
  <si>
    <t>銃器を使用する場合</t>
  </si>
  <si>
    <t>備　　考</t>
  </si>
  <si>
    <t>種　類</t>
  </si>
  <si>
    <t>番　号</t>
  </si>
  <si>
    <t>登録証
交付年月日</t>
  </si>
  <si>
    <t>銃器の種類、
猟銃･空気銃
所持許可証の番号</t>
  </si>
  <si>
    <t>許可
年月日</t>
  </si>
  <si>
    <t>わな猟</t>
  </si>
  <si>
    <t>No.</t>
  </si>
  <si>
    <t>ふ り が な</t>
  </si>
  <si>
    <t>カタカナ</t>
  </si>
  <si>
    <t>年齢</t>
  </si>
  <si>
    <t>携 帯 電 話</t>
  </si>
  <si>
    <t>携3</t>
  </si>
  <si>
    <t>固 定 電 話</t>
  </si>
  <si>
    <t>固1</t>
  </si>
  <si>
    <t>固2</t>
  </si>
  <si>
    <t>固3</t>
  </si>
  <si>
    <t>郵便番号</t>
  </si>
  <si>
    <t>郵便</t>
  </si>
  <si>
    <t>番号</t>
  </si>
  <si>
    <t>銃所持許可証番号</t>
  </si>
  <si>
    <t>銃交付　年号</t>
  </si>
  <si>
    <t>銃交付　年</t>
  </si>
  <si>
    <t>銃交付　月</t>
  </si>
  <si>
    <t>銃交付　日</t>
  </si>
  <si>
    <t>交付年月日</t>
  </si>
  <si>
    <t>銃免状</t>
  </si>
  <si>
    <t>一種登録</t>
  </si>
  <si>
    <t>銃 狩猟免状番号</t>
  </si>
  <si>
    <t>銃 狩</t>
  </si>
  <si>
    <t>銃号</t>
  </si>
  <si>
    <t>銃年</t>
  </si>
  <si>
    <t>銃月</t>
  </si>
  <si>
    <t>銃日</t>
  </si>
  <si>
    <t>わな免状</t>
  </si>
  <si>
    <t>わな登録</t>
  </si>
  <si>
    <t>わな 狩猟免状番号</t>
  </si>
  <si>
    <t>わな 狩</t>
  </si>
  <si>
    <t>罠号</t>
  </si>
  <si>
    <t>罠年</t>
  </si>
  <si>
    <t>罠月</t>
  </si>
  <si>
    <t>罠日</t>
  </si>
  <si>
    <t>わな年月日</t>
  </si>
  <si>
    <t>狩猟免許</t>
  </si>
  <si>
    <t>次回更新</t>
  </si>
  <si>
    <t>男</t>
  </si>
  <si>
    <t>女</t>
  </si>
  <si>
    <t>捕獲員である</t>
  </si>
  <si>
    <t>捕獲員でない</t>
  </si>
  <si>
    <t>西暦</t>
  </si>
  <si>
    <t>和暦</t>
  </si>
  <si>
    <t>当号</t>
  </si>
  <si>
    <t>当年</t>
  </si>
  <si>
    <t>当月</t>
  </si>
  <si>
    <t>当日</t>
  </si>
  <si>
    <t>TODAY</t>
  </si>
  <si>
    <t>✔</t>
  </si>
  <si>
    <t xml:space="preserve"> 号</t>
  </si>
  <si>
    <t>2️⃣</t>
  </si>
  <si>
    <t>銃</t>
  </si>
  <si>
    <t>わな</t>
  </si>
  <si>
    <t>免</t>
  </si>
  <si>
    <t>許</t>
  </si>
  <si>
    <t>No</t>
  </si>
  <si>
    <t>登</t>
  </si>
  <si>
    <t>次</t>
  </si>
  <si>
    <t>回</t>
  </si>
  <si>
    <t>録</t>
  </si>
  <si>
    <t>更</t>
  </si>
  <si>
    <t>新</t>
  </si>
  <si>
    <t>日猟・県猟　猟友会費</t>
  </si>
  <si>
    <t>大日本猟友会費</t>
  </si>
  <si>
    <t>合　計</t>
  </si>
  <si>
    <t>網　　　猟</t>
  </si>
  <si>
    <t>わ　な　猟</t>
  </si>
  <si>
    <t>第一種銃猟</t>
  </si>
  <si>
    <t>第二種銃猟</t>
  </si>
  <si>
    <t>狩猟税・登録手数料　</t>
  </si>
  <si>
    <t>有害鳥獣捕獲従事者用</t>
  </si>
  <si>
    <t>料金</t>
  </si>
  <si>
    <t>狩猟税</t>
  </si>
  <si>
    <t>登録手数料</t>
  </si>
  <si>
    <t>種別</t>
  </si>
  <si>
    <t>同上証明のある場合</t>
  </si>
  <si>
    <t>一般・新規登録者用</t>
  </si>
  <si>
    <t>（２）他府県の登録を受ける場合</t>
  </si>
  <si>
    <t>他府県登録者用</t>
  </si>
  <si>
    <t>送料</t>
  </si>
  <si>
    <t>県猟証明</t>
  </si>
  <si>
    <t>(往のみ)</t>
  </si>
  <si>
    <t>手数料</t>
  </si>
  <si>
    <t>ハンター団体保険</t>
  </si>
  <si>
    <t>Ａタイプ</t>
  </si>
  <si>
    <t>第三者に対する賠償責任：5億円（免税金額0円）</t>
  </si>
  <si>
    <t>ご自身の障害：500万円　入通院保険金日額：5千円</t>
  </si>
  <si>
    <t>Ｂタイプ</t>
  </si>
  <si>
    <t>ご自身の障害：300万円　入通院保険金日額：3千円</t>
  </si>
  <si>
    <t>Ｃタイプ</t>
  </si>
  <si>
    <t>ご自身の障害：100万円　入通院保険金日額：1千円</t>
  </si>
  <si>
    <t>わな保険</t>
  </si>
  <si>
    <t>対人1名/1事故 1億円（免責金額：1事故 1千万円）</t>
  </si>
  <si>
    <t>登録費用等合計</t>
  </si>
  <si>
    <t>日猟･県猟　猟友会費</t>
  </si>
  <si>
    <t>銃猟　狩猟税･登録手数料</t>
  </si>
  <si>
    <t>わな猟　狩猟税･登録手数料</t>
  </si>
  <si>
    <t>円</t>
  </si>
  <si>
    <t>氏　名　　　　　　　</t>
  </si>
  <si>
    <t>支部入会金</t>
  </si>
  <si>
    <t>ハンター保険</t>
  </si>
  <si>
    <t>Ａ・Ｂ・Ｃ</t>
  </si>
  <si>
    <t>※ 注 登録証の返送料について</t>
  </si>
  <si>
    <t>・申請県→本人への登録証、バッジ等の返送料が必要な県については(「平成26年度狩猟者登録一括申請手続便覧」</t>
  </si>
  <si>
    <t>　を参照)往復分1,900円となります。</t>
  </si>
  <si>
    <t>大日本名札代金（1枚当たり）　600円</t>
  </si>
  <si>
    <t>網わな猟具標識代</t>
  </si>
  <si>
    <t>狩猟用　　　　　　　110円　　(１枚当)</t>
  </si>
  <si>
    <t>有害鳥獣捕獲用　　　220円　　(　〃　)</t>
  </si>
  <si>
    <t>銃保険</t>
  </si>
  <si>
    <t>有害</t>
  </si>
  <si>
    <t>減免</t>
  </si>
  <si>
    <t>大日本
猟友会費</t>
  </si>
  <si>
    <t>銃
狩猟税</t>
  </si>
  <si>
    <t>銃登録
手数料</t>
  </si>
  <si>
    <t>わな
狩猟税</t>
  </si>
  <si>
    <t>わな登録
手数料</t>
  </si>
  <si>
    <t>支部
年会費</t>
  </si>
  <si>
    <t>支部
入会金</t>
  </si>
  <si>
    <t>ハンター
保険</t>
  </si>
  <si>
    <t>わな
保険</t>
  </si>
  <si>
    <t>合計</t>
  </si>
  <si>
    <t>C</t>
  </si>
  <si>
    <t>◯</t>
  </si>
  <si>
    <t>A</t>
  </si>
  <si>
    <t>銃猟
狩猟税</t>
  </si>
  <si>
    <t>わな猟
狩猟税</t>
  </si>
  <si>
    <t>一般・新規</t>
  </si>
  <si>
    <t>有害+減免</t>
  </si>
  <si>
    <t>銃一種
狩猟税</t>
  </si>
  <si>
    <t>銃二種
狩猟税</t>
  </si>
  <si>
    <t>網
狩猟税</t>
  </si>
  <si>
    <t>登録
手数料</t>
  </si>
  <si>
    <t>銃
保険</t>
  </si>
  <si>
    <t>B</t>
  </si>
  <si>
    <t>網猟</t>
  </si>
  <si>
    <t>有害鳥獣捕獲等従事者安全講習会参加者名簿</t>
  </si>
  <si>
    <t>電話番号</t>
  </si>
  <si>
    <t>住　　所</t>
  </si>
  <si>
    <t>資　格</t>
  </si>
  <si>
    <t>備考</t>
  </si>
  <si>
    <t>昭</t>
    <phoneticPr fontId="5"/>
  </si>
  <si>
    <t>平</t>
    <phoneticPr fontId="5"/>
  </si>
  <si>
    <t>令</t>
    <rPh sb="0" eb="1">
      <t>レイ</t>
    </rPh>
    <phoneticPr fontId="5"/>
  </si>
  <si>
    <t>生号1</t>
    <rPh sb="1" eb="2">
      <t>ゴウ</t>
    </rPh>
    <phoneticPr fontId="5"/>
  </si>
  <si>
    <t>生号2</t>
    <rPh sb="0" eb="1">
      <t>セイ</t>
    </rPh>
    <rPh sb="1" eb="2">
      <t>ゴウ</t>
    </rPh>
    <phoneticPr fontId="5"/>
  </si>
  <si>
    <t>生年</t>
    <rPh sb="1" eb="2">
      <t>ネン</t>
    </rPh>
    <phoneticPr fontId="5"/>
  </si>
  <si>
    <t>生月</t>
    <rPh sb="1" eb="2">
      <t>ツキ</t>
    </rPh>
    <phoneticPr fontId="5"/>
  </si>
  <si>
    <t>生日</t>
    <rPh sb="1" eb="2">
      <t>ヒ</t>
    </rPh>
    <phoneticPr fontId="5"/>
  </si>
  <si>
    <t>職業</t>
    <rPh sb="0" eb="2">
      <t>ショクギョウ</t>
    </rPh>
    <phoneticPr fontId="5"/>
  </si>
  <si>
    <t>氏　　名</t>
    <phoneticPr fontId="32" alignment="center"/>
  </si>
  <si>
    <t>氏　　名</t>
    <phoneticPr fontId="5"/>
  </si>
  <si>
    <t>罠猟免状番</t>
    <rPh sb="0" eb="1">
      <t>ワナ</t>
    </rPh>
    <phoneticPr fontId="5"/>
  </si>
  <si>
    <t>銃猟免状番</t>
    <rPh sb="0" eb="1">
      <t>ジュウ</t>
    </rPh>
    <phoneticPr fontId="5"/>
  </si>
  <si>
    <t>携1</t>
    <phoneticPr fontId="5"/>
  </si>
  <si>
    <t>携2</t>
    <phoneticPr fontId="5"/>
  </si>
  <si>
    <t>銃交付　年号2</t>
    <phoneticPr fontId="5"/>
  </si>
  <si>
    <t>銃交付　年号1</t>
    <phoneticPr fontId="5"/>
  </si>
  <si>
    <t>銃免状1</t>
    <phoneticPr fontId="5"/>
  </si>
  <si>
    <t>銃号2</t>
    <phoneticPr fontId="5"/>
  </si>
  <si>
    <t>銃号1</t>
    <phoneticPr fontId="5"/>
  </si>
  <si>
    <t>わな免状1</t>
    <phoneticPr fontId="5"/>
  </si>
  <si>
    <t>罠号2</t>
    <phoneticPr fontId="5"/>
  </si>
  <si>
    <t>罠号1</t>
    <phoneticPr fontId="5"/>
  </si>
  <si>
    <t>支部
入会金</t>
    <phoneticPr fontId="5"/>
  </si>
  <si>
    <t>携</t>
    <phoneticPr fontId="5"/>
  </si>
  <si>
    <t>固</t>
    <phoneticPr fontId="5"/>
  </si>
  <si>
    <t>郵-</t>
    <rPh sb="0" eb="1">
      <t>ユウ</t>
    </rPh>
    <phoneticPr fontId="5"/>
  </si>
  <si>
    <t xml:space="preserve"> 号</t>
    <phoneticPr fontId="5"/>
  </si>
  <si>
    <t>-</t>
    <phoneticPr fontId="5"/>
  </si>
  <si>
    <t>○○支部　会員名簿　令和　年　月</t>
    <phoneticPr fontId="32" alignment="center"/>
  </si>
  <si>
    <t>開 催 日 時 : 令和　年　月　日(　)　:　～</t>
    <phoneticPr fontId="5"/>
  </si>
  <si>
    <t xml:space="preserve">開 催 場 所 : </t>
    <phoneticPr fontId="5"/>
  </si>
  <si>
    <t>支部長　　　　　　　　㊞</t>
    <phoneticPr fontId="5"/>
  </si>
  <si>
    <t xml:space="preserve">支部の所在地 ： </t>
    <phoneticPr fontId="5"/>
  </si>
  <si>
    <t xml:space="preserve">支　 　部　　名 ： </t>
    <phoneticPr fontId="5"/>
  </si>
  <si>
    <t xml:space="preserve">支　部　長　名 ： 　　　　　　　㊞ </t>
    <phoneticPr fontId="5"/>
  </si>
  <si>
    <t>県猟友会費</t>
    <phoneticPr fontId="5"/>
  </si>
  <si>
    <t>（１）○○県の登録を受ける場合</t>
    <phoneticPr fontId="5"/>
  </si>
  <si>
    <t>○○支部費</t>
    <phoneticPr fontId="5"/>
  </si>
  <si>
    <t>○○県
猟友会費</t>
    <phoneticPr fontId="5"/>
  </si>
  <si>
    <t>網免状1</t>
    <phoneticPr fontId="5"/>
  </si>
  <si>
    <t>網免状</t>
    <phoneticPr fontId="5"/>
  </si>
  <si>
    <t>網登録</t>
    <phoneticPr fontId="5"/>
  </si>
  <si>
    <t>網 狩猟免状番号</t>
    <phoneticPr fontId="5"/>
  </si>
  <si>
    <t>網 狩</t>
    <phoneticPr fontId="5"/>
  </si>
  <si>
    <t>網猟免状番</t>
    <phoneticPr fontId="5"/>
  </si>
  <si>
    <t>網号2</t>
    <phoneticPr fontId="5"/>
  </si>
  <si>
    <t>網号1</t>
    <phoneticPr fontId="5"/>
  </si>
  <si>
    <t>網号</t>
    <phoneticPr fontId="5"/>
  </si>
  <si>
    <t>網年</t>
    <phoneticPr fontId="5"/>
  </si>
  <si>
    <t>網月</t>
    <phoneticPr fontId="5"/>
  </si>
  <si>
    <t>網日</t>
    <phoneticPr fontId="5"/>
  </si>
  <si>
    <t>網年月日</t>
    <phoneticPr fontId="5"/>
  </si>
  <si>
    <t>網</t>
    <phoneticPr fontId="5"/>
  </si>
  <si>
    <t>網
狩猟税</t>
    <phoneticPr fontId="5"/>
  </si>
  <si>
    <t>網登録
手数料</t>
    <phoneticPr fontId="5"/>
  </si>
  <si>
    <t>網</t>
    <phoneticPr fontId="32" alignment="center"/>
  </si>
  <si>
    <t>都道府県</t>
    <phoneticPr fontId="5"/>
  </si>
  <si>
    <t>　都道府県を選択してください</t>
    <rPh sb="6" eb="8">
      <t>センタク</t>
    </rPh>
    <phoneticPr fontId="5"/>
  </si>
  <si>
    <t>　Sheet1 の銃免状1・わな免状1・網免状1 の欄に自動で挿入されます</t>
    <rPh sb="26" eb="27">
      <t>ラン</t>
    </rPh>
    <rPh sb="28" eb="30">
      <t>ジドウ</t>
    </rPh>
    <phoneticPr fontId="5"/>
  </si>
  <si>
    <t>令和◯年度有害鳥獣駆除等委託業務内容を理解
し、活動に対し適格な者を本名簿により推薦する</t>
    <phoneticPr fontId="5"/>
  </si>
  <si>
    <t>住　　　　　所</t>
    <phoneticPr fontId="5"/>
  </si>
  <si>
    <t>銃年月日</t>
    <phoneticPr fontId="5"/>
  </si>
  <si>
    <t>○○県猟友会　○○支部　</t>
    <phoneticPr fontId="5"/>
  </si>
  <si>
    <t>鳥獣捕獲等従事者名簿</t>
    <phoneticPr fontId="5"/>
  </si>
  <si>
    <t>別紙３号</t>
    <phoneticPr fontId="5"/>
  </si>
  <si>
    <t>※大日本猟友会費は2種類以上登録の方はいずれか高い方の金額になります</t>
    <rPh sb="23" eb="24">
      <t>タカ</t>
    </rPh>
    <rPh sb="25" eb="26">
      <t>ホウ</t>
    </rPh>
    <rPh sb="27" eb="29">
      <t>キンガク</t>
    </rPh>
    <phoneticPr fontId="5"/>
  </si>
  <si>
    <t>090-0000-0001</t>
  </si>
  <si>
    <t>000-000-0001</t>
  </si>
  <si>
    <t>000-0001</t>
  </si>
  <si>
    <t>見本市見本町1丁目2-3</t>
  </si>
  <si>
    <t xml:space="preserve">第 ○○ </t>
  </si>
  <si>
    <t>〇</t>
  </si>
  <si>
    <t>会社員</t>
  </si>
  <si>
    <t>見本　太郎</t>
    <rPh sb="0" eb="2">
      <t>ミホン</t>
    </rPh>
    <rPh sb="3" eb="5">
      <t>タロウ</t>
    </rPh>
    <phoneticPr fontId="5"/>
  </si>
  <si>
    <t>080-0000-0002</t>
  </si>
  <si>
    <t>000-0002</t>
  </si>
  <si>
    <t>例示市例示町2丁目3-4</t>
  </si>
  <si>
    <t>農業</t>
  </si>
  <si>
    <t>例示　花子</t>
    <rPh sb="0" eb="2">
      <t>レイジ</t>
    </rPh>
    <rPh sb="3" eb="5">
      <t>ハナコ</t>
    </rPh>
    <phoneticPr fontId="5"/>
  </si>
  <si>
    <t>070-0000-0003</t>
  </si>
  <si>
    <t>000-0003</t>
  </si>
  <si>
    <t>記入市記入町3丁目4-5</t>
  </si>
  <si>
    <t>自営業</t>
  </si>
  <si>
    <t>記入　次郎</t>
    <rPh sb="0" eb="2">
      <t>キニュウ</t>
    </rPh>
    <rPh sb="3" eb="5">
      <t>ジロウ</t>
    </rPh>
    <phoneticPr fontId="5"/>
  </si>
  <si>
    <t>090-0000-0004</t>
  </si>
  <si>
    <t>000-000-0004</t>
  </si>
  <si>
    <t>000-0004</t>
  </si>
  <si>
    <t>試験市試験町4丁目5-6</t>
  </si>
  <si>
    <t>公務員</t>
  </si>
  <si>
    <t>試験　三郎</t>
    <rPh sb="0" eb="2">
      <t>シケン</t>
    </rPh>
    <rPh sb="3" eb="5">
      <t>サブロウ</t>
    </rPh>
    <phoneticPr fontId="5"/>
  </si>
  <si>
    <t>080-0000-0005</t>
  </si>
  <si>
    <t>000-0005</t>
  </si>
  <si>
    <t>架空市架空町5丁目6-7</t>
  </si>
  <si>
    <t>パート</t>
  </si>
  <si>
    <t>架空　良子</t>
    <rPh sb="0" eb="2">
      <t>カクウ</t>
    </rPh>
    <rPh sb="3" eb="5">
      <t>ヨシコ</t>
    </rPh>
    <phoneticPr fontId="5"/>
  </si>
  <si>
    <t>号a</t>
    <phoneticPr fontId="5"/>
  </si>
  <si>
    <t>号b</t>
    <phoneticPr fontId="5"/>
  </si>
  <si>
    <t>号c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</si>
</sst>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e"/>
    <numFmt numFmtId="177" formatCode="#,##0&quot;円&quot;"/>
  </numFmts>
  <fonts count="37" x14ac:knownFonts="1">
    <font>
      <sz val="11"/>
      <color theme="1"/>
      <name val="ＭＳ Ｐゴシック"/>
      <charset val="128"/>
      <scheme val="minor"/>
    </font>
    <font>
      <sz val="12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rgb="FF222222"/>
      <name val="ＭＳ Ｐゴシック"/>
      <family val="3"/>
      <charset val="128"/>
    </font>
    <font>
      <b/>
      <sz val="12"/>
      <color rgb="FF22222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3"/>
    </font>
    <font>
      <b/>
      <sz val="16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b/>
      <sz val="20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b/>
      <sz val="18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sz val="15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u val="doubleAccounting"/>
      <sz val="18"/>
      <color theme="1"/>
      <name val="ＭＳ ゴシック"/>
      <family val="3"/>
      <charset val="128"/>
    </font>
    <font>
      <b/>
      <u/>
      <sz val="20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12"/>
      <name val="ＭＳ ゴシック"/>
      <family val="3"/>
      <charset val="128"/>
    </font>
    <font>
      <u/>
      <sz val="12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2"/>
      <color theme="1"/>
      <name val="ＭＳ Ｐ明朝"/>
      <family val="1"/>
      <charset val="128"/>
    </font>
    <font>
      <b/>
      <sz val="14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8"/>
      <name val="ＭＳ Ｐゴシック"/>
      <family val="3"/>
      <charset val="128"/>
      <scheme val="minor"/>
    </font>
    <font>
      <sz val="12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sz val="12"/>
      <color rgb="FFC0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Gray"/>
    </fill>
    <fill>
      <patternFill patternType="solid">
        <fgColor indexed="65"/>
        <bgColor indexed="64"/>
      </patternFill>
    </fill>
    <fill>
      <patternFill patternType="solid">
        <fgColor rgb="FFFFF2CC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 diagonalDown="1">
      <left/>
      <right/>
      <top/>
      <bottom style="medium">
        <color auto="1"/>
      </bottom>
      <diagonal style="thin">
        <color auto="1"/>
      </diagonal>
    </border>
    <border diagonalDown="1">
      <left/>
      <right style="thin">
        <color auto="1"/>
      </right>
      <top/>
      <bottom style="medium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28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57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right" vertical="center"/>
    </xf>
    <xf numFmtId="0" fontId="7" fillId="0" borderId="5" xfId="0" applyFont="1" applyBorder="1" applyAlignment="1">
      <alignment horizontal="centerContinuous" vertical="center"/>
    </xf>
    <xf numFmtId="0" fontId="8" fillId="0" borderId="0" xfId="0" applyFo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wrapText="1" shrinkToFit="1"/>
    </xf>
    <xf numFmtId="0" fontId="9" fillId="0" borderId="10" xfId="0" applyFont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wrapText="1" shrinkToFit="1"/>
    </xf>
    <xf numFmtId="0" fontId="9" fillId="0" borderId="15" xfId="0" applyFont="1" applyBorder="1" applyAlignment="1">
      <alignment horizontal="center" vertical="center" wrapText="1" shrinkToFit="1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 wrapText="1" shrinkToFit="1"/>
    </xf>
    <xf numFmtId="0" fontId="9" fillId="0" borderId="7" xfId="0" applyFont="1" applyBorder="1" applyAlignment="1">
      <alignment horizontal="center" vertical="center" wrapText="1" shrinkToFit="1"/>
    </xf>
    <xf numFmtId="0" fontId="8" fillId="0" borderId="12" xfId="0" applyFont="1" applyBorder="1" applyAlignment="1">
      <alignment vertical="center" shrinkToFit="1"/>
    </xf>
    <xf numFmtId="0" fontId="7" fillId="0" borderId="0" xfId="0" applyFont="1" applyAlignment="1">
      <alignment horizontal="centerContinuous" vertical="center"/>
    </xf>
    <xf numFmtId="0" fontId="10" fillId="0" borderId="13" xfId="0" applyFont="1" applyBorder="1" applyAlignment="1">
      <alignment horizontal="center" vertical="center" wrapText="1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shrinkToFit="1"/>
    </xf>
    <xf numFmtId="0" fontId="1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1" fillId="0" borderId="0" xfId="1" applyFont="1">
      <alignment vertical="center"/>
    </xf>
    <xf numFmtId="3" fontId="1" fillId="0" borderId="1" xfId="1" applyNumberFormat="1" applyFont="1" applyBorder="1">
      <alignment vertical="center"/>
    </xf>
    <xf numFmtId="0" fontId="1" fillId="0" borderId="0" xfId="1" applyFont="1" applyAlignment="1">
      <alignment horizontal="center" vertical="center"/>
    </xf>
    <xf numFmtId="3" fontId="1" fillId="0" borderId="0" xfId="1" applyNumberFormat="1" applyFont="1">
      <alignment vertical="center"/>
    </xf>
    <xf numFmtId="3" fontId="12" fillId="0" borderId="0" xfId="1" applyNumberFormat="1" applyFont="1" applyAlignment="1">
      <alignment horizontal="center" vertical="center" wrapText="1"/>
    </xf>
    <xf numFmtId="3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vertical="center" shrinkToFit="1"/>
    </xf>
    <xf numFmtId="0" fontId="1" fillId="0" borderId="0" xfId="1" applyFont="1" applyAlignment="1">
      <alignment horizontal="right" vertical="center"/>
    </xf>
    <xf numFmtId="0" fontId="15" fillId="0" borderId="0" xfId="1" applyFont="1" applyAlignment="1">
      <alignment vertical="center" shrinkToFit="1"/>
    </xf>
    <xf numFmtId="0" fontId="15" fillId="0" borderId="0" xfId="1" applyFont="1" applyAlignment="1">
      <alignment horizontal="center" vertical="center" shrinkToFit="1"/>
    </xf>
    <xf numFmtId="3" fontId="15" fillId="0" borderId="0" xfId="1" applyNumberFormat="1" applyFont="1" applyAlignment="1">
      <alignment horizontal="right" vertical="center" shrinkToFit="1"/>
    </xf>
    <xf numFmtId="0" fontId="15" fillId="0" borderId="0" xfId="1" applyFont="1" applyAlignment="1">
      <alignment horizontal="right" vertical="center" shrinkToFit="1"/>
    </xf>
    <xf numFmtId="3" fontId="17" fillId="0" borderId="0" xfId="1" applyNumberFormat="1" applyFont="1" applyAlignment="1">
      <alignment horizontal="right" vertical="center" shrinkToFit="1"/>
    </xf>
    <xf numFmtId="0" fontId="17" fillId="0" borderId="0" xfId="1" applyFont="1" applyAlignment="1">
      <alignment horizontal="right" vertical="center" shrinkToFit="1"/>
    </xf>
    <xf numFmtId="0" fontId="18" fillId="0" borderId="0" xfId="1" applyFont="1" applyAlignment="1">
      <alignment vertical="center" shrinkToFit="1"/>
    </xf>
    <xf numFmtId="0" fontId="21" fillId="0" borderId="23" xfId="1" applyFont="1" applyBorder="1" applyAlignment="1">
      <alignment vertical="center" shrinkToFit="1"/>
    </xf>
    <xf numFmtId="0" fontId="21" fillId="0" borderId="0" xfId="1" applyFont="1" applyAlignment="1">
      <alignment vertical="center" shrinkToFit="1"/>
    </xf>
    <xf numFmtId="0" fontId="22" fillId="0" borderId="0" xfId="1" applyFont="1" applyAlignment="1">
      <alignment vertical="center" shrinkToFit="1"/>
    </xf>
    <xf numFmtId="0" fontId="17" fillId="0" borderId="0" xfId="1" applyFont="1" applyAlignment="1">
      <alignment vertical="center" shrinkToFit="1"/>
    </xf>
    <xf numFmtId="0" fontId="17" fillId="0" borderId="0" xfId="1" applyFont="1">
      <alignment vertical="center"/>
    </xf>
    <xf numFmtId="0" fontId="23" fillId="0" borderId="0" xfId="1" applyFont="1">
      <alignment vertical="center"/>
    </xf>
    <xf numFmtId="0" fontId="23" fillId="0" borderId="0" xfId="1" applyFont="1" applyAlignment="1">
      <alignment horizontal="center" vertical="center"/>
    </xf>
    <xf numFmtId="0" fontId="24" fillId="0" borderId="0" xfId="1" applyFont="1">
      <alignment vertical="center"/>
    </xf>
    <xf numFmtId="0" fontId="24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 shrinkToFit="1"/>
    </xf>
    <xf numFmtId="0" fontId="23" fillId="0" borderId="1" xfId="1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 shrinkToFit="1"/>
    </xf>
    <xf numFmtId="0" fontId="25" fillId="0" borderId="1" xfId="1" applyFont="1" applyBorder="1" applyAlignment="1">
      <alignment horizontal="left" vertical="center"/>
    </xf>
    <xf numFmtId="0" fontId="23" fillId="0" borderId="14" xfId="1" applyFont="1" applyBorder="1">
      <alignment vertical="center"/>
    </xf>
    <xf numFmtId="0" fontId="25" fillId="0" borderId="1" xfId="1" applyFont="1" applyBorder="1" applyAlignment="1">
      <alignment horizontal="center" vertical="center"/>
    </xf>
    <xf numFmtId="49" fontId="25" fillId="0" borderId="1" xfId="1" applyNumberFormat="1" applyFont="1" applyBorder="1" applyAlignment="1">
      <alignment horizontal="center" vertical="center"/>
    </xf>
    <xf numFmtId="0" fontId="23" fillId="0" borderId="0" xfId="1" applyFont="1" applyAlignment="1">
      <alignment horizontal="left" vertical="center"/>
    </xf>
    <xf numFmtId="57" fontId="25" fillId="0" borderId="3" xfId="1" applyNumberFormat="1" applyFont="1" applyBorder="1" applyAlignment="1">
      <alignment horizontal="centerContinuous" vertical="center"/>
    </xf>
    <xf numFmtId="0" fontId="28" fillId="0" borderId="0" xfId="1" applyFont="1">
      <alignment vertical="center"/>
    </xf>
    <xf numFmtId="0" fontId="29" fillId="0" borderId="0" xfId="1" applyFont="1" applyAlignment="1">
      <alignment vertical="center" wrapText="1"/>
    </xf>
    <xf numFmtId="0" fontId="28" fillId="0" borderId="0" xfId="1" applyFont="1" applyAlignment="1">
      <alignment horizontal="distributed" vertical="center"/>
    </xf>
    <xf numFmtId="0" fontId="29" fillId="0" borderId="0" xfId="1" applyFont="1" applyAlignment="1">
      <alignment horizontal="center" vertical="center" wrapText="1"/>
    </xf>
    <xf numFmtId="0" fontId="30" fillId="0" borderId="0" xfId="1" applyFont="1">
      <alignment vertical="center"/>
    </xf>
    <xf numFmtId="0" fontId="28" fillId="0" borderId="0" xfId="1" applyFont="1" applyAlignment="1">
      <alignment horizontal="right" vertical="center"/>
    </xf>
    <xf numFmtId="57" fontId="30" fillId="0" borderId="50" xfId="1" applyNumberFormat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 shrinkToFit="1"/>
    </xf>
    <xf numFmtId="57" fontId="30" fillId="0" borderId="1" xfId="1" applyNumberFormat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 wrapText="1"/>
    </xf>
    <xf numFmtId="0" fontId="30" fillId="0" borderId="50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57" fontId="33" fillId="0" borderId="6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1" fillId="0" borderId="1" xfId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/>
      <protection locked="0"/>
    </xf>
    <xf numFmtId="3" fontId="1" fillId="0" borderId="1" xfId="1" applyNumberFormat="1" applyFont="1" applyBorder="1" applyProtection="1">
      <alignment vertical="center"/>
      <protection locked="0"/>
    </xf>
    <xf numFmtId="0" fontId="7" fillId="0" borderId="5" xfId="0" applyFont="1" applyBorder="1" applyAlignment="1" applyProtection="1">
      <alignment horizontal="centerContinuous" vertical="center"/>
      <protection locked="0"/>
    </xf>
    <xf numFmtId="0" fontId="23" fillId="0" borderId="1" xfId="1" applyFont="1" applyBorder="1" applyProtection="1">
      <alignment vertical="center"/>
      <protection locked="0"/>
    </xf>
    <xf numFmtId="0" fontId="23" fillId="0" borderId="1" xfId="1" applyFont="1" applyBorder="1" applyAlignment="1" applyProtection="1">
      <alignment horizontal="center" vertical="center"/>
      <protection locked="0"/>
    </xf>
    <xf numFmtId="0" fontId="23" fillId="0" borderId="11" xfId="1" applyFont="1" applyBorder="1" applyProtection="1">
      <alignment vertical="center"/>
      <protection locked="0"/>
    </xf>
    <xf numFmtId="0" fontId="30" fillId="0" borderId="0" xfId="1" applyFont="1" applyProtection="1">
      <alignment vertical="center"/>
      <protection locked="0"/>
    </xf>
    <xf numFmtId="0" fontId="30" fillId="0" borderId="1" xfId="1" applyFont="1" applyBorder="1" applyProtection="1">
      <alignment vertical="center"/>
      <protection locked="0"/>
    </xf>
    <xf numFmtId="0" fontId="13" fillId="0" borderId="50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0" xfId="1" applyFont="1">
      <alignment vertical="center"/>
    </xf>
    <xf numFmtId="0" fontId="13" fillId="0" borderId="0" xfId="1" applyFont="1" applyAlignment="1">
      <alignment horizontal="left" vertical="center"/>
    </xf>
    <xf numFmtId="0" fontId="34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5" fillId="0" borderId="0" xfId="1" applyFont="1" applyAlignment="1">
      <alignment horizontal="left" vertical="center"/>
    </xf>
    <xf numFmtId="0" fontId="13" fillId="0" borderId="1" xfId="1" applyFont="1" applyBorder="1" applyProtection="1">
      <alignment vertical="center"/>
      <protection locked="0"/>
    </xf>
    <xf numFmtId="0" fontId="13" fillId="0" borderId="4" xfId="1" applyFont="1" applyBorder="1" applyProtection="1">
      <alignment vertical="center"/>
      <protection locked="0"/>
    </xf>
    <xf numFmtId="0" fontId="13" fillId="0" borderId="0" xfId="1" applyFont="1" applyProtection="1">
      <alignment vertical="center"/>
      <protection locked="0"/>
    </xf>
    <xf numFmtId="0" fontId="13" fillId="5" borderId="1" xfId="1" applyFont="1" applyFill="1" applyBorder="1" applyAlignment="1" applyProtection="1">
      <alignment horizontal="center" vertical="center"/>
      <protection locked="0"/>
    </xf>
    <xf numFmtId="0" fontId="23" fillId="0" borderId="1" xfId="1" applyFont="1" applyBorder="1" applyAlignment="1">
      <alignment horizontal="centerContinuous" vertical="center"/>
    </xf>
    <xf numFmtId="0" fontId="0" fillId="0" borderId="3" xfId="0" applyBorder="1" applyAlignment="1">
      <alignment horizontal="centerContinuous"/>
    </xf>
    <xf numFmtId="0" fontId="20" fillId="0" borderId="0" xfId="1" applyFont="1" applyProtection="1">
      <alignment vertical="center"/>
      <protection locked="0"/>
    </xf>
    <xf numFmtId="0" fontId="23" fillId="0" borderId="0" xfId="1" applyFont="1" applyProtection="1">
      <alignment vertical="center"/>
      <protection locked="0"/>
    </xf>
    <xf numFmtId="0" fontId="20" fillId="0" borderId="0" xfId="1" applyFont="1" applyAlignment="1" applyProtection="1">
      <alignment horizontal="right" vertical="center"/>
      <protection locked="0"/>
    </xf>
    <xf numFmtId="0" fontId="26" fillId="0" borderId="0" xfId="1" applyFont="1" applyProtection="1">
      <alignment vertical="center"/>
      <protection locked="0"/>
    </xf>
    <xf numFmtId="0" fontId="27" fillId="0" borderId="0" xfId="1" applyFont="1" applyAlignment="1">
      <alignment horizontal="centerContinuous" vertical="center"/>
    </xf>
    <xf numFmtId="0" fontId="23" fillId="0" borderId="0" xfId="1" applyFont="1" applyAlignment="1">
      <alignment horizontal="centerContinuous" vertical="center"/>
    </xf>
    <xf numFmtId="0" fontId="8" fillId="0" borderId="12" xfId="0" applyFont="1" applyBorder="1" applyAlignment="1">
      <alignment horizontal="centerContinuous" vertical="center" wrapText="1" shrinkToFit="1"/>
    </xf>
    <xf numFmtId="0" fontId="8" fillId="0" borderId="10" xfId="0" applyFont="1" applyBorder="1" applyAlignment="1">
      <alignment horizontal="centerContinuous" vertical="center" wrapText="1" shrinkToFit="1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right" vertical="center"/>
    </xf>
    <xf numFmtId="176" fontId="1" fillId="0" borderId="4" xfId="0" applyNumberFormat="1" applyFont="1" applyBorder="1" applyAlignment="1">
      <alignment horizontal="right" vertical="center"/>
    </xf>
    <xf numFmtId="176" fontId="1" fillId="0" borderId="3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176" fontId="1" fillId="0" borderId="3" xfId="0" applyNumberFormat="1" applyFont="1" applyBorder="1" applyAlignment="1">
      <alignment horizontal="center" vertical="center"/>
    </xf>
    <xf numFmtId="57" fontId="1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57" fontId="1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4" fontId="1" fillId="0" borderId="0" xfId="0" applyNumberFormat="1" applyFont="1">
      <alignment vertical="center"/>
    </xf>
    <xf numFmtId="57" fontId="1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76" fontId="33" fillId="0" borderId="2" xfId="0" applyNumberFormat="1" applyFont="1" applyBorder="1" applyAlignment="1">
      <alignment horizontal="right" vertical="center"/>
    </xf>
    <xf numFmtId="176" fontId="33" fillId="0" borderId="4" xfId="0" applyNumberFormat="1" applyFont="1" applyBorder="1" applyAlignment="1">
      <alignment horizontal="right" vertical="center"/>
    </xf>
    <xf numFmtId="176" fontId="33" fillId="0" borderId="3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57" fontId="1" fillId="2" borderId="6" xfId="0" applyNumberFormat="1" applyFont="1" applyFill="1" applyBorder="1" applyAlignment="1">
      <alignment horizontal="center" vertical="center"/>
    </xf>
    <xf numFmtId="0" fontId="17" fillId="0" borderId="0" xfId="1" applyFont="1" applyAlignment="1" applyProtection="1">
      <alignment vertical="center" shrinkToFit="1"/>
      <protection locked="0"/>
    </xf>
    <xf numFmtId="0" fontId="15" fillId="0" borderId="0" xfId="1" applyFont="1" applyAlignment="1" applyProtection="1">
      <alignment vertical="center" shrinkToFit="1"/>
      <protection locked="0"/>
    </xf>
    <xf numFmtId="0" fontId="15" fillId="0" borderId="0" xfId="1" applyFont="1" applyAlignment="1" applyProtection="1">
      <alignment vertical="center" shrinkToFit="1"/>
      <protection locked="0"/>
    </xf>
    <xf numFmtId="3" fontId="15" fillId="4" borderId="18" xfId="1" applyNumberFormat="1" applyFont="1" applyFill="1" applyBorder="1" applyAlignment="1">
      <alignment horizontal="center" vertical="center" shrinkToFit="1"/>
    </xf>
    <xf numFmtId="0" fontId="0" fillId="0" borderId="19" xfId="0" applyBorder="1" applyAlignment="1"/>
    <xf numFmtId="0" fontId="17" fillId="0" borderId="53" xfId="1" applyFont="1" applyBorder="1" applyAlignment="1">
      <alignment horizontal="center" vertical="center" shrinkToFit="1"/>
    </xf>
    <xf numFmtId="0" fontId="0" fillId="0" borderId="24" xfId="0" applyBorder="1" applyAlignment="1"/>
    <xf numFmtId="0" fontId="0" fillId="0" borderId="26" xfId="0" applyBorder="1" applyAlignment="1"/>
    <xf numFmtId="0" fontId="17" fillId="0" borderId="29" xfId="1" applyFont="1" applyBorder="1" applyAlignment="1" applyProtection="1">
      <alignment vertical="center" shrinkToFit="1"/>
      <protection locked="0"/>
    </xf>
    <xf numFmtId="0" fontId="0" fillId="0" borderId="29" xfId="0" applyBorder="1" applyAlignment="1" applyProtection="1">
      <protection locked="0"/>
    </xf>
    <xf numFmtId="0" fontId="15" fillId="4" borderId="3" xfId="1" applyFont="1" applyFill="1" applyBorder="1" applyAlignment="1">
      <alignment horizontal="center" vertical="center" shrinkToFit="1"/>
    </xf>
    <xf numFmtId="0" fontId="0" fillId="0" borderId="4" xfId="0" applyBorder="1" applyAlignment="1"/>
    <xf numFmtId="0" fontId="0" fillId="0" borderId="3" xfId="0" applyBorder="1" applyAlignment="1"/>
    <xf numFmtId="0" fontId="15" fillId="4" borderId="45" xfId="1" applyFont="1" applyFill="1" applyBorder="1" applyAlignment="1">
      <alignment horizontal="center" vertical="center" shrinkToFit="1"/>
    </xf>
    <xf numFmtId="3" fontId="17" fillId="4" borderId="51" xfId="1" applyNumberFormat="1" applyFont="1" applyFill="1" applyBorder="1" applyAlignment="1">
      <alignment horizontal="right" vertical="center" shrinkToFit="1"/>
    </xf>
    <xf numFmtId="0" fontId="0" fillId="0" borderId="21" xfId="0" applyBorder="1" applyAlignment="1"/>
    <xf numFmtId="0" fontId="17" fillId="0" borderId="51" xfId="1" applyFont="1" applyBorder="1" applyAlignment="1">
      <alignment horizontal="center" vertical="center"/>
    </xf>
    <xf numFmtId="0" fontId="0" fillId="0" borderId="23" xfId="0" applyBorder="1" applyAlignment="1"/>
    <xf numFmtId="0" fontId="15" fillId="0" borderId="0" xfId="1" applyFont="1" applyAlignment="1">
      <alignment vertical="center" shrinkToFit="1"/>
    </xf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34" xfId="0" applyBorder="1" applyAlignment="1"/>
    <xf numFmtId="0" fontId="20" fillId="0" borderId="0" xfId="1" applyFont="1" applyAlignment="1" applyProtection="1">
      <alignment vertical="center" wrapText="1"/>
      <protection locked="0"/>
    </xf>
    <xf numFmtId="0" fontId="15" fillId="0" borderId="24" xfId="1" applyFont="1" applyBorder="1" applyAlignment="1">
      <alignment horizontal="center" vertical="center" shrinkToFit="1"/>
    </xf>
    <xf numFmtId="3" fontId="15" fillId="4" borderId="1" xfId="1" applyNumberFormat="1" applyFont="1" applyFill="1" applyBorder="1" applyAlignment="1">
      <alignment horizontal="center" vertical="center" shrinkToFit="1"/>
    </xf>
    <xf numFmtId="0" fontId="15" fillId="3" borderId="39" xfId="1" applyFont="1" applyFill="1" applyBorder="1" applyAlignment="1" applyProtection="1">
      <alignment horizontal="center" vertical="center" shrinkToFit="1"/>
      <protection locked="0"/>
    </xf>
    <xf numFmtId="0" fontId="0" fillId="0" borderId="9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16" fillId="0" borderId="25" xfId="1" applyFont="1" applyBorder="1" applyAlignment="1">
      <alignment horizontal="center" vertical="center" shrinkToFit="1"/>
    </xf>
    <xf numFmtId="0" fontId="16" fillId="0" borderId="34" xfId="1" applyFont="1" applyBorder="1" applyAlignment="1">
      <alignment horizontal="right" vertical="center" shrinkToFit="1"/>
    </xf>
    <xf numFmtId="0" fontId="15" fillId="4" borderId="61" xfId="1" applyFont="1" applyFill="1" applyBorder="1" applyAlignment="1">
      <alignment horizontal="center" vertical="center" shrinkToFit="1"/>
    </xf>
    <xf numFmtId="0" fontId="0" fillId="0" borderId="20" xfId="0" applyBorder="1" applyAlignment="1"/>
    <xf numFmtId="3" fontId="17" fillId="4" borderId="45" xfId="1" applyNumberFormat="1" applyFont="1" applyFill="1" applyBorder="1" applyAlignment="1">
      <alignment horizontal="right" vertical="center" shrinkToFit="1"/>
    </xf>
    <xf numFmtId="0" fontId="16" fillId="3" borderId="0" xfId="1" applyFont="1" applyFill="1" applyAlignment="1">
      <alignment vertical="center" shrinkToFit="1"/>
    </xf>
    <xf numFmtId="0" fontId="15" fillId="0" borderId="49" xfId="1" applyFont="1" applyBorder="1" applyAlignment="1">
      <alignment horizontal="center" vertical="center" shrinkToFit="1"/>
    </xf>
    <xf numFmtId="0" fontId="0" fillId="0" borderId="63" xfId="0" applyBorder="1" applyAlignment="1"/>
    <xf numFmtId="0" fontId="15" fillId="4" borderId="44" xfId="1" applyFont="1" applyFill="1" applyBorder="1" applyAlignment="1">
      <alignment horizontal="center" vertical="center" shrinkToFit="1"/>
    </xf>
    <xf numFmtId="0" fontId="0" fillId="0" borderId="5" xfId="0" applyBorder="1" applyAlignment="1"/>
    <xf numFmtId="0" fontId="0" fillId="0" borderId="7" xfId="0" applyBorder="1" applyAlignment="1"/>
    <xf numFmtId="0" fontId="15" fillId="0" borderId="37" xfId="1" applyFont="1" applyBorder="1" applyAlignment="1">
      <alignment horizontal="center" vertical="center" shrinkToFit="1"/>
    </xf>
    <xf numFmtId="0" fontId="0" fillId="0" borderId="37" xfId="0" applyBorder="1" applyAlignment="1"/>
    <xf numFmtId="0" fontId="17" fillId="0" borderId="25" xfId="1" applyFont="1" applyBorder="1" applyAlignment="1">
      <alignment horizontal="center" vertical="center" shrinkToFit="1"/>
    </xf>
    <xf numFmtId="3" fontId="15" fillId="4" borderId="8" xfId="1" applyNumberFormat="1" applyFont="1" applyFill="1" applyBorder="1" applyAlignment="1">
      <alignment horizontal="center" vertical="center" shrinkToFit="1"/>
    </xf>
    <xf numFmtId="0" fontId="15" fillId="0" borderId="30" xfId="1" applyFont="1" applyBorder="1" applyAlignment="1">
      <alignment horizontal="center" vertical="center" shrinkToFit="1"/>
    </xf>
    <xf numFmtId="0" fontId="15" fillId="0" borderId="16" xfId="1" applyFont="1" applyBorder="1" applyAlignment="1">
      <alignment horizontal="center" vertical="center" shrinkToFit="1"/>
    </xf>
    <xf numFmtId="0" fontId="0" fillId="0" borderId="64" xfId="0" applyBorder="1" applyAlignment="1"/>
    <xf numFmtId="0" fontId="0" fillId="0" borderId="6" xfId="0" applyBorder="1" applyAlignment="1"/>
    <xf numFmtId="0" fontId="16" fillId="0" borderId="52" xfId="1" applyFont="1" applyBorder="1" applyAlignment="1">
      <alignment horizontal="right" vertical="center" shrinkToFit="1"/>
    </xf>
    <xf numFmtId="0" fontId="15" fillId="0" borderId="18" xfId="1" applyFont="1" applyBorder="1" applyAlignment="1">
      <alignment horizontal="center" vertical="center" shrinkToFit="1"/>
    </xf>
    <xf numFmtId="0" fontId="0" fillId="0" borderId="32" xfId="0" applyBorder="1" applyAlignment="1"/>
    <xf numFmtId="0" fontId="18" fillId="3" borderId="56" xfId="1" applyFont="1" applyFill="1" applyBorder="1" applyAlignment="1" applyProtection="1">
      <alignment vertical="center" shrinkToFit="1"/>
      <protection locked="0"/>
    </xf>
    <xf numFmtId="0" fontId="0" fillId="0" borderId="33" xfId="0" applyBorder="1" applyAlignment="1" applyProtection="1">
      <protection locked="0"/>
    </xf>
    <xf numFmtId="3" fontId="17" fillId="4" borderId="46" xfId="1" applyNumberFormat="1" applyFont="1" applyFill="1" applyBorder="1" applyAlignment="1">
      <alignment horizontal="right" vertical="center" shrinkToFit="1"/>
    </xf>
    <xf numFmtId="0" fontId="0" fillId="0" borderId="62" xfId="0" applyBorder="1" applyAlignment="1"/>
    <xf numFmtId="0" fontId="0" fillId="0" borderId="48" xfId="0" applyBorder="1" applyAlignment="1"/>
    <xf numFmtId="0" fontId="18" fillId="3" borderId="8" xfId="1" applyFont="1" applyFill="1" applyBorder="1" applyAlignment="1" applyProtection="1">
      <alignment vertical="center" shrinkToFit="1"/>
      <protection locked="0"/>
    </xf>
    <xf numFmtId="0" fontId="0" fillId="0" borderId="7" xfId="0" applyBorder="1" applyAlignment="1" applyProtection="1">
      <protection locked="0"/>
    </xf>
    <xf numFmtId="3" fontId="15" fillId="4" borderId="17" xfId="1" applyNumberFormat="1" applyFont="1" applyFill="1" applyBorder="1" applyAlignment="1">
      <alignment horizontal="center" vertical="center" shrinkToFit="1"/>
    </xf>
    <xf numFmtId="0" fontId="14" fillId="0" borderId="0" xfId="1" applyFont="1" applyAlignment="1">
      <alignment horizontal="center" vertical="center"/>
    </xf>
    <xf numFmtId="3" fontId="17" fillId="3" borderId="55" xfId="1" applyNumberFormat="1" applyFont="1" applyFill="1" applyBorder="1" applyAlignment="1">
      <alignment horizontal="right" vertical="center" shrinkToFit="1"/>
    </xf>
    <xf numFmtId="0" fontId="0" fillId="0" borderId="9" xfId="0" applyBorder="1" applyAlignment="1"/>
    <xf numFmtId="0" fontId="0" fillId="0" borderId="40" xfId="0" applyBorder="1" applyAlignment="1"/>
    <xf numFmtId="0" fontId="15" fillId="0" borderId="22" xfId="1" applyFont="1" applyBorder="1" applyAlignment="1" applyProtection="1">
      <alignment horizontal="center" vertical="center" shrinkToFit="1"/>
      <protection locked="0"/>
    </xf>
    <xf numFmtId="0" fontId="0" fillId="0" borderId="24" xfId="0" applyBorder="1" applyAlignment="1" applyProtection="1">
      <protection locked="0"/>
    </xf>
    <xf numFmtId="0" fontId="0" fillId="0" borderId="28" xfId="0" applyBorder="1" applyAlignment="1" applyProtection="1">
      <protection locked="0"/>
    </xf>
    <xf numFmtId="0" fontId="15" fillId="0" borderId="0" xfId="1" applyFont="1" applyAlignment="1">
      <alignment horizontal="center" vertical="center" shrinkToFit="1"/>
    </xf>
    <xf numFmtId="3" fontId="17" fillId="0" borderId="58" xfId="1" applyNumberFormat="1" applyFont="1" applyBorder="1" applyAlignment="1">
      <alignment horizontal="right" vertical="center" shrinkToFit="1"/>
    </xf>
    <xf numFmtId="0" fontId="15" fillId="0" borderId="31" xfId="1" applyFont="1" applyBorder="1" applyAlignment="1">
      <alignment horizontal="center" vertical="center" shrinkToFit="1"/>
    </xf>
    <xf numFmtId="0" fontId="0" fillId="0" borderId="33" xfId="0" applyBorder="1" applyAlignment="1"/>
    <xf numFmtId="0" fontId="15" fillId="4" borderId="7" xfId="1" applyFont="1" applyFill="1" applyBorder="1" applyAlignment="1">
      <alignment horizontal="center" vertical="center" shrinkToFit="1"/>
    </xf>
    <xf numFmtId="0" fontId="17" fillId="0" borderId="25" xfId="1" applyFont="1" applyBorder="1" applyAlignment="1" applyProtection="1">
      <alignment horizontal="center" vertical="center" shrinkToFit="1"/>
      <protection locked="0"/>
    </xf>
    <xf numFmtId="3" fontId="17" fillId="3" borderId="38" xfId="1" applyNumberFormat="1" applyFont="1" applyFill="1" applyBorder="1" applyAlignment="1">
      <alignment horizontal="right" vertical="center" shrinkToFit="1"/>
    </xf>
    <xf numFmtId="0" fontId="0" fillId="0" borderId="41" xfId="0" applyBorder="1" applyAlignment="1"/>
    <xf numFmtId="0" fontId="15" fillId="4" borderId="43" xfId="1" applyFont="1" applyFill="1" applyBorder="1" applyAlignment="1">
      <alignment horizontal="center" vertical="center" shrinkToFit="1"/>
    </xf>
    <xf numFmtId="0" fontId="0" fillId="0" borderId="66" xfId="0" applyBorder="1" applyAlignment="1"/>
    <xf numFmtId="0" fontId="0" fillId="0" borderId="67" xfId="0" applyBorder="1" applyAlignment="1"/>
    <xf numFmtId="0" fontId="15" fillId="3" borderId="35" xfId="1" applyFont="1" applyFill="1" applyBorder="1" applyAlignment="1" applyProtection="1">
      <alignment horizontal="center" vertical="center" shrinkToFit="1"/>
      <protection locked="0"/>
    </xf>
    <xf numFmtId="3" fontId="17" fillId="0" borderId="60" xfId="1" applyNumberFormat="1" applyFont="1" applyBorder="1" applyAlignment="1">
      <alignment horizontal="right" vertical="center" shrinkToFit="1"/>
    </xf>
    <xf numFmtId="0" fontId="17" fillId="0" borderId="0" xfId="1" applyFont="1" applyAlignment="1">
      <alignment vertical="center" shrinkToFit="1"/>
    </xf>
    <xf numFmtId="0" fontId="16" fillId="0" borderId="28" xfId="1" applyFont="1" applyBorder="1" applyAlignment="1">
      <alignment horizontal="center" vertical="center" shrinkToFit="1"/>
    </xf>
    <xf numFmtId="0" fontId="15" fillId="0" borderId="39" xfId="1" applyFont="1" applyBorder="1" applyAlignment="1" applyProtection="1">
      <alignment horizontal="center" vertical="center" shrinkToFit="1"/>
      <protection locked="0"/>
    </xf>
    <xf numFmtId="0" fontId="16" fillId="3" borderId="0" xfId="1" applyFont="1" applyFill="1" applyAlignment="1" applyProtection="1">
      <alignment vertical="center" shrinkToFit="1"/>
      <protection locked="0"/>
    </xf>
    <xf numFmtId="0" fontId="20" fillId="0" borderId="0" xfId="1" applyFont="1" applyAlignment="1" applyProtection="1">
      <alignment vertical="center" shrinkToFit="1"/>
      <protection locked="0"/>
    </xf>
    <xf numFmtId="0" fontId="18" fillId="0" borderId="8" xfId="1" applyFont="1" applyBorder="1" applyAlignment="1" applyProtection="1">
      <alignment vertical="center" shrinkToFit="1"/>
      <protection locked="0"/>
    </xf>
    <xf numFmtId="0" fontId="15" fillId="0" borderId="28" xfId="1" applyFont="1" applyBorder="1" applyAlignment="1">
      <alignment horizontal="center" vertical="center" shrinkToFit="1"/>
    </xf>
    <xf numFmtId="0" fontId="18" fillId="3" borderId="11" xfId="1" applyFont="1" applyFill="1" applyBorder="1" applyAlignment="1" applyProtection="1">
      <alignment vertical="center" shrinkToFit="1"/>
      <protection locked="0"/>
    </xf>
    <xf numFmtId="0" fontId="0" fillId="0" borderId="10" xfId="0" applyBorder="1" applyAlignment="1" applyProtection="1">
      <protection locked="0"/>
    </xf>
    <xf numFmtId="0" fontId="17" fillId="0" borderId="0" xfId="1" applyFont="1" applyAlignment="1" applyProtection="1">
      <alignment vertical="center" shrinkToFit="1"/>
      <protection locked="0"/>
    </xf>
    <xf numFmtId="0" fontId="19" fillId="0" borderId="28" xfId="1" applyFont="1" applyBorder="1" applyAlignment="1">
      <alignment horizontal="center" vertical="center" shrinkToFit="1"/>
    </xf>
    <xf numFmtId="0" fontId="15" fillId="4" borderId="48" xfId="1" applyFont="1" applyFill="1" applyBorder="1" applyAlignment="1">
      <alignment horizontal="center" vertical="center" shrinkToFit="1"/>
    </xf>
    <xf numFmtId="177" fontId="16" fillId="0" borderId="28" xfId="1" applyNumberFormat="1" applyFont="1" applyBorder="1" applyAlignment="1">
      <alignment horizontal="right" vertical="center" shrinkToFit="1"/>
    </xf>
    <xf numFmtId="177" fontId="0" fillId="0" borderId="29" xfId="0" applyNumberFormat="1" applyBorder="1" applyAlignment="1"/>
    <xf numFmtId="0" fontId="15" fillId="4" borderId="43" xfId="1" applyFont="1" applyFill="1" applyBorder="1" applyAlignment="1" applyProtection="1">
      <alignment horizontal="center" vertical="center" shrinkToFit="1"/>
      <protection locked="0"/>
    </xf>
    <xf numFmtId="0" fontId="0" fillId="0" borderId="66" xfId="0" applyBorder="1" applyAlignment="1" applyProtection="1">
      <protection locked="0"/>
    </xf>
    <xf numFmtId="0" fontId="0" fillId="0" borderId="67" xfId="0" applyBorder="1" applyAlignment="1" applyProtection="1">
      <protection locked="0"/>
    </xf>
    <xf numFmtId="0" fontId="15" fillId="4" borderId="42" xfId="1" applyFont="1" applyFill="1" applyBorder="1" applyAlignment="1">
      <alignment horizontal="center" vertical="center" shrinkToFit="1"/>
    </xf>
    <xf numFmtId="0" fontId="14" fillId="0" borderId="26" xfId="1" applyFont="1" applyBorder="1" applyAlignment="1">
      <alignment horizontal="center" vertical="center" shrinkToFit="1"/>
    </xf>
    <xf numFmtId="0" fontId="21" fillId="0" borderId="28" xfId="1" applyFont="1" applyBorder="1" applyAlignment="1">
      <alignment horizontal="center" vertical="center" shrinkToFit="1"/>
    </xf>
    <xf numFmtId="0" fontId="20" fillId="0" borderId="0" xfId="1" applyFont="1" applyAlignment="1" applyProtection="1">
      <alignment horizontal="left" vertical="center" wrapText="1"/>
      <protection locked="0"/>
    </xf>
    <xf numFmtId="0" fontId="18" fillId="3" borderId="59" xfId="1" applyFont="1" applyFill="1" applyBorder="1" applyAlignment="1" applyProtection="1">
      <alignment vertical="center" shrinkToFit="1"/>
      <protection locked="0"/>
    </xf>
    <xf numFmtId="0" fontId="0" fillId="0" borderId="37" xfId="0" applyBorder="1" applyAlignment="1" applyProtection="1">
      <protection locked="0"/>
    </xf>
    <xf numFmtId="0" fontId="15" fillId="0" borderId="32" xfId="1" applyFont="1" applyBorder="1" applyAlignment="1">
      <alignment horizontal="center" vertical="center" shrinkToFit="1"/>
    </xf>
    <xf numFmtId="0" fontId="18" fillId="0" borderId="11" xfId="1" applyFont="1" applyBorder="1" applyAlignment="1" applyProtection="1">
      <alignment vertical="center" shrinkToFit="1"/>
      <protection locked="0"/>
    </xf>
    <xf numFmtId="0" fontId="15" fillId="4" borderId="46" xfId="1" applyFont="1" applyFill="1" applyBorder="1" applyAlignment="1">
      <alignment horizontal="center" vertical="center" shrinkToFit="1"/>
    </xf>
    <xf numFmtId="0" fontId="15" fillId="0" borderId="47" xfId="1" applyFont="1" applyBorder="1" applyAlignment="1">
      <alignment horizontal="center" vertical="center" shrinkToFit="1"/>
    </xf>
    <xf numFmtId="0" fontId="0" fillId="0" borderId="65" xfId="0" applyBorder="1" applyAlignment="1"/>
    <xf numFmtId="3" fontId="17" fillId="4" borderId="44" xfId="1" applyNumberFormat="1" applyFont="1" applyFill="1" applyBorder="1" applyAlignment="1">
      <alignment horizontal="right" vertical="center" shrinkToFit="1"/>
    </xf>
    <xf numFmtId="0" fontId="18" fillId="0" borderId="57" xfId="1" applyFont="1" applyBorder="1" applyAlignment="1" applyProtection="1">
      <alignment vertical="center" shrinkToFit="1"/>
      <protection locked="0"/>
    </xf>
    <xf numFmtId="0" fontId="0" fillId="0" borderId="32" xfId="0" applyBorder="1" applyAlignment="1" applyProtection="1">
      <protection locked="0"/>
    </xf>
    <xf numFmtId="0" fontId="15" fillId="0" borderId="51" xfId="1" applyFont="1" applyBorder="1" applyAlignment="1">
      <alignment horizontal="center" vertical="center" shrinkToFit="1"/>
    </xf>
    <xf numFmtId="0" fontId="15" fillId="0" borderId="36" xfId="1" applyFont="1" applyBorder="1" applyAlignment="1">
      <alignment horizontal="center" vertical="center" shrinkToFit="1"/>
    </xf>
    <xf numFmtId="0" fontId="23" fillId="0" borderId="1" xfId="1" applyFont="1" applyBorder="1" applyAlignment="1">
      <alignment horizontal="center" vertical="center"/>
    </xf>
    <xf numFmtId="0" fontId="0" fillId="0" borderId="8" xfId="0" applyBorder="1" applyAlignment="1"/>
    <xf numFmtId="0" fontId="31" fillId="0" borderId="5" xfId="1" applyFont="1" applyBorder="1">
      <alignment vertical="center"/>
    </xf>
    <xf numFmtId="0" fontId="30" fillId="0" borderId="1" xfId="1" applyFont="1" applyBorder="1" applyAlignment="1">
      <alignment horizontal="center" vertical="center" wrapText="1"/>
    </xf>
    <xf numFmtId="0" fontId="0" fillId="0" borderId="13" xfId="0" applyBorder="1" applyAlignment="1"/>
    <xf numFmtId="0" fontId="30" fillId="0" borderId="1" xfId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29" fillId="0" borderId="5" xfId="1" applyFont="1" applyBorder="1" applyAlignment="1" applyProtection="1">
      <alignment horizontal="center" vertical="center" wrapText="1"/>
      <protection locked="0"/>
    </xf>
    <xf numFmtId="0" fontId="28" fillId="0" borderId="0" xfId="1" applyFont="1" applyAlignment="1" applyProtection="1">
      <alignment horizontal="center" vertical="center"/>
      <protection locked="0"/>
    </xf>
    <xf numFmtId="0" fontId="28" fillId="0" borderId="0" xfId="1" applyFont="1" applyProtection="1">
      <alignment vertical="center"/>
      <protection locked="0"/>
    </xf>
  </cellXfs>
  <cellStyles count="2">
    <cellStyle name="標準" xfId="0" builtinId="0"/>
    <cellStyle name="標準 2" xfId="1" xr:uid="{00000000-0005-0000-0000-000001000000}"/>
  </cellStyles>
  <dxfs count="103">
    <dxf>
      <fill>
        <patternFill patternType="solid">
          <bgColor theme="0" tint="-0.1498764000366222"/>
        </patternFill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87640003662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28574</xdr:colOff>
      <xdr:row>0</xdr:row>
      <xdr:rowOff>28575</xdr:rowOff>
    </xdr:from>
    <xdr:to>
      <xdr:col>41</xdr:col>
      <xdr:colOff>47624</xdr:colOff>
      <xdr:row>0</xdr:row>
      <xdr:rowOff>533401</xdr:rowOff>
    </xdr:to>
    <xdr:sp macro="" textlink="">
      <xdr:nvSpPr>
        <xdr:cNvPr id="10" name="編集の説明">
          <a:extLst>
            <a:ext uri="{FF2B5EF4-FFF2-40B4-BE49-F238E27FC236}">
              <a16:creationId xmlns:a16="http://schemas.microsoft.com/office/drawing/2014/main" id="{5F9713C0-B9F4-43EF-9D37-B3DF05C7B2CF}"/>
            </a:ext>
          </a:extLst>
        </xdr:cNvPr>
        <xdr:cNvSpPr txBox="1"/>
      </xdr:nvSpPr>
      <xdr:spPr>
        <a:xfrm>
          <a:off x="28574" y="28575"/>
          <a:ext cx="10715625" cy="504826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  <a:effectLst/>
      </xdr:spPr>
      <xdr:txBody>
        <a:bodyPr vertOverflow="clip" horzOverflow="clip" vert="horz" wrap="square" lIns="152400" tIns="0" rIns="15240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■行の並べ替え・挿入・削除ができます　■数式の入ったセルは書き換えないでください（退会した人は行ごと削除、新たに入会した人は下の空欄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or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行を挿入して記入）</a:t>
          </a:r>
          <a:endParaRPr kumimoji="1" lang="en-US" altLang="ja-JP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並べ替え・挿入・削除は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狩猟登録会計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チェック欄や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有害安全講習参加名簿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有害従事者名簿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備考欄などの手入力箇所がズレます。ズレた箇所は修正してください。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 fPrintsWithSheet="0"/>
  </xdr:twoCellAnchor>
  <xdr:twoCellAnchor editAs="absolute">
    <xdr:from>
      <xdr:col>1</xdr:col>
      <xdr:colOff>165100</xdr:colOff>
      <xdr:row>7</xdr:row>
      <xdr:rowOff>66676</xdr:rowOff>
    </xdr:from>
    <xdr:to>
      <xdr:col>19</xdr:col>
      <xdr:colOff>381000</xdr:colOff>
      <xdr:row>11</xdr:row>
      <xdr:rowOff>104776</xdr:rowOff>
    </xdr:to>
    <xdr:sp macro="" textlink="">
      <xdr:nvSpPr>
        <xdr:cNvPr id="2" name="記入例の説明">
          <a:extLst>
            <a:ext uri="{FF2B5EF4-FFF2-40B4-BE49-F238E27FC236}">
              <a16:creationId xmlns:a16="http://schemas.microsoft.com/office/drawing/2014/main" id="{F7355890-69AF-FECC-D9A1-82E068E91174}"/>
            </a:ext>
          </a:extLst>
        </xdr:cNvPr>
        <xdr:cNvSpPr txBox="1"/>
      </xdr:nvSpPr>
      <xdr:spPr>
        <a:xfrm>
          <a:off x="517525" y="2914651"/>
          <a:ext cx="3883025" cy="1028700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  <a:effectLst/>
      </xdr:spPr>
      <xdr:txBody>
        <a:bodyPr vertOverflow="clip" horzOverflow="clip" vert="horz" wrap="none" lIns="152400" tIns="127000" rIns="152400" bIns="127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※2〜6 </a:t>
          </a:r>
          <a:r>
            <a:rPr kumimoji="1" lang="ja-JP" altLang="en-US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行目は記入例（架空の人物）です。</a:t>
          </a:r>
          <a:endParaRPr kumimoji="1" lang="en-US" altLang="ja-JP" sz="1100" b="1" i="0" u="none" strike="noStrike" kern="0" cap="none" spc="0" normalizeH="0" baseline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使うときはこの説明文と</a:t>
          </a:r>
          <a:r>
            <a:rPr kumimoji="1" lang="en-US" altLang="ja-JP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2〜6 </a:t>
          </a:r>
          <a:r>
            <a:rPr kumimoji="1" lang="ja-JP" altLang="en-US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行目の記入例</a:t>
          </a:r>
          <a:endParaRPr kumimoji="1" lang="en-US" altLang="ja-JP" sz="1100" b="1" i="0" u="none" strike="noStrike" kern="0" cap="none" spc="0" normalizeH="0" baseline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狩猟登録会計</a:t>
          </a:r>
          <a:r>
            <a:rPr kumimoji="1" lang="en-US" altLang="ja-JP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 </a:t>
          </a:r>
          <a:r>
            <a:rPr kumimoji="1" lang="en-US" altLang="ja-JP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2〜6 </a:t>
          </a:r>
          <a:r>
            <a:rPr kumimoji="1" lang="ja-JP" altLang="en-US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行目のチェック欄を消してください。</a:t>
          </a:r>
          <a:endParaRPr kumimoji="1" lang="en-US" altLang="ja-JP" sz="1100" b="1" i="0" u="none" strike="noStrike" kern="0" cap="none" spc="0" normalizeH="0" baseline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 fPrintsWithSheet="0"/>
  </xdr:twoCellAnchor>
  <xdr:oneCellAnchor>
    <xdr:from>
      <xdr:col>0</xdr:col>
      <xdr:colOff>28575</xdr:colOff>
      <xdr:row>0</xdr:row>
      <xdr:rowOff>885825</xdr:rowOff>
    </xdr:from>
    <xdr:ext cx="11753850" cy="248658"/>
    <xdr:sp macro="" textlink="">
      <xdr:nvSpPr>
        <xdr:cNvPr id="5" name="編集の説明">
          <a:extLst>
            <a:ext uri="{FF2B5EF4-FFF2-40B4-BE49-F238E27FC236}">
              <a16:creationId xmlns:a16="http://schemas.microsoft.com/office/drawing/2014/main" id="{21C2AE43-BCB8-44E4-8CB3-E165B2A3EFC6}"/>
            </a:ext>
          </a:extLst>
        </xdr:cNvPr>
        <xdr:cNvSpPr txBox="1"/>
      </xdr:nvSpPr>
      <xdr:spPr>
        <a:xfrm>
          <a:off x="28575" y="885825"/>
          <a:ext cx="11753850" cy="248658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  <a:effectLst/>
      </xdr:spPr>
      <xdr:txBody>
        <a:bodyPr vertOverflow="clip" horzOverflow="clip" vert="horz" wrap="square" lIns="152400" tIns="0" rIns="15240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このシートは、まちがって書き換えないように保護されています　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編集するとき　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「校閲」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タブ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「シート保護の解除」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編集が終わったら　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「校閲」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タブ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「シートの保護」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OK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パスワードは入力しない</a:t>
          </a:r>
        </a:p>
      </xdr:txBody>
    </xdr:sp>
    <xdr:clientData fPrint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685799</xdr:colOff>
      <xdr:row>1</xdr:row>
      <xdr:rowOff>38100</xdr:rowOff>
    </xdr:from>
    <xdr:to>
      <xdr:col>24</xdr:col>
      <xdr:colOff>180974</xdr:colOff>
      <xdr:row>25</xdr:row>
      <xdr:rowOff>21414</xdr:rowOff>
    </xdr:to>
    <xdr:sp macro="" textlink="">
      <xdr:nvSpPr>
        <xdr:cNvPr id="2" name="注意の説明">
          <a:extLst>
            <a:ext uri="{FF2B5EF4-FFF2-40B4-BE49-F238E27FC236}">
              <a16:creationId xmlns:a16="http://schemas.microsoft.com/office/drawing/2014/main" id="{3097F37C-2698-4496-3BFE-5BAB06643D2B}"/>
            </a:ext>
          </a:extLst>
        </xdr:cNvPr>
        <xdr:cNvSpPr txBox="1"/>
      </xdr:nvSpPr>
      <xdr:spPr>
        <a:xfrm>
          <a:off x="9953624" y="276225"/>
          <a:ext cx="6353175" cy="5726889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>
            <a:lnSpc>
              <a:spcPct val="115000"/>
            </a:lnSpc>
          </a:pP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この名簿について</a:t>
          </a: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（この説明は印刷されません）</a:t>
          </a: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自動で作られます（初期値</a:t>
          </a:r>
          <a:r>
            <a:rPr kumimoji="1" lang="en-US" altLang="ja-JP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150</a:t>
          </a: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名まで設定されています）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この表は 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の名簿から自動で作成されます。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名前・電話・住所・免許の印などは 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で直してください。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「次回更新」は、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の免状の交付日から自動で計算されます。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表題</a:t>
          </a:r>
        </a:p>
        <a:p>
          <a:pPr marL="152400">
            <a:lnSpc>
              <a:spcPct val="115000"/>
            </a:lnSpc>
          </a:pP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行目の表題（支部名・年月）は、このシートで直接書き換えられます。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「銃」「わな」「網」の印の見方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「免許」は免状を持っている人、「登録」はその年に狩猟者登録をする人に印が付きます。</a:t>
          </a:r>
          <a:endParaRPr kumimoji="1" lang="en-US" altLang="ja-JP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152400">
            <a:lnSpc>
              <a:spcPct val="115000"/>
            </a:lnSpc>
          </a:pPr>
          <a:endParaRPr kumimoji="1" lang="en-US" altLang="ja-JP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必要のない行・列は非表示に（初期値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必要のない行・列は、その行・列を選んで右クリック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「非表示」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にしてください。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非表示の行・列は印刷されず、行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No.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は自動で詰めて振り直されます。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元に戻すときは、前後の行・列を選んで右クリック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「再表示」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名簿の人が増えたり順番が変わったりしたら、非表示にした行がずれていないか確かめてください。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印刷範囲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印刷する範囲を選んで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「ページ レイアウト」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タブ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「印刷範囲」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「印刷範囲の設定」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で広げてください。</a:t>
          </a:r>
          <a:endParaRPr kumimoji="1" lang="en-US" altLang="ja-JP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22</xdr:col>
      <xdr:colOff>0</xdr:colOff>
      <xdr:row>0</xdr:row>
      <xdr:rowOff>200025</xdr:rowOff>
    </xdr:from>
    <xdr:to>
      <xdr:col>30</xdr:col>
      <xdr:colOff>438150</xdr:colOff>
      <xdr:row>27</xdr:row>
      <xdr:rowOff>141362</xdr:rowOff>
    </xdr:to>
    <xdr:sp macro="" textlink="">
      <xdr:nvSpPr>
        <xdr:cNvPr id="2" name="注意の説明">
          <a:extLst>
            <a:ext uri="{FF2B5EF4-FFF2-40B4-BE49-F238E27FC236}">
              <a16:creationId xmlns:a16="http://schemas.microsoft.com/office/drawing/2014/main" id="{C1410D23-EFAD-0C0B-A0CB-A0014E26A112}"/>
            </a:ext>
          </a:extLst>
        </xdr:cNvPr>
        <xdr:cNvSpPr txBox="1"/>
      </xdr:nvSpPr>
      <xdr:spPr>
        <a:xfrm>
          <a:off x="11982450" y="200025"/>
          <a:ext cx="5924550" cy="7066037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>
            <a:lnSpc>
              <a:spcPct val="115000"/>
            </a:lnSpc>
          </a:pP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この表について</a:t>
          </a: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（この説明は印刷されません）</a:t>
          </a: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名前は自動で入ります（初期値</a:t>
          </a:r>
          <a:r>
            <a:rPr kumimoji="1" lang="en-US" altLang="ja-JP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150</a:t>
          </a: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名まで設定されています）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氏名は 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の名簿の順番で自動で入ります。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このシートで入力する欄（▼から選びます）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「銃」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✔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（第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種）または 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2️⃣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（第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種）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「銃保険」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A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「わな」「網」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✔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「有害」「減免」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◯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「支部入会金」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入会金の額（入会金がない人は空欄）</a:t>
          </a:r>
          <a:endParaRPr kumimoji="1" lang="en-US" altLang="ja-JP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チェック欄は手入力です。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【Sheet1】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で並べ替えたり、行を挿入・削除したりすると、名前だけが動いて、このシートで入力した印がずれます。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その場合は、印を入れ直してください。</a:t>
          </a:r>
        </a:p>
        <a:p>
          <a:pPr marL="152400"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必要のない行・列は非表示に（初期値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必要のない行・列は、その行・列を選んで右クリック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「非表示」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にしてください。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非表示の行・列は印刷されず、行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No.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は自動で詰めて振り直されます。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元に戻すときは、前後の行・列を選んで右クリック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「再表示」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名簿の人が増えたり順番が変わったりしたら、非表示にした行がずれていないか確かめてください。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金額は自動で計算されます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会費・狩猟税・登録手数料・保険の金額は、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各種設定金額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の値から自動で計算されます。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金額を変えるときは 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各種設定金額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を直してください。</a:t>
          </a:r>
        </a:p>
        <a:p>
          <a:pPr marL="152400">
            <a:lnSpc>
              <a:spcPct val="115000"/>
            </a:lnSpc>
          </a:pP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</a:t>
          </a:r>
          <a:r>
            <a:rPr kumimoji="1" lang="ja-JP" altLang="en-US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「捕獲員である」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に印がある人は、狩猟税が 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円になります。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表の下に、合計と、金額ごとの人数の集計があります。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123824</xdr:colOff>
      <xdr:row>8</xdr:row>
      <xdr:rowOff>9525</xdr:rowOff>
    </xdr:from>
    <xdr:to>
      <xdr:col>12</xdr:col>
      <xdr:colOff>638175</xdr:colOff>
      <xdr:row>13</xdr:row>
      <xdr:rowOff>22388</xdr:rowOff>
    </xdr:to>
    <xdr:sp macro="" textlink="">
      <xdr:nvSpPr>
        <xdr:cNvPr id="8" name="注意の説明">
          <a:extLst>
            <a:ext uri="{FF2B5EF4-FFF2-40B4-BE49-F238E27FC236}">
              <a16:creationId xmlns:a16="http://schemas.microsoft.com/office/drawing/2014/main" id="{A6BF5DF3-DB49-40FE-BC62-68CA895AA8C7}"/>
            </a:ext>
          </a:extLst>
        </xdr:cNvPr>
        <xdr:cNvSpPr txBox="1"/>
      </xdr:nvSpPr>
      <xdr:spPr>
        <a:xfrm>
          <a:off x="1733549" y="2466975"/>
          <a:ext cx="6991351" cy="1441613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  <a:effectLst/>
      </xdr:spPr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このシートの金額や都道府県を変更すると、ほかのシートの金額・表示が自動で変わります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 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※Sheet1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捕獲員である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に印がある人は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狩猟登録会計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の狩猟税は自動で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円になります。 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金額は年度や県によって変わります。毎年、県猟友会などの案内で確かめてから入力してください。 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このシートの行や列を挿入・削除すると、ほかのシートの計算がずれます。金額の数字だけを書き換えてください。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514350</xdr:colOff>
      <xdr:row>0</xdr:row>
      <xdr:rowOff>200025</xdr:rowOff>
    </xdr:from>
    <xdr:to>
      <xdr:col>18</xdr:col>
      <xdr:colOff>590550</xdr:colOff>
      <xdr:row>20</xdr:row>
      <xdr:rowOff>170424</xdr:rowOff>
    </xdr:to>
    <xdr:sp macro="" textlink="">
      <xdr:nvSpPr>
        <xdr:cNvPr id="2" name="注意の説明">
          <a:extLst>
            <a:ext uri="{FF2B5EF4-FFF2-40B4-BE49-F238E27FC236}">
              <a16:creationId xmlns:a16="http://schemas.microsoft.com/office/drawing/2014/main" id="{CA4D9C47-F906-2FFA-1406-CAE278982679}"/>
            </a:ext>
          </a:extLst>
        </xdr:cNvPr>
        <xdr:cNvSpPr txBox="1"/>
      </xdr:nvSpPr>
      <xdr:spPr>
        <a:xfrm>
          <a:off x="8934450" y="200025"/>
          <a:ext cx="6248400" cy="4923399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>
            <a:lnSpc>
              <a:spcPct val="115000"/>
            </a:lnSpc>
          </a:pP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この名簿について</a:t>
          </a: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（この説明は印刷されません）</a:t>
          </a: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自動で作られます（初期値</a:t>
          </a:r>
          <a:r>
            <a:rPr kumimoji="1" lang="en-US" altLang="ja-JP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150</a:t>
          </a: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名まで設定されています）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この表は 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の名簿から自動で作成されます。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名前・生年月日・電話・住所などは 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で直してください。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電話番号は、固定電話があれば固定電話、なければ携帯電話が入ります。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このシートで入力する欄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上の「開催日時」「開催場所」、支部名・支部長、右端の「備考」は、このシートで書き換えられます。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必要のない行・列は非表示に（初期値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必要のない行・列は、その行・列を選んで右クリック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「非表示」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にしてください。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非表示の行・列は印刷されず、行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No.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は自動で詰めて振り直されます。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元に戻すときは、前後の行・列を選んで右クリック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「再表示」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名簿の人が増えたり順番が変わったりしたら、非表示にした行がずれていないか確かめてください。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印刷範囲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印刷する範囲を選んで</a:t>
          </a: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「ページ レイアウト」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 →</a:t>
          </a: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「印刷範囲」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→</a:t>
          </a: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「印刷範囲の設定」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で広げてください。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0</xdr:colOff>
      <xdr:row>1</xdr:row>
      <xdr:rowOff>0</xdr:rowOff>
    </xdr:from>
    <xdr:to>
      <xdr:col>19</xdr:col>
      <xdr:colOff>438150</xdr:colOff>
      <xdr:row>18</xdr:row>
      <xdr:rowOff>372323</xdr:rowOff>
    </xdr:to>
    <xdr:sp macro="" textlink="">
      <xdr:nvSpPr>
        <xdr:cNvPr id="2" name="注意の説明">
          <a:extLst>
            <a:ext uri="{FF2B5EF4-FFF2-40B4-BE49-F238E27FC236}">
              <a16:creationId xmlns:a16="http://schemas.microsoft.com/office/drawing/2014/main" id="{C6E552B0-D795-F64D-094F-1749A5854614}"/>
            </a:ext>
          </a:extLst>
        </xdr:cNvPr>
        <xdr:cNvSpPr txBox="1"/>
      </xdr:nvSpPr>
      <xdr:spPr>
        <a:xfrm>
          <a:off x="11058525" y="200025"/>
          <a:ext cx="5924550" cy="5268173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この名簿について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（この説明は印刷されません）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自動で作られます（初期値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この表は 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【Sheet1】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の名簿から自動で作成されます。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名前や住所などは 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【Sheet1】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で直してください。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 i="0" u="none" strike="noStrike" kern="0" cap="none" spc="0" normalizeH="0" baseline="0" noProof="0">
            <a:ln>
              <a:noFill/>
            </a:ln>
            <a:solidFill>
              <a:srgbClr val="1F3A5A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このシートで入力する欄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～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行目、右端の「備考」は、このシートで書き換えられます。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必要のない人・行は非表示に（初期値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必要のない人・行は、その行の行番号を選んで右クリック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「非表示」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にしてください。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非表示の行は印刷されません。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元に戻すときは、前後の行番号を選んで右クリック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「再表示」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名簿の人が増えたり順番が変わったりしたら、非表示にした行がずれていないか確かめてください。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フッター（印刷したときの下の注記）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フッターの都道府県名は自動では変わりません。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「ページ レイアウト」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タブ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「ページ設定」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の右下の小さな矢印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「ヘッダー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フッター」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「フッターの編集」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で書き換えます。</a:t>
          </a:r>
        </a:p>
      </xdr:txBody>
    </xdr:sp>
    <xdr:clientData fPrint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31EBA-2D1C-4308-8719-0B7F7046F693}" name="会員表" displayName="会員表" ref="A1:CO151" totalsRowShown="0" headerRowDxfId="102" tableBorderDxfId="101">
  <autoFilter ref="A1:CO151" xr:uid="{AF431EBA-2D1C-4308-8719-0B7F7046F693}"/>
  <sortState xmlns:xlrd2="http://schemas.microsoft.com/office/spreadsheetml/2017/richdata2" ref="A2:CO151">
    <sortCondition ref="B1:B151"/>
  </sortState>
  <tableColumns count="93">
    <tableColumn id="1" xr3:uid="{49B335C2-3888-456D-B382-20CF7D9111F3}" name="No." dataDxfId="100">
      <calculatedColumnFormula>IF(B2="","",ROW()-ROW(会員表[#Headers]))</calculatedColumnFormula>
    </tableColumn>
    <tableColumn id="2" xr3:uid="{E64F932A-295C-4E0F-8E8B-3F36D23FF2AE}" name="氏　　名" dataDxfId="99"/>
    <tableColumn id="3" xr3:uid="{9FD2A0F5-B8F7-4C10-B4D0-6F6B6E7620D4}" name="ふ り が な" dataDxfId="98">
      <calculatedColumnFormula array="1">_xlfn.LET(_xlpm.s,PHONETIC(B2),_xlpm.c,_xlfn.UNICODE(MID(_xlpm.s,_xlfn.SEQUENCE(LEN(_xlpm.s)),1)),IF(_xlpm.s="","",_xlfn.CONCAT(_xlfn.UNICHAR(_xlpm.c-96*(_xlpm.c&gt;=12449)*(_xlpm.c&lt;=12534)))))</calculatedColumnFormula>
    </tableColumn>
    <tableColumn id="4" xr3:uid="{BB7E3292-A22B-42E5-884F-5875107F124E}" name="カタカナ" dataDxfId="97">
      <calculatedColumnFormula array="1">_xlfn.LET(_xlpm.s,PHONETIC(B2),_xlpm.c,_xlfn.UNICODE(MID(_xlpm.s,_xlfn.SEQUENCE(LEN(_xlpm.s)),1)),IF(_xlpm.s="","",_xlfn.CONCAT(_xlfn.UNICHAR(_xlpm.c+96*(_xlpm.c&gt;=12353)*(_xlpm.c&lt;=12438)))))</calculatedColumnFormula>
    </tableColumn>
    <tableColumn id="5" xr3:uid="{664BADDE-30F3-427C-B036-DCABF5FECB21}" name="年齢" dataDxfId="96">
      <calculatedColumnFormula>IF(N2="","",DATEDIF(N2,TODAY(),"Y"))</calculatedColumnFormula>
    </tableColumn>
    <tableColumn id="6" xr3:uid="{FA8DD2F9-813D-4CE0-AE2F-25A5E28FCC36}" name="昭" dataDxfId="95">
      <calculatedColumnFormula>IF(I2="昭","〇","")</calculatedColumnFormula>
    </tableColumn>
    <tableColumn id="7" xr3:uid="{9A37F7F6-4BB8-4DF6-9E5B-BCA3B7C68F7B}" name="平" dataDxfId="94">
      <calculatedColumnFormula>IF(I2="平","〇","")</calculatedColumnFormula>
    </tableColumn>
    <tableColumn id="8" xr3:uid="{91A0EC01-21AC-442B-A5C6-9A8F04F2CF2C}" name="令" dataDxfId="93">
      <calculatedColumnFormula>IF(I2="令","〇","")</calculatedColumnFormula>
    </tableColumn>
    <tableColumn id="9" xr3:uid="{8C3CCD77-B7AC-4B1E-A45F-10646FD52967}" name="生号1" dataDxfId="92">
      <calculatedColumnFormula>IF($N2="","",TEXT($N2,"gg"))</calculatedColumnFormula>
    </tableColumn>
    <tableColumn id="10" xr3:uid="{6854F88D-6140-473A-928F-568D5A8955A3}" name="生号2" dataDxfId="91">
      <calculatedColumnFormula>IF($N2="","",TEXT($N2,"ggg"))</calculatedColumnFormula>
    </tableColumn>
    <tableColumn id="11" xr3:uid="{6786EF41-F813-4D06-BD3F-CA3B8B01CF75}" name="生年" dataDxfId="90">
      <calculatedColumnFormula>IF($N2="","",TEXT($N2,"e"))</calculatedColumnFormula>
    </tableColumn>
    <tableColumn id="12" xr3:uid="{5729ECA8-71EF-49E5-A3D9-C9C8E3ED94D2}" name="生月" dataDxfId="89">
      <calculatedColumnFormula>IF($N2="","",TEXT($N2,"m"))</calculatedColumnFormula>
    </tableColumn>
    <tableColumn id="13" xr3:uid="{7BDF6970-6C0F-46DB-8AD9-D4209F0C5DEC}" name="生日" dataDxfId="88">
      <calculatedColumnFormula>IF($N2="","",TEXT($N2,"d"))</calculatedColumnFormula>
    </tableColumn>
    <tableColumn id="14" xr3:uid="{EF370A60-3534-457F-A26C-ADC1F6B6DBB2}" name="生年月日" dataDxfId="87"/>
    <tableColumn id="15" xr3:uid="{DEA19157-75D3-40C5-B5B6-0ACCCBCE1F7E}" name="携 帯 電 話" dataDxfId="86"/>
    <tableColumn id="16" xr3:uid="{400FCEA4-7953-4E3B-9C4F-EB4343DDDBF1}" name="携1" dataDxfId="85">
      <calculatedColumnFormula>IFERROR(LEFT(O2,FIND("-",O2)-1),"")</calculatedColumnFormula>
    </tableColumn>
    <tableColumn id="17" xr3:uid="{BDB00BAC-A923-47F9-ADF8-45A9F7397EDF}" name="携" dataDxfId="84">
      <calculatedColumnFormula>IFERROR(RIGHT(O2,LEN(O2)-FIND("-",O2)),"")</calculatedColumnFormula>
    </tableColumn>
    <tableColumn id="18" xr3:uid="{D9C9EC61-69EA-4672-8F55-617AC7A91396}" name="携2" dataDxfId="83">
      <calculatedColumnFormula>IFERROR(LEFT(Q2,FIND("-",Q2)-1),"")</calculatedColumnFormula>
    </tableColumn>
    <tableColumn id="19" xr3:uid="{81CD717E-C4EF-4578-A3D6-90FF1B377320}" name="携3" dataDxfId="82">
      <calculatedColumnFormula>IFERROR(RIGHT(Q2,LEN(Q2)-FIND("-",Q2)),"")</calculatedColumnFormula>
    </tableColumn>
    <tableColumn id="20" xr3:uid="{F4F43E2D-74FA-4573-B0B1-4E5189329653}" name="固 定 電 話" dataDxfId="81"/>
    <tableColumn id="21" xr3:uid="{DD522145-29C2-4C8D-915B-CA8684EC1A70}" name="固1" dataDxfId="80">
      <calculatedColumnFormula>IFERROR(LEFT(T2,FIND("-",T2)-1),"")</calculatedColumnFormula>
    </tableColumn>
    <tableColumn id="22" xr3:uid="{42C2CE74-217E-49CB-9A96-D554E51CDD8B}" name="固" dataDxfId="79">
      <calculatedColumnFormula>IFERROR(RIGHT(T2,LEN(T2)-FIND("-",T2)),"")</calculatedColumnFormula>
    </tableColumn>
    <tableColumn id="23" xr3:uid="{9270A092-09CE-4536-A815-EBB43EA8687B}" name="固2" dataDxfId="78">
      <calculatedColumnFormula>IFERROR(LEFT(V2,FIND("-",V2)-1),"")</calculatedColumnFormula>
    </tableColumn>
    <tableColumn id="24" xr3:uid="{993AD1A8-F40B-47C8-948B-E34C452F2C8D}" name="固3" dataDxfId="77">
      <calculatedColumnFormula>IFERROR(RIGHT(V2,LEN(V2)-FIND("-",V2)),"")</calculatedColumnFormula>
    </tableColumn>
    <tableColumn id="25" xr3:uid="{F4013868-236A-4130-9E88-D2D45AAF46CD}" name="郵便番号" dataDxfId="76"/>
    <tableColumn id="26" xr3:uid="{A52E1596-7093-46A8-A00E-26E5981BCDAC}" name="郵便" dataDxfId="75">
      <calculatedColumnFormula>IF(Y2="","",LEFT(SUBSTITUTE(ASC(Y2),"-",""),3))</calculatedColumnFormula>
    </tableColumn>
    <tableColumn id="27" xr3:uid="{1794B9E9-1394-44F3-A4F6-D2009F590D82}" name="郵-" dataDxfId="74"/>
    <tableColumn id="28" xr3:uid="{DB1E1912-29B9-4B1F-8D96-0D08458A4DC1}" name="番号" dataDxfId="73">
      <calculatedColumnFormula>IF(Y2="","",MID(SUBSTITUTE(ASC(Y2),"-",""),4,4))</calculatedColumnFormula>
    </tableColumn>
    <tableColumn id="29" xr3:uid="{08DD41CD-E006-46CC-8939-D678810040D1}" name="住　　　　　所" dataDxfId="72"/>
    <tableColumn id="30" xr3:uid="{7D2481B8-D237-4BA4-AC45-50F7A3C84A45}" name="銃所持許可証番号" dataDxfId="71"/>
    <tableColumn id="31" xr3:uid="{D9EFC248-9722-42C4-809B-BFED35D61D8F}" name="銃交付　年号2" dataDxfId="70">
      <calculatedColumnFormula>IF(AK2="","",TEXT($AK2,"ggg"))</calculatedColumnFormula>
    </tableColumn>
    <tableColumn id="32" xr3:uid="{47921AFB-BA77-490E-987F-5D73748D59E6}" name="銃交付　年号1" dataDxfId="69">
      <calculatedColumnFormula>IF(AK2="","",TEXT($AK2,"gg"))</calculatedColumnFormula>
    </tableColumn>
    <tableColumn id="33" xr3:uid="{6A80F1E2-438B-4BD2-BC9E-16001F573967}" name="銃交付　年号" dataDxfId="68">
      <calculatedColumnFormula>IF(AK2="","",TEXT($AK2,"g"))</calculatedColumnFormula>
    </tableColumn>
    <tableColumn id="34" xr3:uid="{457A440B-4CE1-4867-84F1-B4D5A4F5BB6A}" name="銃交付　年" dataDxfId="67">
      <calculatedColumnFormula>IF(AK2="","",TEXT($AK2,"e"))</calculatedColumnFormula>
    </tableColumn>
    <tableColumn id="35" xr3:uid="{C074CB5A-97AA-40A7-82AF-6D0159FC42C9}" name="銃交付　月" dataDxfId="66">
      <calculatedColumnFormula>IF(AK2="","",TEXT($AK2,"m"))</calculatedColumnFormula>
    </tableColumn>
    <tableColumn id="36" xr3:uid="{EDE62F8E-C82D-49E3-A7E6-A7C8AF65DCB6}" name="銃交付　日" dataDxfId="65">
      <calculatedColumnFormula>IF(AK2="","",TEXT($AK2,"d"))</calculatedColumnFormula>
    </tableColumn>
    <tableColumn id="37" xr3:uid="{052860F8-6B59-47EC-A497-992C5051086A}" name="交付年月日" dataDxfId="64"/>
    <tableColumn id="38" xr3:uid="{C61EB1CB-4A55-4639-981D-5226954B8065}" name="銃免状1" dataDxfId="63">
      <calculatedColumnFormula>IF(AM2="","",IF(各種設定金額!$B$7="","○○県",各種設定金額!$B$7))</calculatedColumnFormula>
    </tableColumn>
    <tableColumn id="39" xr3:uid="{E20A3217-9568-4C7C-B90D-1EA75A660CC6}" name="銃免状" dataDxfId="62"/>
    <tableColumn id="40" xr3:uid="{CF0A2641-903F-41A2-A404-C53A47183E9D}" name="一種登録" dataDxfId="61"/>
    <tableColumn id="41" xr3:uid="{0A84E9D7-1256-4F66-B4E4-891DFF5335EE}" name="銃 狩猟免状番号" dataDxfId="60">
      <calculatedColumnFormula>IF(TRIM(AQ2)="","",AP2&amp;AQ2&amp;AR2)</calculatedColumnFormula>
    </tableColumn>
    <tableColumn id="42" xr3:uid="{F443353B-43AB-4335-9832-FD7DA29E41C5}" name="銃 狩" dataDxfId="59"/>
    <tableColumn id="43" xr3:uid="{D5FD9F8E-0F2A-4E53-882A-818C0F110276}" name="銃猟免状番" dataDxfId="58"/>
    <tableColumn id="44" xr3:uid="{2E5B920A-9F2A-497C-B096-5A07E55E2116}" name="号a" dataDxfId="57"/>
    <tableColumn id="45" xr3:uid="{31BD2FD5-134B-4970-BBB2-4DFD7BEC66EF}" name="銃号2" dataDxfId="56">
      <calculatedColumnFormula>IF(AY2="","",TEXT($AY2,"ggg"))</calculatedColumnFormula>
    </tableColumn>
    <tableColumn id="46" xr3:uid="{7BFCE921-FA60-4977-9D7A-875EE1A3F3AC}" name="銃号1" dataDxfId="55">
      <calculatedColumnFormula>IF(AY2="","",TEXT($AY2,"gg"))</calculatedColumnFormula>
    </tableColumn>
    <tableColumn id="47" xr3:uid="{198BFD7C-B581-4BD2-B06D-518116A16FA5}" name="銃号" dataDxfId="54">
      <calculatedColumnFormula>IF(AY2="","",TEXT($AY2,"g"))</calculatedColumnFormula>
    </tableColumn>
    <tableColumn id="48" xr3:uid="{0F08A39D-C36E-4A7C-A217-EF63FA5A6790}" name="銃年" dataDxfId="53">
      <calculatedColumnFormula>IF(AY2="","",TEXT($AY2,"e"))</calculatedColumnFormula>
    </tableColumn>
    <tableColumn id="49" xr3:uid="{D1559AA5-6FC8-4F92-9A30-FCF13B7C40CC}" name="銃月" dataDxfId="52">
      <calculatedColumnFormula>IF(AY2="","",TEXT($AY2,"m"))</calculatedColumnFormula>
    </tableColumn>
    <tableColumn id="50" xr3:uid="{E8149196-FF56-4311-A48B-F1ECE8A9741E}" name="銃日" dataDxfId="51">
      <calculatedColumnFormula>IF(AY2="","",TEXT($AY2,"d"))</calculatedColumnFormula>
    </tableColumn>
    <tableColumn id="51" xr3:uid="{6AFE7B3D-C224-4F99-B408-4F16EAFB3CC0}" name="銃年月日" dataDxfId="50"/>
    <tableColumn id="52" xr3:uid="{D476E2BF-18F3-4738-8116-36588E1A14EC}" name="わな免状1" dataDxfId="49">
      <calculatedColumnFormula>IF(BA2="","",IF(各種設定金額!$B$7="","○○県",各種設定金額!$B$7))</calculatedColumnFormula>
    </tableColumn>
    <tableColumn id="53" xr3:uid="{9B52D9D7-CAAE-4D61-9CE3-3E7EDC4F7DD1}" name="わな免状" dataDxfId="48"/>
    <tableColumn id="54" xr3:uid="{8A7BBC3E-BA4C-483E-AE96-A91074016C5F}" name="わな登録" dataDxfId="47"/>
    <tableColumn id="55" xr3:uid="{E89B3FD2-2847-4A2C-ADA4-A8E4EF05BCD2}" name="わな 狩猟免状番号" dataDxfId="46">
      <calculatedColumnFormula>IF(TRIM(BE2)="","",BD2&amp;BE2&amp;BF2)</calculatedColumnFormula>
    </tableColumn>
    <tableColumn id="56" xr3:uid="{C14B3DB6-8607-4DF5-AAC3-DDBCCC4EDC70}" name="わな 狩" dataDxfId="45"/>
    <tableColumn id="57" xr3:uid="{0DE0667D-E9EF-4450-8C6D-5F63F2DA314F}" name="罠猟免状番" dataDxfId="44"/>
    <tableColumn id="58" xr3:uid="{A56244E8-E5D3-4611-A20B-FA42360373A4}" name="号b" dataDxfId="43"/>
    <tableColumn id="59" xr3:uid="{D93E95C2-B567-4F9E-8DC0-C3DE0155C039}" name="罠号2" dataDxfId="42">
      <calculatedColumnFormula>IF(BM2="","",TEXT($BM2,"ggg"))</calculatedColumnFormula>
    </tableColumn>
    <tableColumn id="60" xr3:uid="{24DC9BF4-8DC1-4743-A59B-40B89CEA6F2E}" name="罠号1" dataDxfId="41">
      <calculatedColumnFormula>IF(BM2="","",TEXT($BM2,"gg"))</calculatedColumnFormula>
    </tableColumn>
    <tableColumn id="61" xr3:uid="{74BA37B9-AF13-4A8B-B82C-B3A4EE6D9226}" name="罠号" dataDxfId="40">
      <calculatedColumnFormula>IF(BM2="","",TEXT($BM2,"g"))</calculatedColumnFormula>
    </tableColumn>
    <tableColumn id="62" xr3:uid="{3B2AAB59-CB01-46C6-92AD-40E75FA529A9}" name="罠年" dataDxfId="39">
      <calculatedColumnFormula>IF(BM2="","",TEXT($BM2,"e"))</calculatedColumnFormula>
    </tableColumn>
    <tableColumn id="63" xr3:uid="{4CCD5799-7C9A-477A-B0C5-0070341DBFAD}" name="罠月" dataDxfId="38">
      <calculatedColumnFormula>IF(BM2="","",TEXT($BM2,"m"))</calculatedColumnFormula>
    </tableColumn>
    <tableColumn id="64" xr3:uid="{A0E0CD5C-9C8F-416A-A585-49865C163621}" name="罠日" dataDxfId="37">
      <calculatedColumnFormula>IF(BM2="","",TEXT($BM2,"d"))</calculatedColumnFormula>
    </tableColumn>
    <tableColumn id="65" xr3:uid="{9D677E50-D8F7-4421-B29B-2487A7D6BF3C}" name="わな年月日" dataDxfId="36"/>
    <tableColumn id="66" xr3:uid="{0D38E844-759C-48C3-9957-6910E2473396}" name="網免状1" dataDxfId="35">
      <calculatedColumnFormula>IF(BO2="","",IF(各種設定金額!$B$7="","○○県",各種設定金額!$B$7))</calculatedColumnFormula>
    </tableColumn>
    <tableColumn id="67" xr3:uid="{00FEFEC0-F7B9-414F-B2C6-24D99C33FDB0}" name="網免状" dataDxfId="34"/>
    <tableColumn id="68" xr3:uid="{4D14A2D3-019D-447F-8891-B428A60D4F25}" name="網登録" dataDxfId="33"/>
    <tableColumn id="69" xr3:uid="{7079F710-5E9E-42D9-8F9F-4B7E08D30491}" name="網 狩猟免状番号" dataDxfId="32">
      <calculatedColumnFormula>IF(TRIM(BS2)="","",BR2&amp;BS2&amp;BT2)</calculatedColumnFormula>
    </tableColumn>
    <tableColumn id="70" xr3:uid="{86990E5A-3305-49E5-B49C-1FED6772D29A}" name="網 狩" dataDxfId="31"/>
    <tableColumn id="71" xr3:uid="{12E9DDB2-5424-47A9-8BCB-79066C72DE32}" name="網猟免状番" dataDxfId="30"/>
    <tableColumn id="72" xr3:uid="{620B6C14-E0FE-4EC3-AD8C-381C8B4D94AC}" name="号c" dataDxfId="29"/>
    <tableColumn id="73" xr3:uid="{FB817CB7-5C61-4666-9D0D-A4C0AF32C476}" name="網号2" dataDxfId="28">
      <calculatedColumnFormula>IF(CA2="","",TEXT($CA2,"ggg"))</calculatedColumnFormula>
    </tableColumn>
    <tableColumn id="74" xr3:uid="{41090C52-1B30-4EBC-BD24-C0477C67AD78}" name="網号1" dataDxfId="27">
      <calculatedColumnFormula>IF(CA2="","",TEXT($CA2,"gg"))</calculatedColumnFormula>
    </tableColumn>
    <tableColumn id="75" xr3:uid="{0BC20E46-51BE-473D-8853-BAFD64EEC92C}" name="網号" dataDxfId="26">
      <calculatedColumnFormula>IF(CA2="","",TEXT($CA2,"g"))</calculatedColumnFormula>
    </tableColumn>
    <tableColumn id="76" xr3:uid="{45A2BF6F-0C05-40E1-83C6-9365181FEC5B}" name="網年" dataDxfId="25">
      <calculatedColumnFormula>IF(CA2="","",TEXT($CA2,"e"))</calculatedColumnFormula>
    </tableColumn>
    <tableColumn id="77" xr3:uid="{4CDA5404-5ED9-4149-A890-E351D4775AEB}" name="網月" dataDxfId="24">
      <calculatedColumnFormula>IF(CA2="","",TEXT($CA2,"m"))</calculatedColumnFormula>
    </tableColumn>
    <tableColumn id="78" xr3:uid="{CD8FD719-C150-4958-92E9-FBC4828FBE2E}" name="網日" dataDxfId="23">
      <calculatedColumnFormula>IF(CA2="","",TEXT($CA2,"d"))</calculatedColumnFormula>
    </tableColumn>
    <tableColumn id="79" xr3:uid="{38BACF85-A81A-4F87-A559-86185C83CF8B}" name="網年月日" dataDxfId="22"/>
    <tableColumn id="80" xr3:uid="{26D86455-C41D-4DCD-9E65-E4E59031EF85}" name="狩猟免許" dataDxfId="21">
      <calculatedColumnFormula>IF(COUNT(AY2,BM2,CA2)=0,"",TEXT(DATE(YEAR(MIN(AY2,BM2,CA2))+3,9,14),"g"))</calculatedColumnFormula>
    </tableColumn>
    <tableColumn id="81" xr3:uid="{715A13AC-B4DA-4412-A0DF-C22AF9819DD9}" name="次回更新" dataDxfId="20">
      <calculatedColumnFormula>IF(COUNT(AY2,BM2,CA2)=0,"",VALUE(TEXT(DATE(YEAR(MIN(AY2,BM2,CA2))+3,9,14),"e")))</calculatedColumnFormula>
    </tableColumn>
    <tableColumn id="82" xr3:uid="{719B7308-8B4B-40FD-A250-5A00C6580D01}" name="男" dataDxfId="19"/>
    <tableColumn id="83" xr3:uid="{BDBFFBEB-C7EC-4486-9552-B68B05D5DCB7}" name="女" dataDxfId="18"/>
    <tableColumn id="84" xr3:uid="{B7A6AC65-E864-4696-A01D-79595964FCCD}" name="捕獲員である" dataDxfId="17"/>
    <tableColumn id="85" xr3:uid="{65BA6DA0-0458-4D38-8B4C-1C9B770B4C9E}" name="捕獲員でない" dataDxfId="16"/>
    <tableColumn id="86" xr3:uid="{35EF7277-04F1-483F-81E7-48777F8EAA4B}" name="西暦" dataDxfId="15">
      <calculatedColumnFormula>YEAR(TODAY())</calculatedColumnFormula>
    </tableColumn>
    <tableColumn id="87" xr3:uid="{9001A00B-C720-4F37-885C-E843453709E9}" name="和暦" dataDxfId="14">
      <calculatedColumnFormula>TEXT($CO2,"ggg")</calculatedColumnFormula>
    </tableColumn>
    <tableColumn id="88" xr3:uid="{64539D90-15E6-487C-8341-F0B9707BA585}" name="当号" dataDxfId="13">
      <calculatedColumnFormula>TEXT($CO2,"g")</calculatedColumnFormula>
    </tableColumn>
    <tableColumn id="89" xr3:uid="{D1FA87C4-4BF4-46B9-A021-8ED59CE065D9}" name="当年" dataDxfId="12">
      <calculatedColumnFormula>TEXT($CO2,"e")</calculatedColumnFormula>
    </tableColumn>
    <tableColumn id="90" xr3:uid="{34535B83-5CD0-4A71-A6EF-C6A6A8CB731F}" name="当月" dataDxfId="11">
      <calculatedColumnFormula>MONTH(TODAY())</calculatedColumnFormula>
    </tableColumn>
    <tableColumn id="91" xr3:uid="{E08B3FCD-BD69-44D8-8860-620FE2B758FD}" name="当日" dataDxfId="10">
      <calculatedColumnFormula>DAY(TODAY())</calculatedColumnFormula>
    </tableColumn>
    <tableColumn id="92" xr3:uid="{A9EBF4DC-8AE4-4654-88DC-3F7008C0D0AE}" name="職業" dataDxfId="9"/>
    <tableColumn id="93" xr3:uid="{4DE25956-1864-469D-820A-6139354A1C23}" name="TODAY" dataDxfId="8">
      <calculatedColumnFormula>TODAY()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157"/>
  <sheetViews>
    <sheetView tabSelected="1"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Y4" sqref="Y4"/>
    </sheetView>
  </sheetViews>
  <sheetFormatPr defaultColWidth="9" defaultRowHeight="14.25" x14ac:dyDescent="0.15"/>
  <cols>
    <col min="1" max="1" width="4.625" style="1" customWidth="1"/>
    <col min="2" max="2" width="18.625" style="1" customWidth="1"/>
    <col min="3" max="4" width="17.75" style="1" hidden="1" customWidth="1"/>
    <col min="5" max="5" width="3.625" style="1" customWidth="1"/>
    <col min="6" max="8" width="3.625" style="1" hidden="1" customWidth="1"/>
    <col min="9" max="13" width="3.75" style="1" hidden="1" customWidth="1"/>
    <col min="14" max="14" width="11.25" style="1" customWidth="1"/>
    <col min="15" max="15" width="14.625" style="1" customWidth="1"/>
    <col min="16" max="19" width="4.625" style="1" hidden="1" customWidth="1"/>
    <col min="20" max="20" width="14.625" style="1" customWidth="1"/>
    <col min="21" max="24" width="4.625" style="1" hidden="1" customWidth="1"/>
    <col min="25" max="25" width="10.625" style="1" customWidth="1"/>
    <col min="26" max="26" width="4.625" style="1" hidden="1" customWidth="1"/>
    <col min="27" max="27" width="3.625" style="1" hidden="1" customWidth="1"/>
    <col min="28" max="28" width="5.625" style="1" hidden="1" customWidth="1"/>
    <col min="29" max="29" width="30.875" style="2" bestFit="1" customWidth="1"/>
    <col min="30" max="30" width="13.625" style="2" customWidth="1"/>
    <col min="31" max="35" width="3.625" style="1" hidden="1" customWidth="1"/>
    <col min="36" max="36" width="3.625" style="2" hidden="1" customWidth="1"/>
    <col min="37" max="37" width="10.625" style="2" customWidth="1"/>
    <col min="38" max="38" width="8.625" style="2" hidden="1" customWidth="1"/>
    <col min="39" max="40" width="3.625" style="2" customWidth="1"/>
    <col min="41" max="41" width="19.75" style="2" hidden="1" customWidth="1"/>
    <col min="42" max="43" width="8.625" style="2" customWidth="1"/>
    <col min="44" max="44" width="3.625" style="2" customWidth="1"/>
    <col min="45" max="46" width="3.625" style="2" hidden="1" customWidth="1"/>
    <col min="47" max="50" width="3.625" style="1" hidden="1" customWidth="1"/>
    <col min="51" max="51" width="11.25" style="1" customWidth="1"/>
    <col min="52" max="52" width="8.625" style="2" hidden="1" customWidth="1"/>
    <col min="53" max="53" width="3.625" style="3" customWidth="1"/>
    <col min="54" max="54" width="3.625" style="2" customWidth="1"/>
    <col min="55" max="55" width="19.75" style="2" hidden="1" customWidth="1"/>
    <col min="56" max="57" width="8.625" style="2" customWidth="1"/>
    <col min="58" max="58" width="3.625" style="2" customWidth="1"/>
    <col min="59" max="63" width="3.625" style="1" hidden="1" customWidth="1"/>
    <col min="64" max="64" width="3.625" style="2" hidden="1" customWidth="1"/>
    <col min="65" max="65" width="10.625" style="1" customWidth="1"/>
    <col min="66" max="66" width="8.625" style="1" hidden="1" customWidth="1"/>
    <col min="67" max="68" width="3.625" style="1" customWidth="1"/>
    <col min="69" max="69" width="19.75" style="1" hidden="1" customWidth="1"/>
    <col min="70" max="71" width="8.625" style="1" customWidth="1"/>
    <col min="72" max="72" width="3.625" style="1" customWidth="1"/>
    <col min="73" max="78" width="3.75" style="1" hidden="1" customWidth="1"/>
    <col min="79" max="79" width="10.625" style="1" customWidth="1"/>
    <col min="80" max="85" width="3.625" style="2" customWidth="1"/>
    <col min="86" max="87" width="5.75" style="2" hidden="1" customWidth="1"/>
    <col min="88" max="88" width="3.75" style="1" hidden="1" customWidth="1"/>
    <col min="89" max="89" width="3.75" style="2" hidden="1" customWidth="1"/>
    <col min="90" max="90" width="3.75" style="1" hidden="1" customWidth="1"/>
    <col min="91" max="91" width="3.75" style="2" hidden="1" customWidth="1"/>
    <col min="92" max="92" width="9.5" style="2" bestFit="1" customWidth="1"/>
    <col min="93" max="93" width="11.625" style="2" hidden="1" customWidth="1"/>
    <col min="94" max="95" width="9" style="2" customWidth="1"/>
    <col min="96" max="16384" width="9" style="2"/>
  </cols>
  <sheetData>
    <row r="1" spans="1:93" ht="107.25" customHeight="1" x14ac:dyDescent="0.15">
      <c r="A1" s="7" t="s">
        <v>13</v>
      </c>
      <c r="B1" s="5" t="s">
        <v>1</v>
      </c>
      <c r="C1" s="4" t="s">
        <v>14</v>
      </c>
      <c r="D1" s="116" t="s">
        <v>15</v>
      </c>
      <c r="E1" s="117" t="s">
        <v>16</v>
      </c>
      <c r="F1" s="6" t="s">
        <v>155</v>
      </c>
      <c r="G1" s="6" t="s">
        <v>156</v>
      </c>
      <c r="H1" s="118" t="s">
        <v>157</v>
      </c>
      <c r="I1" s="118" t="s">
        <v>158</v>
      </c>
      <c r="J1" s="119" t="s">
        <v>159</v>
      </c>
      <c r="K1" s="119" t="s">
        <v>160</v>
      </c>
      <c r="L1" s="120" t="s">
        <v>161</v>
      </c>
      <c r="M1" s="119" t="s">
        <v>162</v>
      </c>
      <c r="N1" s="117" t="s">
        <v>3</v>
      </c>
      <c r="O1" s="117" t="s">
        <v>17</v>
      </c>
      <c r="P1" s="5" t="s">
        <v>168</v>
      </c>
      <c r="Q1" s="121" t="s">
        <v>179</v>
      </c>
      <c r="R1" s="121" t="s">
        <v>169</v>
      </c>
      <c r="S1" s="7" t="s">
        <v>18</v>
      </c>
      <c r="T1" s="4" t="s">
        <v>19</v>
      </c>
      <c r="U1" s="5" t="s">
        <v>20</v>
      </c>
      <c r="V1" s="121" t="s">
        <v>180</v>
      </c>
      <c r="W1" s="121" t="s">
        <v>21</v>
      </c>
      <c r="X1" s="7" t="s">
        <v>22</v>
      </c>
      <c r="Y1" s="4" t="s">
        <v>23</v>
      </c>
      <c r="Z1" s="5" t="s">
        <v>24</v>
      </c>
      <c r="AA1" s="121" t="s">
        <v>181</v>
      </c>
      <c r="AB1" s="7" t="s">
        <v>25</v>
      </c>
      <c r="AC1" s="121" t="s">
        <v>216</v>
      </c>
      <c r="AD1" s="6" t="s">
        <v>26</v>
      </c>
      <c r="AE1" s="119" t="s">
        <v>170</v>
      </c>
      <c r="AF1" s="119" t="s">
        <v>171</v>
      </c>
      <c r="AG1" s="119" t="s">
        <v>27</v>
      </c>
      <c r="AH1" s="119" t="s">
        <v>28</v>
      </c>
      <c r="AI1" s="119" t="s">
        <v>29</v>
      </c>
      <c r="AJ1" s="119" t="s">
        <v>30</v>
      </c>
      <c r="AK1" s="117" t="s">
        <v>31</v>
      </c>
      <c r="AL1" s="118" t="s">
        <v>172</v>
      </c>
      <c r="AM1" s="118" t="s">
        <v>32</v>
      </c>
      <c r="AN1" s="6" t="s">
        <v>33</v>
      </c>
      <c r="AO1" s="121" t="s">
        <v>34</v>
      </c>
      <c r="AP1" s="122" t="s">
        <v>35</v>
      </c>
      <c r="AQ1" s="121" t="s">
        <v>167</v>
      </c>
      <c r="AR1" s="123" t="s">
        <v>251</v>
      </c>
      <c r="AS1" s="119" t="s">
        <v>173</v>
      </c>
      <c r="AT1" s="119" t="s">
        <v>174</v>
      </c>
      <c r="AU1" s="119" t="s">
        <v>36</v>
      </c>
      <c r="AV1" s="119" t="s">
        <v>37</v>
      </c>
      <c r="AW1" s="119" t="s">
        <v>38</v>
      </c>
      <c r="AX1" s="119" t="s">
        <v>39</v>
      </c>
      <c r="AY1" s="117" t="s">
        <v>217</v>
      </c>
      <c r="AZ1" s="118" t="s">
        <v>175</v>
      </c>
      <c r="BA1" s="6" t="s">
        <v>40</v>
      </c>
      <c r="BB1" s="6" t="s">
        <v>41</v>
      </c>
      <c r="BC1" s="121" t="s">
        <v>42</v>
      </c>
      <c r="BD1" s="122" t="s">
        <v>43</v>
      </c>
      <c r="BE1" s="121" t="s">
        <v>166</v>
      </c>
      <c r="BF1" s="123" t="s">
        <v>252</v>
      </c>
      <c r="BG1" s="119" t="s">
        <v>176</v>
      </c>
      <c r="BH1" s="119" t="s">
        <v>177</v>
      </c>
      <c r="BI1" s="119" t="s">
        <v>44</v>
      </c>
      <c r="BJ1" s="119" t="s">
        <v>45</v>
      </c>
      <c r="BK1" s="119" t="s">
        <v>46</v>
      </c>
      <c r="BL1" s="119" t="s">
        <v>47</v>
      </c>
      <c r="BM1" s="117" t="s">
        <v>48</v>
      </c>
      <c r="BN1" s="118" t="s">
        <v>195</v>
      </c>
      <c r="BO1" s="6" t="s">
        <v>196</v>
      </c>
      <c r="BP1" s="6" t="s">
        <v>197</v>
      </c>
      <c r="BQ1" s="121" t="s">
        <v>198</v>
      </c>
      <c r="BR1" s="122" t="s">
        <v>199</v>
      </c>
      <c r="BS1" s="121" t="s">
        <v>200</v>
      </c>
      <c r="BT1" s="123" t="s">
        <v>253</v>
      </c>
      <c r="BU1" s="119" t="s">
        <v>201</v>
      </c>
      <c r="BV1" s="119" t="s">
        <v>202</v>
      </c>
      <c r="BW1" s="119" t="s">
        <v>203</v>
      </c>
      <c r="BX1" s="119" t="s">
        <v>204</v>
      </c>
      <c r="BY1" s="119" t="s">
        <v>205</v>
      </c>
      <c r="BZ1" s="119" t="s">
        <v>206</v>
      </c>
      <c r="CA1" s="117" t="s">
        <v>207</v>
      </c>
      <c r="CB1" s="118" t="s">
        <v>49</v>
      </c>
      <c r="CC1" s="117" t="s">
        <v>50</v>
      </c>
      <c r="CD1" s="116" t="s">
        <v>51</v>
      </c>
      <c r="CE1" s="124" t="s">
        <v>52</v>
      </c>
      <c r="CF1" s="125" t="s">
        <v>53</v>
      </c>
      <c r="CG1" s="126" t="s">
        <v>54</v>
      </c>
      <c r="CH1" s="120" t="s">
        <v>55</v>
      </c>
      <c r="CI1" s="1" t="s">
        <v>56</v>
      </c>
      <c r="CJ1" s="120" t="s">
        <v>57</v>
      </c>
      <c r="CK1" s="120" t="s">
        <v>58</v>
      </c>
      <c r="CL1" s="120" t="s">
        <v>59</v>
      </c>
      <c r="CM1" s="127" t="s">
        <v>60</v>
      </c>
      <c r="CN1" s="128" t="s">
        <v>163</v>
      </c>
      <c r="CO1" s="1" t="s">
        <v>61</v>
      </c>
    </row>
    <row r="2" spans="1:93" ht="20.100000000000001" customHeight="1" x14ac:dyDescent="0.15">
      <c r="A2" s="7">
        <f>IF(B2="","",ROW()-ROW(会員表[#Headers]))</f>
        <v>1</v>
      </c>
      <c r="B2" s="4" t="s" ph="1">
        <v>229</v>
      </c>
      <c r="C2" s="4" t="str" cm="1">
        <f t="array" ref="C2">_xlfn.LET(_xlpm.s,PHONETIC(B2),_xlpm.c,_xlfn.UNICODE(MID(_xlpm.s,_xlfn.SEQUENCE(LEN(_xlpm.s)),1)),IF(_xlpm.s="","",_xlfn.CONCAT(_xlfn.UNICHAR(_xlpm.c-96*(_xlpm.c&gt;=12449)*(_xlpm.c&lt;=12534)))))</f>
        <v>みほん　たろう</v>
      </c>
      <c r="D2" s="4" t="str" cm="1">
        <f t="array" ref="D2">_xlfn.LET(_xlpm.s,PHONETIC(B2),_xlpm.c,_xlfn.UNICODE(MID(_xlpm.s,_xlfn.SEQUENCE(LEN(_xlpm.s)),1)),IF(_xlpm.s="","",_xlfn.CONCAT(_xlfn.UNICHAR(_xlpm.c+96*(_xlpm.c&gt;=12353)*(_xlpm.c&lt;=12438)))))</f>
        <v>ミホン　タロウ</v>
      </c>
      <c r="E2" s="129">
        <f t="shared" ref="E2:E33" ca="1" si="0">IF(N2="","",DATEDIF(N2,TODAY(),"Y"))</f>
        <v>61</v>
      </c>
      <c r="F2" s="130" t="str">
        <f t="shared" ref="F2:F33" si="1">IF(I2="昭","〇","")</f>
        <v>〇</v>
      </c>
      <c r="G2" s="130" t="str">
        <f t="shared" ref="G2:G33" si="2">IF(I2="平","〇","")</f>
        <v/>
      </c>
      <c r="H2" s="130" t="str">
        <f t="shared" ref="H2:H33" si="3">IF(I2="令","〇","")</f>
        <v/>
      </c>
      <c r="I2" s="131" t="str">
        <f t="shared" ref="I2:I33" si="4">IF($N2="","",TEXT($N2,"gg"))</f>
        <v>昭</v>
      </c>
      <c r="J2" s="132" t="str">
        <f t="shared" ref="J2:J33" si="5">IF($N2="","",TEXT($N2,"ggg"))</f>
        <v>昭和</v>
      </c>
      <c r="K2" s="121" t="str">
        <f t="shared" ref="K2:K33" si="6">IF($N2="","",TEXT($N2,"e"))</f>
        <v>40</v>
      </c>
      <c r="L2" s="129" t="str">
        <f t="shared" ref="L2:L33" si="7">IF($N2="","",TEXT($N2,"m"))</f>
        <v>4</v>
      </c>
      <c r="M2" s="7" t="str">
        <f t="shared" ref="M2:M33" si="8">IF($N2="","",TEXT($N2,"d"))</f>
        <v>1</v>
      </c>
      <c r="N2" s="133">
        <v>23833</v>
      </c>
      <c r="O2" s="80" t="s">
        <v>222</v>
      </c>
      <c r="P2" s="81" t="str">
        <f t="shared" ref="P2:P33" si="9">IFERROR(LEFT(O2,FIND("-",O2)-1),"")</f>
        <v>090</v>
      </c>
      <c r="Q2" s="134" t="str">
        <f t="shared" ref="Q2:Q33" si="10">IFERROR(RIGHT(O2,LEN(O2)-FIND("-",O2)),"")</f>
        <v>0000-0001</v>
      </c>
      <c r="R2" s="134" t="str">
        <f t="shared" ref="R2:R33" si="11">IFERROR(LEFT(Q2,FIND("-",Q2)-1),"")</f>
        <v>0000</v>
      </c>
      <c r="S2" s="135" t="str">
        <f t="shared" ref="S2:S33" si="12">IFERROR(RIGHT(Q2,LEN(Q2)-FIND("-",Q2)),"")</f>
        <v>0001</v>
      </c>
      <c r="T2" s="81" t="s">
        <v>223</v>
      </c>
      <c r="U2" s="5" t="str">
        <f t="shared" ref="U2:U33" si="13">IFERROR(LEFT(T2,FIND("-",T2)-1),"")</f>
        <v>000</v>
      </c>
      <c r="V2" s="121" t="str">
        <f t="shared" ref="V2:V33" si="14">IFERROR(RIGHT(T2,LEN(T2)-FIND("-",T2)),"")</f>
        <v>000-0001</v>
      </c>
      <c r="W2" s="121" t="str">
        <f t="shared" ref="W2:W33" si="15">IFERROR(LEFT(V2,FIND("-",V2)-1),"")</f>
        <v>000</v>
      </c>
      <c r="X2" s="7" t="str">
        <f t="shared" ref="X2:X33" si="16">IFERROR(RIGHT(V2,LEN(V2)-FIND("-",V2)),"")</f>
        <v>0001</v>
      </c>
      <c r="Y2" s="136" t="s">
        <v>224</v>
      </c>
      <c r="Z2" s="5" t="str">
        <f t="shared" ref="Z2:Z33" si="17">IF(Y2="","",LEFT(SUBSTITUTE(ASC(Y2),"-",""),3))</f>
        <v>000</v>
      </c>
      <c r="AA2" s="137" t="s">
        <v>183</v>
      </c>
      <c r="AB2" s="7" t="str">
        <f t="shared" ref="AB2:AB33" si="18">IF(Y2="","",MID(SUBSTITUTE(ASC(Y2),"-",""),4,4))</f>
        <v>0001</v>
      </c>
      <c r="AC2" s="9" t="s">
        <v>225</v>
      </c>
      <c r="AD2" s="4">
        <v>12345678901</v>
      </c>
      <c r="AE2" s="138" t="str">
        <f t="shared" ref="AE2:AE33" si="19">IF(AK2="","",TEXT($AK2,"ggg"))</f>
        <v>令和</v>
      </c>
      <c r="AF2" s="139" t="str">
        <f t="shared" ref="AF2:AF33" si="20">IF(AK2="","",TEXT($AK2,"gg"))</f>
        <v>令</v>
      </c>
      <c r="AG2" s="139" t="str">
        <f t="shared" ref="AG2:AG33" si="21">IF(AK2="","",TEXT($AK2,"g"))</f>
        <v>R</v>
      </c>
      <c r="AH2" s="139" t="str">
        <f t="shared" ref="AH2:AH33" si="22">IF(AK2="","",TEXT($AK2,"e"))</f>
        <v>4</v>
      </c>
      <c r="AI2" s="139" t="str">
        <f t="shared" ref="AI2:AI33" si="23">IF(AK2="","",TEXT($AK2,"m"))</f>
        <v>5</v>
      </c>
      <c r="AJ2" s="140" t="str">
        <f t="shared" ref="AJ2:AJ33" si="24">IF(AK2="","",TEXT($AK2,"d"))</f>
        <v>20</v>
      </c>
      <c r="AK2" s="8">
        <v>44701</v>
      </c>
      <c r="AL2" s="8" t="str">
        <f>IF(AM2="","",IF(各種設定金額!$B$7="","○○県",各種設定金額!$B$7))</f>
        <v>○○県</v>
      </c>
      <c r="AM2" s="4" t="s">
        <v>62</v>
      </c>
      <c r="AN2" s="4" t="s">
        <v>62</v>
      </c>
      <c r="AO2" s="141" t="str">
        <f t="shared" ref="AO2:AO33" si="25">IF(TRIM(AQ2)="","",AP2&amp;AQ2&amp;AR2)</f>
        <v>第 ○○ 1234561 号</v>
      </c>
      <c r="AP2" s="10" t="s">
        <v>226</v>
      </c>
      <c r="AQ2" s="129">
        <v>1234561</v>
      </c>
      <c r="AR2" s="142" t="s">
        <v>182</v>
      </c>
      <c r="AS2" s="131" t="str">
        <f t="shared" ref="AS2:AS33" si="26">IF(AY2="","",TEXT($AY2,"ggg"))</f>
        <v>令和</v>
      </c>
      <c r="AT2" s="132" t="str">
        <f t="shared" ref="AT2:AT33" si="27">IF(AY2="","",TEXT($AY2,"gg"))</f>
        <v>令</v>
      </c>
      <c r="AU2" s="132" t="str">
        <f t="shared" ref="AU2:AU33" si="28">IF(AY2="","",TEXT($AY2,"g"))</f>
        <v>R</v>
      </c>
      <c r="AV2" s="132" t="str">
        <f t="shared" ref="AV2:AV33" si="29">IF(AY2="","",TEXT($AY2,"e"))</f>
        <v>6</v>
      </c>
      <c r="AW2" s="132" t="str">
        <f t="shared" ref="AW2:AW33" si="30">IF(AY2="","",TEXT($AY2,"m"))</f>
        <v>6</v>
      </c>
      <c r="AX2" s="143" t="str">
        <f t="shared" ref="AX2:AX33" si="31">IF(AY2="","",TEXT($AY2,"d"))</f>
        <v>10</v>
      </c>
      <c r="AY2" s="144">
        <v>45453</v>
      </c>
      <c r="AZ2" s="8" t="str">
        <f>IF(BA2="","",IF(各種設定金額!$B$7="","○○県",各種設定金額!$B$7))</f>
        <v>○○県</v>
      </c>
      <c r="BA2" s="6" t="s">
        <v>62</v>
      </c>
      <c r="BB2" s="4" t="s">
        <v>62</v>
      </c>
      <c r="BC2" s="141" t="str">
        <f t="shared" ref="BC2:BC33" si="32">IF(TRIM(BE2)="","",BD2&amp;BE2&amp;BF2)</f>
        <v>第 ○○ 2234561 号</v>
      </c>
      <c r="BD2" s="10" t="s">
        <v>226</v>
      </c>
      <c r="BE2" s="129">
        <v>2234561</v>
      </c>
      <c r="BF2" s="145" t="s">
        <v>63</v>
      </c>
      <c r="BG2" s="131" t="str">
        <f t="shared" ref="BG2:BG33" si="33">IF(BM2="","",TEXT($BM2,"ggg"))</f>
        <v>令和</v>
      </c>
      <c r="BH2" s="132" t="str">
        <f t="shared" ref="BH2:BH33" si="34">IF(BM2="","",TEXT($BM2,"gg"))</f>
        <v>令</v>
      </c>
      <c r="BI2" s="132" t="str">
        <f t="shared" ref="BI2:BI33" si="35">IF(BM2="","",TEXT($BM2,"g"))</f>
        <v>R</v>
      </c>
      <c r="BJ2" s="132" t="str">
        <f t="shared" ref="BJ2:BJ33" si="36">IF(BM2="","",TEXT($BM2,"e"))</f>
        <v>6</v>
      </c>
      <c r="BK2" s="132" t="str">
        <f t="shared" ref="BK2:BK33" si="37">IF(BM2="","",TEXT($BM2,"m"))</f>
        <v>6</v>
      </c>
      <c r="BL2" s="132" t="str">
        <f t="shared" ref="BL2:BL33" si="38">IF(BM2="","",TEXT($BM2,"d"))</f>
        <v>10</v>
      </c>
      <c r="BM2" s="146">
        <v>45453</v>
      </c>
      <c r="BN2" s="8" t="str">
        <f>IF(BO2="","",IF(各種設定金額!$B$7="","○○県",各種設定金額!$B$7))</f>
        <v/>
      </c>
      <c r="BO2" s="6"/>
      <c r="BP2" s="4"/>
      <c r="BQ2" s="141" t="str">
        <f t="shared" ref="BQ2:BQ33" si="39">IF(TRIM(BS2)="","",BR2&amp;BS2&amp;BT2)</f>
        <v/>
      </c>
      <c r="BR2" s="10"/>
      <c r="BS2" s="129"/>
      <c r="BT2" s="145" t="s">
        <v>63</v>
      </c>
      <c r="BU2" s="131" t="str">
        <f t="shared" ref="BU2:BU33" si="40">IF(CA2="","",TEXT($CA2,"ggg"))</f>
        <v/>
      </c>
      <c r="BV2" s="132" t="str">
        <f t="shared" ref="BV2:BV33" si="41">IF(CA2="","",TEXT($CA2,"gg"))</f>
        <v/>
      </c>
      <c r="BW2" s="132" t="str">
        <f t="shared" ref="BW2:BW33" si="42">IF(CA2="","",TEXT($CA2,"g"))</f>
        <v/>
      </c>
      <c r="BX2" s="132" t="str">
        <f t="shared" ref="BX2:BX33" si="43">IF(CA2="","",TEXT($CA2,"e"))</f>
        <v/>
      </c>
      <c r="BY2" s="132" t="str">
        <f t="shared" ref="BY2:BY33" si="44">IF(CA2="","",TEXT($CA2,"m"))</f>
        <v/>
      </c>
      <c r="BZ2" s="132" t="str">
        <f t="shared" ref="BZ2:BZ33" si="45">IF(CA2="","",TEXT($CA2,"d"))</f>
        <v/>
      </c>
      <c r="CA2" s="146"/>
      <c r="CB2" s="10" t="str">
        <f t="shared" ref="CB2:CB33" si="46">IF(COUNT(AY2,BM2,CA2)=0,"",TEXT(DATE(YEAR(MIN(AY2,BM2,CA2))+3,9,14),"g"))</f>
        <v>R</v>
      </c>
      <c r="CC2" s="7">
        <f t="shared" ref="CC2:CC33" si="47">IF(COUNT(AY2,BM2,CA2)=0,"",VALUE(TEXT(DATE(YEAR(MIN(AY2,BM2,CA2))+3,9,14),"e")))</f>
        <v>9</v>
      </c>
      <c r="CD2" s="147" t="s">
        <v>227</v>
      </c>
      <c r="CE2" s="147"/>
      <c r="CF2" s="6"/>
      <c r="CG2" s="4" t="s">
        <v>62</v>
      </c>
      <c r="CH2" s="148">
        <f t="shared" ref="CH2:CH33" ca="1" si="48">YEAR(TODAY())</f>
        <v>2026</v>
      </c>
      <c r="CI2" s="121" t="str">
        <f t="shared" ref="CI2:CI33" ca="1" si="49">TEXT($CO2,"ggg")</f>
        <v>令和</v>
      </c>
      <c r="CJ2" s="122" t="str">
        <f t="shared" ref="CJ2:CJ33" ca="1" si="50">TEXT($CO2,"g")</f>
        <v>R</v>
      </c>
      <c r="CK2" s="122" t="str">
        <f t="shared" ref="CK2:CK33" ca="1" si="51">TEXT($CO2,"e")</f>
        <v>8</v>
      </c>
      <c r="CL2" s="122">
        <f t="shared" ref="CL2:CL33" ca="1" si="52">MONTH(TODAY())</f>
        <v>10</v>
      </c>
      <c r="CM2" s="149">
        <f t="shared" ref="CM2:CM33" ca="1" si="53">DAY(TODAY())</f>
        <v>24</v>
      </c>
      <c r="CN2" s="1" t="s">
        <v>228</v>
      </c>
      <c r="CO2" s="150">
        <f t="shared" ref="CO2:CO33" ca="1" si="54">TODAY()</f>
        <v>46319</v>
      </c>
    </row>
    <row r="3" spans="1:93" ht="20.100000000000001" customHeight="1" x14ac:dyDescent="0.15">
      <c r="A3" s="7">
        <f>IF(B3="","",ROW()-ROW(会員表[#Headers]))</f>
        <v>2</v>
      </c>
      <c r="B3" s="4" t="s" ph="1">
        <v>234</v>
      </c>
      <c r="C3" s="4" t="str" cm="1">
        <f t="array" ref="C3">_xlfn.LET(_xlpm.s,PHONETIC(B3),_xlpm.c,_xlfn.UNICODE(MID(_xlpm.s,_xlfn.SEQUENCE(LEN(_xlpm.s)),1)),IF(_xlpm.s="","",_xlfn.CONCAT(_xlfn.UNICHAR(_xlpm.c-96*(_xlpm.c&gt;=12449)*(_xlpm.c&lt;=12534)))))</f>
        <v>れいじ　はなこ</v>
      </c>
      <c r="D3" s="4" t="str" cm="1">
        <f t="array" ref="D3">_xlfn.LET(_xlpm.s,PHONETIC(B3),_xlpm.c,_xlfn.UNICODE(MID(_xlpm.s,_xlfn.SEQUENCE(LEN(_xlpm.s)),1)),IF(_xlpm.s="","",_xlfn.CONCAT(_xlfn.UNICHAR(_xlpm.c+96*(_xlpm.c&gt;=12353)*(_xlpm.c&lt;=12438)))))</f>
        <v>レイジ　ハナコ</v>
      </c>
      <c r="E3" s="129">
        <f t="shared" ca="1" si="0"/>
        <v>46</v>
      </c>
      <c r="F3" s="130" t="str">
        <f t="shared" si="1"/>
        <v>〇</v>
      </c>
      <c r="G3" s="130" t="str">
        <f t="shared" si="2"/>
        <v/>
      </c>
      <c r="H3" s="130" t="str">
        <f t="shared" si="3"/>
        <v/>
      </c>
      <c r="I3" s="131" t="str">
        <f t="shared" si="4"/>
        <v>昭</v>
      </c>
      <c r="J3" s="132" t="str">
        <f t="shared" si="5"/>
        <v>昭和</v>
      </c>
      <c r="K3" s="121" t="str">
        <f t="shared" si="6"/>
        <v>55</v>
      </c>
      <c r="L3" s="129" t="str">
        <f t="shared" si="7"/>
        <v>7</v>
      </c>
      <c r="M3" s="7" t="str">
        <f t="shared" si="8"/>
        <v>15</v>
      </c>
      <c r="N3" s="133">
        <v>29417</v>
      </c>
      <c r="O3" s="8" t="s">
        <v>230</v>
      </c>
      <c r="P3" s="5" t="str">
        <f t="shared" si="9"/>
        <v>080</v>
      </c>
      <c r="Q3" s="121" t="str">
        <f t="shared" si="10"/>
        <v>0000-0002</v>
      </c>
      <c r="R3" s="121" t="str">
        <f t="shared" si="11"/>
        <v>0000</v>
      </c>
      <c r="S3" s="7" t="str">
        <f t="shared" si="12"/>
        <v>0002</v>
      </c>
      <c r="T3" s="5"/>
      <c r="U3" s="5" t="str">
        <f t="shared" si="13"/>
        <v/>
      </c>
      <c r="V3" s="121" t="str">
        <f t="shared" si="14"/>
        <v/>
      </c>
      <c r="W3" s="121" t="str">
        <f t="shared" si="15"/>
        <v/>
      </c>
      <c r="X3" s="7" t="str">
        <f t="shared" si="16"/>
        <v/>
      </c>
      <c r="Y3" s="136" t="s">
        <v>231</v>
      </c>
      <c r="Z3" s="5" t="str">
        <f t="shared" si="17"/>
        <v>000</v>
      </c>
      <c r="AA3" s="137" t="s">
        <v>183</v>
      </c>
      <c r="AB3" s="7" t="str">
        <f t="shared" si="18"/>
        <v>0002</v>
      </c>
      <c r="AC3" s="9" t="s">
        <v>232</v>
      </c>
      <c r="AD3" s="4"/>
      <c r="AE3" s="138" t="str">
        <f t="shared" si="19"/>
        <v/>
      </c>
      <c r="AF3" s="139" t="str">
        <f t="shared" si="20"/>
        <v/>
      </c>
      <c r="AG3" s="139" t="str">
        <f t="shared" si="21"/>
        <v/>
      </c>
      <c r="AH3" s="139" t="str">
        <f t="shared" si="22"/>
        <v/>
      </c>
      <c r="AI3" s="139" t="str">
        <f t="shared" si="23"/>
        <v/>
      </c>
      <c r="AJ3" s="140" t="str">
        <f t="shared" si="24"/>
        <v/>
      </c>
      <c r="AK3" s="8"/>
      <c r="AL3" s="8" t="str">
        <f>IF(AM3="","",IF(各種設定金額!$B$7="","○○県",各種設定金額!$B$7))</f>
        <v/>
      </c>
      <c r="AM3" s="4"/>
      <c r="AN3" s="4"/>
      <c r="AO3" s="141" t="str">
        <f t="shared" si="25"/>
        <v/>
      </c>
      <c r="AP3" s="10"/>
      <c r="AQ3" s="129"/>
      <c r="AR3" s="142" t="s">
        <v>182</v>
      </c>
      <c r="AS3" s="131" t="str">
        <f t="shared" si="26"/>
        <v/>
      </c>
      <c r="AT3" s="132" t="str">
        <f t="shared" si="27"/>
        <v/>
      </c>
      <c r="AU3" s="132" t="str">
        <f t="shared" si="28"/>
        <v/>
      </c>
      <c r="AV3" s="132" t="str">
        <f t="shared" si="29"/>
        <v/>
      </c>
      <c r="AW3" s="132" t="str">
        <f t="shared" si="30"/>
        <v/>
      </c>
      <c r="AX3" s="143" t="str">
        <f t="shared" si="31"/>
        <v/>
      </c>
      <c r="AY3" s="144"/>
      <c r="AZ3" s="8" t="str">
        <f>IF(BA3="","",IF(各種設定金額!$B$7="","○○県",各種設定金額!$B$7))</f>
        <v>○○県</v>
      </c>
      <c r="BA3" s="4" t="s">
        <v>62</v>
      </c>
      <c r="BB3" s="4" t="s">
        <v>62</v>
      </c>
      <c r="BC3" s="141" t="str">
        <f t="shared" si="32"/>
        <v>第 ○○ 2234562 号</v>
      </c>
      <c r="BD3" s="10" t="s">
        <v>226</v>
      </c>
      <c r="BE3" s="129">
        <v>2234562</v>
      </c>
      <c r="BF3" s="145" t="s">
        <v>63</v>
      </c>
      <c r="BG3" s="131" t="str">
        <f t="shared" si="33"/>
        <v>令和</v>
      </c>
      <c r="BH3" s="132" t="str">
        <f t="shared" si="34"/>
        <v>令</v>
      </c>
      <c r="BI3" s="132" t="str">
        <f t="shared" si="35"/>
        <v>R</v>
      </c>
      <c r="BJ3" s="132" t="str">
        <f t="shared" si="36"/>
        <v>5</v>
      </c>
      <c r="BK3" s="132" t="str">
        <f t="shared" si="37"/>
        <v>8</v>
      </c>
      <c r="BL3" s="132" t="str">
        <f t="shared" si="38"/>
        <v>1</v>
      </c>
      <c r="BM3" s="146">
        <v>45139</v>
      </c>
      <c r="BN3" s="8" t="str">
        <f>IF(BO3="","",IF(各種設定金額!$B$7="","○○県",各種設定金額!$B$7))</f>
        <v/>
      </c>
      <c r="BO3" s="4"/>
      <c r="BP3" s="4"/>
      <c r="BQ3" s="141" t="str">
        <f t="shared" si="39"/>
        <v/>
      </c>
      <c r="BR3" s="10"/>
      <c r="BS3" s="129"/>
      <c r="BT3" s="145" t="s">
        <v>63</v>
      </c>
      <c r="BU3" s="131" t="str">
        <f t="shared" si="40"/>
        <v/>
      </c>
      <c r="BV3" s="132" t="str">
        <f t="shared" si="41"/>
        <v/>
      </c>
      <c r="BW3" s="132" t="str">
        <f t="shared" si="42"/>
        <v/>
      </c>
      <c r="BX3" s="132" t="str">
        <f t="shared" si="43"/>
        <v/>
      </c>
      <c r="BY3" s="132" t="str">
        <f t="shared" si="44"/>
        <v/>
      </c>
      <c r="BZ3" s="132" t="str">
        <f t="shared" si="45"/>
        <v/>
      </c>
      <c r="CA3" s="146"/>
      <c r="CB3" s="10" t="str">
        <f t="shared" si="46"/>
        <v>R</v>
      </c>
      <c r="CC3" s="7">
        <f t="shared" si="47"/>
        <v>8</v>
      </c>
      <c r="CD3" s="147"/>
      <c r="CE3" s="147" t="s">
        <v>227</v>
      </c>
      <c r="CF3" s="6"/>
      <c r="CG3" s="4" t="s">
        <v>62</v>
      </c>
      <c r="CH3" s="148">
        <f t="shared" ca="1" si="48"/>
        <v>2026</v>
      </c>
      <c r="CI3" s="121" t="str">
        <f t="shared" ca="1" si="49"/>
        <v>令和</v>
      </c>
      <c r="CJ3" s="122" t="str">
        <f t="shared" ca="1" si="50"/>
        <v>R</v>
      </c>
      <c r="CK3" s="122" t="str">
        <f t="shared" ca="1" si="51"/>
        <v>8</v>
      </c>
      <c r="CL3" s="122">
        <f t="shared" ca="1" si="52"/>
        <v>10</v>
      </c>
      <c r="CM3" s="149">
        <f t="shared" ca="1" si="53"/>
        <v>24</v>
      </c>
      <c r="CN3" s="1" t="s">
        <v>233</v>
      </c>
      <c r="CO3" s="150">
        <f t="shared" ca="1" si="54"/>
        <v>46319</v>
      </c>
    </row>
    <row r="4" spans="1:93" ht="20.100000000000001" customHeight="1" x14ac:dyDescent="0.15">
      <c r="A4" s="7">
        <f>IF(B4="","",ROW()-ROW(会員表[#Headers]))</f>
        <v>3</v>
      </c>
      <c r="B4" s="4" t="s" ph="1">
        <v>239</v>
      </c>
      <c r="C4" s="4" t="str" cm="1">
        <f t="array" ref="C4">_xlfn.LET(_xlpm.s,PHONETIC(B4),_xlpm.c,_xlfn.UNICODE(MID(_xlpm.s,_xlfn.SEQUENCE(LEN(_xlpm.s)),1)),IF(_xlpm.s="","",_xlfn.CONCAT(_xlfn.UNICHAR(_xlpm.c-96*(_xlpm.c&gt;=12449)*(_xlpm.c&lt;=12534)))))</f>
        <v>きにゅう　じろう</v>
      </c>
      <c r="D4" s="4" t="str" cm="1">
        <f t="array" ref="D4">_xlfn.LET(_xlpm.s,PHONETIC(B4),_xlpm.c,_xlfn.UNICODE(MID(_xlpm.s,_xlfn.SEQUENCE(LEN(_xlpm.s)),1)),IF(_xlpm.s="","",_xlfn.CONCAT(_xlfn.UNICHAR(_xlpm.c+96*(_xlpm.c&gt;=12353)*(_xlpm.c&lt;=12438)))))</f>
        <v>キニュウ　ジロウ</v>
      </c>
      <c r="E4" s="129">
        <f ca="1">IF(N4="","",DATEDIF(N4,TODAY(),"Y"))</f>
        <v>67</v>
      </c>
      <c r="F4" s="130" t="str">
        <f>IF(I4="昭","〇","")</f>
        <v>〇</v>
      </c>
      <c r="G4" s="130" t="str">
        <f>IF(I4="平","〇","")</f>
        <v/>
      </c>
      <c r="H4" s="130" t="str">
        <f>IF(I4="令","〇","")</f>
        <v/>
      </c>
      <c r="I4" s="131" t="str">
        <f>IF($N4="","",TEXT($N4,"gg"))</f>
        <v>昭</v>
      </c>
      <c r="J4" s="132" t="str">
        <f>IF($N4="","",TEXT($N4,"ggg"))</f>
        <v>昭和</v>
      </c>
      <c r="K4" s="121" t="str">
        <f>IF($N4="","",TEXT($N4,"e"))</f>
        <v>33</v>
      </c>
      <c r="L4" s="129" t="str">
        <f>IF($N4="","",TEXT($N4,"m"))</f>
        <v>11</v>
      </c>
      <c r="M4" s="7" t="str">
        <f>IF($N4="","",TEXT($N4,"d"))</f>
        <v>20</v>
      </c>
      <c r="N4" s="133">
        <v>21509</v>
      </c>
      <c r="O4" s="8" t="s">
        <v>235</v>
      </c>
      <c r="P4" s="5" t="str">
        <f>IFERROR(LEFT(O4,FIND("-",O4)-1),"")</f>
        <v>070</v>
      </c>
      <c r="Q4" s="121" t="str">
        <f>IFERROR(RIGHT(O4,LEN(O4)-FIND("-",O4)),"")</f>
        <v>0000-0003</v>
      </c>
      <c r="R4" s="121" t="str">
        <f>IFERROR(LEFT(Q4,FIND("-",Q4)-1),"")</f>
        <v>0000</v>
      </c>
      <c r="S4" s="7" t="str">
        <f>IFERROR(RIGHT(Q4,LEN(Q4)-FIND("-",Q4)),"")</f>
        <v>0003</v>
      </c>
      <c r="T4" s="5"/>
      <c r="U4" s="5" t="str">
        <f>IFERROR(LEFT(T4,FIND("-",T4)-1),"")</f>
        <v/>
      </c>
      <c r="V4" s="121" t="str">
        <f>IFERROR(RIGHT(T4,LEN(T4)-FIND("-",T4)),"")</f>
        <v/>
      </c>
      <c r="W4" s="121" t="str">
        <f>IFERROR(LEFT(V4,FIND("-",V4)-1),"")</f>
        <v/>
      </c>
      <c r="X4" s="7" t="str">
        <f>IFERROR(RIGHT(V4,LEN(V4)-FIND("-",V4)),"")</f>
        <v/>
      </c>
      <c r="Y4" s="136" t="s">
        <v>236</v>
      </c>
      <c r="Z4" s="5" t="str">
        <f>IF(Y4="","",LEFT(SUBSTITUTE(ASC(Y4),"-",""),3))</f>
        <v>000</v>
      </c>
      <c r="AA4" s="137" t="s">
        <v>183</v>
      </c>
      <c r="AB4" s="7" t="str">
        <f>IF(Y4="","",MID(SUBSTITUTE(ASC(Y4),"-",""),4,4))</f>
        <v>0003</v>
      </c>
      <c r="AC4" s="9" t="s">
        <v>237</v>
      </c>
      <c r="AD4" s="4">
        <v>12345678903</v>
      </c>
      <c r="AE4" s="138" t="str">
        <f>IF(AK4="","",TEXT($AK4,"ggg"))</f>
        <v>令和</v>
      </c>
      <c r="AF4" s="139" t="str">
        <f>IF(AK4="","",TEXT($AK4,"gg"))</f>
        <v>令</v>
      </c>
      <c r="AG4" s="139" t="str">
        <f>IF(AK4="","",TEXT($AK4,"g"))</f>
        <v>R</v>
      </c>
      <c r="AH4" s="139" t="str">
        <f>IF(AK4="","",TEXT($AK4,"e"))</f>
        <v>3</v>
      </c>
      <c r="AI4" s="139" t="str">
        <f>IF(AK4="","",TEXT($AK4,"m"))</f>
        <v>3</v>
      </c>
      <c r="AJ4" s="140" t="str">
        <f>IF(AK4="","",TEXT($AK4,"d"))</f>
        <v>15</v>
      </c>
      <c r="AK4" s="8">
        <v>44270</v>
      </c>
      <c r="AL4" s="8" t="str">
        <f>IF(AM4="","",IF(各種設定金額!$B$7="","○○県",各種設定金額!$B$7))</f>
        <v>○○県</v>
      </c>
      <c r="AM4" s="4" t="s">
        <v>62</v>
      </c>
      <c r="AN4" s="152" t="s">
        <v>64</v>
      </c>
      <c r="AO4" s="141" t="str">
        <f>IF(TRIM(AQ4)="","",AP4&amp;AQ4&amp;AR4)</f>
        <v>第 ○○ 1234563 号</v>
      </c>
      <c r="AP4" s="10" t="s">
        <v>226</v>
      </c>
      <c r="AQ4" s="129">
        <v>1234563</v>
      </c>
      <c r="AR4" s="142" t="s">
        <v>182</v>
      </c>
      <c r="AS4" s="131" t="str">
        <f>IF(AY4="","",TEXT($AY4,"ggg"))</f>
        <v>令和</v>
      </c>
      <c r="AT4" s="132" t="str">
        <f>IF(AY4="","",TEXT($AY4,"gg"))</f>
        <v>令</v>
      </c>
      <c r="AU4" s="132" t="str">
        <f>IF(AY4="","",TEXT($AY4,"g"))</f>
        <v>R</v>
      </c>
      <c r="AV4" s="132" t="str">
        <f>IF(AY4="","",TEXT($AY4,"e"))</f>
        <v>7</v>
      </c>
      <c r="AW4" s="132" t="str">
        <f>IF(AY4="","",TEXT($AY4,"m"))</f>
        <v>7</v>
      </c>
      <c r="AX4" s="143" t="str">
        <f>IF(AY4="","",TEXT($AY4,"d"))</f>
        <v>1</v>
      </c>
      <c r="AY4" s="144">
        <v>45839</v>
      </c>
      <c r="AZ4" s="8" t="str">
        <f>IF(BA4="","",IF(各種設定金額!$B$7="","○○県",各種設定金額!$B$7))</f>
        <v/>
      </c>
      <c r="BA4" s="4"/>
      <c r="BB4" s="4"/>
      <c r="BC4" s="141" t="str">
        <f>IF(TRIM(BE4)="","",BD4&amp;BE4&amp;BF4)</f>
        <v/>
      </c>
      <c r="BD4" s="10"/>
      <c r="BE4" s="129"/>
      <c r="BF4" s="145" t="s">
        <v>63</v>
      </c>
      <c r="BG4" s="131" t="str">
        <f>IF(BM4="","",TEXT($BM4,"ggg"))</f>
        <v/>
      </c>
      <c r="BH4" s="132" t="str">
        <f>IF(BM4="","",TEXT($BM4,"gg"))</f>
        <v/>
      </c>
      <c r="BI4" s="132" t="str">
        <f>IF(BM4="","",TEXT($BM4,"g"))</f>
        <v/>
      </c>
      <c r="BJ4" s="132" t="str">
        <f>IF(BM4="","",TEXT($BM4,"e"))</f>
        <v/>
      </c>
      <c r="BK4" s="132" t="str">
        <f>IF(BM4="","",TEXT($BM4,"m"))</f>
        <v/>
      </c>
      <c r="BL4" s="132" t="str">
        <f>IF(BM4="","",TEXT($BM4,"d"))</f>
        <v/>
      </c>
      <c r="BM4" s="146"/>
      <c r="BN4" s="8" t="str">
        <f>IF(BO4="","",IF(各種設定金額!$B$7="","○○県",各種設定金額!$B$7))</f>
        <v>○○県</v>
      </c>
      <c r="BO4" s="4" t="s">
        <v>62</v>
      </c>
      <c r="BP4" s="4" t="s">
        <v>62</v>
      </c>
      <c r="BQ4" s="141" t="str">
        <f>IF(TRIM(BS4)="","",BR4&amp;BS4&amp;BT4)</f>
        <v>第 ○○ 3234563 号</v>
      </c>
      <c r="BR4" s="10" t="s">
        <v>226</v>
      </c>
      <c r="BS4" s="129">
        <v>3234563</v>
      </c>
      <c r="BT4" s="145" t="s">
        <v>63</v>
      </c>
      <c r="BU4" s="131" t="str">
        <f>IF(CA4="","",TEXT($CA4,"ggg"))</f>
        <v>令和</v>
      </c>
      <c r="BV4" s="132" t="str">
        <f>IF(CA4="","",TEXT($CA4,"gg"))</f>
        <v>令</v>
      </c>
      <c r="BW4" s="132" t="str">
        <f>IF(CA4="","",TEXT($CA4,"g"))</f>
        <v>R</v>
      </c>
      <c r="BX4" s="132" t="str">
        <f>IF(CA4="","",TEXT($CA4,"e"))</f>
        <v>7</v>
      </c>
      <c r="BY4" s="132" t="str">
        <f>IF(CA4="","",TEXT($CA4,"m"))</f>
        <v>7</v>
      </c>
      <c r="BZ4" s="132" t="str">
        <f>IF(CA4="","",TEXT($CA4,"d"))</f>
        <v>1</v>
      </c>
      <c r="CA4" s="146">
        <v>45839</v>
      </c>
      <c r="CB4" s="10" t="str">
        <f>IF(COUNT(AY4,BM4,CA4)=0,"",TEXT(DATE(YEAR(MIN(AY4,BM4,CA4))+3,9,14),"g"))</f>
        <v>R</v>
      </c>
      <c r="CC4" s="7">
        <f>IF(COUNT(AY4,BM4,CA4)=0,"",VALUE(TEXT(DATE(YEAR(MIN(AY4,BM4,CA4))+3,9,14),"e")))</f>
        <v>10</v>
      </c>
      <c r="CD4" s="147" t="s">
        <v>227</v>
      </c>
      <c r="CE4" s="147"/>
      <c r="CF4" s="4" t="s">
        <v>62</v>
      </c>
      <c r="CG4" s="4"/>
      <c r="CH4" s="148">
        <f t="shared" ca="1" si="48"/>
        <v>2026</v>
      </c>
      <c r="CI4" s="121" t="str">
        <f ca="1">TEXT($CO4,"ggg")</f>
        <v>令和</v>
      </c>
      <c r="CJ4" s="122" t="str">
        <f ca="1">TEXT($CO4,"g")</f>
        <v>R</v>
      </c>
      <c r="CK4" s="122" t="str">
        <f ca="1">TEXT($CO4,"e")</f>
        <v>8</v>
      </c>
      <c r="CL4" s="122">
        <f t="shared" ca="1" si="52"/>
        <v>10</v>
      </c>
      <c r="CM4" s="149">
        <f t="shared" ca="1" si="53"/>
        <v>24</v>
      </c>
      <c r="CN4" s="1" t="s">
        <v>238</v>
      </c>
      <c r="CO4" s="150">
        <f t="shared" ca="1" si="54"/>
        <v>46319</v>
      </c>
    </row>
    <row r="5" spans="1:93" ht="20.100000000000001" customHeight="1" x14ac:dyDescent="0.15">
      <c r="A5" s="7">
        <f>IF(B5="","",ROW()-ROW(会員表[#Headers]))</f>
        <v>4</v>
      </c>
      <c r="B5" s="4" t="s" ph="1">
        <v>245</v>
      </c>
      <c r="C5" s="4" t="str" cm="1">
        <f t="array" ref="C5">_xlfn.LET(_xlpm.s,PHONETIC(B5),_xlpm.c,_xlfn.UNICODE(MID(_xlpm.s,_xlfn.SEQUENCE(LEN(_xlpm.s)),1)),IF(_xlpm.s="","",_xlfn.CONCAT(_xlfn.UNICHAR(_xlpm.c-96*(_xlpm.c&gt;=12449)*(_xlpm.c&lt;=12534)))))</f>
        <v>しけん　さぶろう</v>
      </c>
      <c r="D5" s="4" t="str" cm="1">
        <f t="array" ref="D5">_xlfn.LET(_xlpm.s,PHONETIC(B5),_xlpm.c,_xlfn.UNICODE(MID(_xlpm.s,_xlfn.SEQUENCE(LEN(_xlpm.s)),1)),IF(_xlpm.s="","",_xlfn.CONCAT(_xlfn.UNICHAR(_xlpm.c+96*(_xlpm.c&gt;=12353)*(_xlpm.c&lt;=12438)))))</f>
        <v>シケン　サブロウ</v>
      </c>
      <c r="E5" s="129">
        <f ca="1">IF(N5="","",DATEDIF(N5,TODAY(),"Y"))</f>
        <v>54</v>
      </c>
      <c r="F5" s="130" t="str">
        <f>IF(I5="昭","〇","")</f>
        <v>〇</v>
      </c>
      <c r="G5" s="130" t="str">
        <f>IF(I5="平","〇","")</f>
        <v/>
      </c>
      <c r="H5" s="130" t="str">
        <f>IF(I5="令","〇","")</f>
        <v/>
      </c>
      <c r="I5" s="131" t="str">
        <f>IF($N5="","",TEXT($N5,"gg"))</f>
        <v>昭</v>
      </c>
      <c r="J5" s="132" t="str">
        <f>IF($N5="","",TEXT($N5,"ggg"))</f>
        <v>昭和</v>
      </c>
      <c r="K5" s="121" t="str">
        <f>IF($N5="","",TEXT($N5,"e"))</f>
        <v>47</v>
      </c>
      <c r="L5" s="129" t="str">
        <f>IF($N5="","",TEXT($N5,"m"))</f>
        <v>2</v>
      </c>
      <c r="M5" s="7" t="str">
        <f>IF($N5="","",TEXT($N5,"d"))</f>
        <v>28</v>
      </c>
      <c r="N5" s="133">
        <v>26357</v>
      </c>
      <c r="O5" s="151" t="s">
        <v>240</v>
      </c>
      <c r="P5" s="5" t="str">
        <f>IFERROR(LEFT(O5,FIND("-",O5)-1),"")</f>
        <v>090</v>
      </c>
      <c r="Q5" s="121" t="str">
        <f>IFERROR(RIGHT(O5,LEN(O5)-FIND("-",O5)),"")</f>
        <v>0000-0004</v>
      </c>
      <c r="R5" s="121" t="str">
        <f>IFERROR(LEFT(Q5,FIND("-",Q5)-1),"")</f>
        <v>0000</v>
      </c>
      <c r="S5" s="7" t="str">
        <f>IFERROR(RIGHT(Q5,LEN(Q5)-FIND("-",Q5)),"")</f>
        <v>0004</v>
      </c>
      <c r="T5" s="5" t="s">
        <v>241</v>
      </c>
      <c r="U5" s="5" t="str">
        <f>IFERROR(LEFT(T5,FIND("-",T5)-1),"")</f>
        <v>000</v>
      </c>
      <c r="V5" s="121" t="str">
        <f>IFERROR(RIGHT(T5,LEN(T5)-FIND("-",T5)),"")</f>
        <v>000-0004</v>
      </c>
      <c r="W5" s="121" t="str">
        <f>IFERROR(LEFT(V5,FIND("-",V5)-1),"")</f>
        <v>000</v>
      </c>
      <c r="X5" s="7" t="str">
        <f>IFERROR(RIGHT(V5,LEN(V5)-FIND("-",V5)),"")</f>
        <v>0004</v>
      </c>
      <c r="Y5" s="136" t="s">
        <v>242</v>
      </c>
      <c r="Z5" s="5" t="str">
        <f>IF(Y5="","",LEFT(SUBSTITUTE(ASC(Y5),"-",""),3))</f>
        <v>000</v>
      </c>
      <c r="AA5" s="137" t="s">
        <v>183</v>
      </c>
      <c r="AB5" s="7" t="str">
        <f>IF(Y5="","",MID(SUBSTITUTE(ASC(Y5),"-",""),4,4))</f>
        <v>0004</v>
      </c>
      <c r="AC5" s="9" t="s">
        <v>243</v>
      </c>
      <c r="AD5" s="4">
        <v>12345678904</v>
      </c>
      <c r="AE5" s="138" t="str">
        <f>IF(AK5="","",TEXT($AK5,"ggg"))</f>
        <v>令和</v>
      </c>
      <c r="AF5" s="139" t="str">
        <f>IF(AK5="","",TEXT($AK5,"gg"))</f>
        <v>令</v>
      </c>
      <c r="AG5" s="139" t="str">
        <f>IF(AK5="","",TEXT($AK5,"g"))</f>
        <v>R</v>
      </c>
      <c r="AH5" s="139" t="str">
        <f>IF(AK5="","",TEXT($AK5,"e"))</f>
        <v>2</v>
      </c>
      <c r="AI5" s="139" t="str">
        <f>IF(AK5="","",TEXT($AK5,"m"))</f>
        <v>9</v>
      </c>
      <c r="AJ5" s="140" t="str">
        <f>IF(AK5="","",TEXT($AK5,"d"))</f>
        <v>1</v>
      </c>
      <c r="AK5" s="8">
        <v>44075</v>
      </c>
      <c r="AL5" s="8" t="str">
        <f>IF(AM5="","",IF(各種設定金額!$B$7="","○○県",各種設定金額!$B$7))</f>
        <v>○○県</v>
      </c>
      <c r="AM5" s="4" t="s">
        <v>62</v>
      </c>
      <c r="AN5" s="4" t="s">
        <v>62</v>
      </c>
      <c r="AO5" s="141" t="str">
        <f>IF(TRIM(AQ5)="","",AP5&amp;AQ5&amp;AR5)</f>
        <v>第 ○○ 1234564 号</v>
      </c>
      <c r="AP5" s="10" t="s">
        <v>226</v>
      </c>
      <c r="AQ5" s="129">
        <v>1234564</v>
      </c>
      <c r="AR5" s="142" t="s">
        <v>182</v>
      </c>
      <c r="AS5" s="131" t="str">
        <f>IF(AY5="","",TEXT($AY5,"ggg"))</f>
        <v>令和</v>
      </c>
      <c r="AT5" s="132" t="str">
        <f>IF(AY5="","",TEXT($AY5,"gg"))</f>
        <v>令</v>
      </c>
      <c r="AU5" s="132" t="str">
        <f>IF(AY5="","",TEXT($AY5,"g"))</f>
        <v>R</v>
      </c>
      <c r="AV5" s="132" t="str">
        <f>IF(AY5="","",TEXT($AY5,"e"))</f>
        <v>5</v>
      </c>
      <c r="AW5" s="132" t="str">
        <f>IF(AY5="","",TEXT($AY5,"m"))</f>
        <v>4</v>
      </c>
      <c r="AX5" s="143" t="str">
        <f>IF(AY5="","",TEXT($AY5,"d"))</f>
        <v>10</v>
      </c>
      <c r="AY5" s="144">
        <v>45026</v>
      </c>
      <c r="AZ5" s="8" t="str">
        <f>IF(BA5="","",IF(各種設定金額!$B$7="","○○県",各種設定金額!$B$7))</f>
        <v/>
      </c>
      <c r="BA5" s="4"/>
      <c r="BB5" s="4"/>
      <c r="BC5" s="141" t="str">
        <f>IF(TRIM(BE5)="","",BD5&amp;BE5&amp;BF5)</f>
        <v/>
      </c>
      <c r="BD5" s="10"/>
      <c r="BE5" s="129"/>
      <c r="BF5" s="145" t="s">
        <v>63</v>
      </c>
      <c r="BG5" s="131" t="str">
        <f>IF(BM5="","",TEXT($BM5,"ggg"))</f>
        <v/>
      </c>
      <c r="BH5" s="132" t="str">
        <f>IF(BM5="","",TEXT($BM5,"gg"))</f>
        <v/>
      </c>
      <c r="BI5" s="132" t="str">
        <f>IF(BM5="","",TEXT($BM5,"g"))</f>
        <v/>
      </c>
      <c r="BJ5" s="132" t="str">
        <f>IF(BM5="","",TEXT($BM5,"e"))</f>
        <v/>
      </c>
      <c r="BK5" s="132" t="str">
        <f>IF(BM5="","",TEXT($BM5,"m"))</f>
        <v/>
      </c>
      <c r="BL5" s="132" t="str">
        <f>IF(BM5="","",TEXT($BM5,"d"))</f>
        <v/>
      </c>
      <c r="BM5" s="146"/>
      <c r="BN5" s="8" t="str">
        <f>IF(BO5="","",IF(各種設定金額!$B$7="","○○県",各種設定金額!$B$7))</f>
        <v/>
      </c>
      <c r="BO5" s="4"/>
      <c r="BP5" s="4"/>
      <c r="BQ5" s="141" t="str">
        <f>IF(TRIM(BS5)="","",BR5&amp;BS5&amp;BT5)</f>
        <v/>
      </c>
      <c r="BR5" s="10"/>
      <c r="BS5" s="129"/>
      <c r="BT5" s="145" t="s">
        <v>63</v>
      </c>
      <c r="BU5" s="131" t="str">
        <f>IF(CA5="","",TEXT($CA5,"ggg"))</f>
        <v/>
      </c>
      <c r="BV5" s="132" t="str">
        <f>IF(CA5="","",TEXT($CA5,"gg"))</f>
        <v/>
      </c>
      <c r="BW5" s="132" t="str">
        <f>IF(CA5="","",TEXT($CA5,"g"))</f>
        <v/>
      </c>
      <c r="BX5" s="132" t="str">
        <f>IF(CA5="","",TEXT($CA5,"e"))</f>
        <v/>
      </c>
      <c r="BY5" s="132" t="str">
        <f>IF(CA5="","",TEXT($CA5,"m"))</f>
        <v/>
      </c>
      <c r="BZ5" s="132" t="str">
        <f>IF(CA5="","",TEXT($CA5,"d"))</f>
        <v/>
      </c>
      <c r="CA5" s="146"/>
      <c r="CB5" s="10" t="str">
        <f>IF(COUNT(AY5,BM5,CA5)=0,"",TEXT(DATE(YEAR(MIN(AY5,BM5,CA5))+3,9,14),"g"))</f>
        <v>R</v>
      </c>
      <c r="CC5" s="7">
        <f>IF(COUNT(AY5,BM5,CA5)=0,"",VALUE(TEXT(DATE(YEAR(MIN(AY5,BM5,CA5))+3,9,14),"e")))</f>
        <v>8</v>
      </c>
      <c r="CD5" s="147" t="s">
        <v>227</v>
      </c>
      <c r="CE5" s="147"/>
      <c r="CF5" s="4"/>
      <c r="CG5" s="4" t="s">
        <v>62</v>
      </c>
      <c r="CH5" s="148">
        <f t="shared" ca="1" si="48"/>
        <v>2026</v>
      </c>
      <c r="CI5" s="121" t="str">
        <f ca="1">TEXT($CO5,"ggg")</f>
        <v>令和</v>
      </c>
      <c r="CJ5" s="122" t="str">
        <f ca="1">TEXT($CO5,"g")</f>
        <v>R</v>
      </c>
      <c r="CK5" s="122" t="str">
        <f ca="1">TEXT($CO5,"e")</f>
        <v>8</v>
      </c>
      <c r="CL5" s="122">
        <f t="shared" ca="1" si="52"/>
        <v>10</v>
      </c>
      <c r="CM5" s="149">
        <f t="shared" ca="1" si="53"/>
        <v>24</v>
      </c>
      <c r="CN5" s="1" t="s">
        <v>244</v>
      </c>
      <c r="CO5" s="150">
        <f t="shared" ca="1" si="54"/>
        <v>46319</v>
      </c>
    </row>
    <row r="6" spans="1:93" ht="20.100000000000001" customHeight="1" x14ac:dyDescent="0.15">
      <c r="A6" s="7">
        <f>IF(B6="","",ROW()-ROW(会員表[#Headers]))</f>
        <v>5</v>
      </c>
      <c r="B6" s="4" t="s" ph="1">
        <v>250</v>
      </c>
      <c r="C6" s="4" t="str" cm="1">
        <f t="array" ref="C6">_xlfn.LET(_xlpm.s,PHONETIC(B6),_xlpm.c,_xlfn.UNICODE(MID(_xlpm.s,_xlfn.SEQUENCE(LEN(_xlpm.s)),1)),IF(_xlpm.s="","",_xlfn.CONCAT(_xlfn.UNICHAR(_xlpm.c-96*(_xlpm.c&gt;=12449)*(_xlpm.c&lt;=12534)))))</f>
        <v>かくう　よしこ</v>
      </c>
      <c r="D6" s="4" t="str" cm="1">
        <f t="array" ref="D6">_xlfn.LET(_xlpm.s,PHONETIC(B6),_xlpm.c,_xlfn.UNICODE(MID(_xlpm.s,_xlfn.SEQUENCE(LEN(_xlpm.s)),1)),IF(_xlpm.s="","",_xlfn.CONCAT(_xlfn.UNICHAR(_xlpm.c+96*(_xlpm.c&gt;=12353)*(_xlpm.c&lt;=12438)))))</f>
        <v>カクウ　ヨシコ</v>
      </c>
      <c r="E6" s="129">
        <f t="shared" ca="1" si="0"/>
        <v>35</v>
      </c>
      <c r="F6" s="130" t="str">
        <f t="shared" si="1"/>
        <v/>
      </c>
      <c r="G6" s="130" t="str">
        <f t="shared" si="2"/>
        <v>〇</v>
      </c>
      <c r="H6" s="130" t="str">
        <f t="shared" si="3"/>
        <v/>
      </c>
      <c r="I6" s="131" t="str">
        <f t="shared" si="4"/>
        <v>平</v>
      </c>
      <c r="J6" s="132" t="str">
        <f t="shared" si="5"/>
        <v>平成</v>
      </c>
      <c r="K6" s="121" t="str">
        <f t="shared" si="6"/>
        <v>2</v>
      </c>
      <c r="L6" s="129" t="str">
        <f t="shared" si="7"/>
        <v>12</v>
      </c>
      <c r="M6" s="7" t="str">
        <f t="shared" si="8"/>
        <v>5</v>
      </c>
      <c r="N6" s="133">
        <v>33212</v>
      </c>
      <c r="O6" s="8" t="s">
        <v>246</v>
      </c>
      <c r="P6" s="5" t="str">
        <f t="shared" si="9"/>
        <v>080</v>
      </c>
      <c r="Q6" s="121" t="str">
        <f t="shared" si="10"/>
        <v>0000-0005</v>
      </c>
      <c r="R6" s="121" t="str">
        <f t="shared" si="11"/>
        <v>0000</v>
      </c>
      <c r="S6" s="7" t="str">
        <f t="shared" si="12"/>
        <v>0005</v>
      </c>
      <c r="T6" s="5"/>
      <c r="U6" s="5" t="str">
        <f t="shared" si="13"/>
        <v/>
      </c>
      <c r="V6" s="121" t="str">
        <f t="shared" si="14"/>
        <v/>
      </c>
      <c r="W6" s="121" t="str">
        <f t="shared" si="15"/>
        <v/>
      </c>
      <c r="X6" s="7" t="str">
        <f t="shared" si="16"/>
        <v/>
      </c>
      <c r="Y6" s="136" t="s">
        <v>247</v>
      </c>
      <c r="Z6" s="5" t="str">
        <f t="shared" si="17"/>
        <v>000</v>
      </c>
      <c r="AA6" s="137" t="s">
        <v>183</v>
      </c>
      <c r="AB6" s="7" t="str">
        <f t="shared" si="18"/>
        <v>0005</v>
      </c>
      <c r="AC6" s="9" t="s">
        <v>248</v>
      </c>
      <c r="AD6" s="4"/>
      <c r="AE6" s="138" t="str">
        <f t="shared" si="19"/>
        <v/>
      </c>
      <c r="AF6" s="139" t="str">
        <f t="shared" si="20"/>
        <v/>
      </c>
      <c r="AG6" s="139" t="str">
        <f t="shared" si="21"/>
        <v/>
      </c>
      <c r="AH6" s="139" t="str">
        <f t="shared" si="22"/>
        <v/>
      </c>
      <c r="AI6" s="139" t="str">
        <f t="shared" si="23"/>
        <v/>
      </c>
      <c r="AJ6" s="140" t="str">
        <f t="shared" si="24"/>
        <v/>
      </c>
      <c r="AK6" s="8"/>
      <c r="AL6" s="8" t="str">
        <f>IF(AM6="","",IF(各種設定金額!$B$7="","○○県",各種設定金額!$B$7))</f>
        <v/>
      </c>
      <c r="AM6" s="4"/>
      <c r="AN6" s="152"/>
      <c r="AO6" s="141" t="str">
        <f t="shared" si="25"/>
        <v/>
      </c>
      <c r="AP6" s="10"/>
      <c r="AQ6" s="129"/>
      <c r="AR6" s="142" t="s">
        <v>182</v>
      </c>
      <c r="AS6" s="131" t="str">
        <f t="shared" si="26"/>
        <v/>
      </c>
      <c r="AT6" s="132" t="str">
        <f t="shared" si="27"/>
        <v/>
      </c>
      <c r="AU6" s="132" t="str">
        <f t="shared" si="28"/>
        <v/>
      </c>
      <c r="AV6" s="132" t="str">
        <f t="shared" si="29"/>
        <v/>
      </c>
      <c r="AW6" s="132" t="str">
        <f t="shared" si="30"/>
        <v/>
      </c>
      <c r="AX6" s="143" t="str">
        <f t="shared" si="31"/>
        <v/>
      </c>
      <c r="AY6" s="144"/>
      <c r="AZ6" s="8" t="str">
        <f>IF(BA6="","",IF(各種設定金額!$B$7="","○○県",各種設定金額!$B$7))</f>
        <v>○○県</v>
      </c>
      <c r="BA6" s="4" t="s">
        <v>62</v>
      </c>
      <c r="BB6" s="4" t="s">
        <v>62</v>
      </c>
      <c r="BC6" s="141" t="str">
        <f t="shared" si="32"/>
        <v>第 ○○ 2234565 号</v>
      </c>
      <c r="BD6" s="10" t="s">
        <v>226</v>
      </c>
      <c r="BE6" s="129">
        <v>2234565</v>
      </c>
      <c r="BF6" s="145" t="s">
        <v>63</v>
      </c>
      <c r="BG6" s="131" t="str">
        <f t="shared" si="33"/>
        <v>令和</v>
      </c>
      <c r="BH6" s="132" t="str">
        <f t="shared" si="34"/>
        <v>令</v>
      </c>
      <c r="BI6" s="132" t="str">
        <f t="shared" si="35"/>
        <v>R</v>
      </c>
      <c r="BJ6" s="132" t="str">
        <f t="shared" si="36"/>
        <v>6</v>
      </c>
      <c r="BK6" s="132" t="str">
        <f t="shared" si="37"/>
        <v>9</v>
      </c>
      <c r="BL6" s="132" t="str">
        <f t="shared" si="38"/>
        <v>1</v>
      </c>
      <c r="BM6" s="146">
        <v>45536</v>
      </c>
      <c r="BN6" s="8" t="str">
        <f>IF(BO6="","",IF(各種設定金額!$B$7="","○○県",各種設定金額!$B$7))</f>
        <v>○○県</v>
      </c>
      <c r="BO6" s="4" t="s">
        <v>62</v>
      </c>
      <c r="BP6" s="4" t="s">
        <v>62</v>
      </c>
      <c r="BQ6" s="141" t="str">
        <f t="shared" si="39"/>
        <v>第 ○○ 3234565 号</v>
      </c>
      <c r="BR6" s="10" t="s">
        <v>226</v>
      </c>
      <c r="BS6" s="129">
        <v>3234565</v>
      </c>
      <c r="BT6" s="145" t="s">
        <v>63</v>
      </c>
      <c r="BU6" s="131" t="str">
        <f t="shared" si="40"/>
        <v>令和</v>
      </c>
      <c r="BV6" s="132" t="str">
        <f t="shared" si="41"/>
        <v>令</v>
      </c>
      <c r="BW6" s="132" t="str">
        <f t="shared" si="42"/>
        <v>R</v>
      </c>
      <c r="BX6" s="132" t="str">
        <f t="shared" si="43"/>
        <v>7</v>
      </c>
      <c r="BY6" s="132" t="str">
        <f t="shared" si="44"/>
        <v>10</v>
      </c>
      <c r="BZ6" s="132" t="str">
        <f t="shared" si="45"/>
        <v>5</v>
      </c>
      <c r="CA6" s="146">
        <v>45935</v>
      </c>
      <c r="CB6" s="10" t="str">
        <f t="shared" si="46"/>
        <v>R</v>
      </c>
      <c r="CC6" s="7">
        <f t="shared" si="47"/>
        <v>9</v>
      </c>
      <c r="CD6" s="147"/>
      <c r="CE6" s="147" t="s">
        <v>227</v>
      </c>
      <c r="CF6" s="4"/>
      <c r="CG6" s="4" t="s">
        <v>62</v>
      </c>
      <c r="CH6" s="148">
        <f t="shared" ca="1" si="48"/>
        <v>2026</v>
      </c>
      <c r="CI6" s="121" t="str">
        <f t="shared" ca="1" si="49"/>
        <v>令和</v>
      </c>
      <c r="CJ6" s="122" t="str">
        <f t="shared" ca="1" si="50"/>
        <v>R</v>
      </c>
      <c r="CK6" s="122" t="str">
        <f t="shared" ca="1" si="51"/>
        <v>8</v>
      </c>
      <c r="CL6" s="122">
        <f t="shared" ca="1" si="52"/>
        <v>10</v>
      </c>
      <c r="CM6" s="149">
        <f t="shared" ca="1" si="53"/>
        <v>24</v>
      </c>
      <c r="CN6" s="1" t="s">
        <v>249</v>
      </c>
      <c r="CO6" s="150">
        <f t="shared" ca="1" si="54"/>
        <v>46319</v>
      </c>
    </row>
    <row r="7" spans="1:93" ht="20.100000000000001" customHeight="1" x14ac:dyDescent="0.15">
      <c r="A7" s="7" t="str">
        <f>IF(B7="","",ROW()-ROW(会員表[#Headers]))</f>
        <v/>
      </c>
      <c r="B7" s="4" ph="1"/>
      <c r="C7" s="4" t="str" cm="1">
        <f t="array" ref="C7">_xlfn.LET(_xlpm.s,PHONETIC(B7),_xlpm.c,_xlfn.UNICODE(MID(_xlpm.s,_xlfn.SEQUENCE(LEN(_xlpm.s)),1)),IF(_xlpm.s="","",_xlfn.CONCAT(_xlfn.UNICHAR(_xlpm.c-96*(_xlpm.c&gt;=12449)*(_xlpm.c&lt;=12534)))))</f>
        <v/>
      </c>
      <c r="D7" s="4" t="str" cm="1">
        <f t="array" ref="D7">_xlfn.LET(_xlpm.s,PHONETIC(B7),_xlpm.c,_xlfn.UNICODE(MID(_xlpm.s,_xlfn.SEQUENCE(LEN(_xlpm.s)),1)),IF(_xlpm.s="","",_xlfn.CONCAT(_xlfn.UNICHAR(_xlpm.c+96*(_xlpm.c&gt;=12353)*(_xlpm.c&lt;=12438)))))</f>
        <v/>
      </c>
      <c r="E7" s="129" t="str">
        <f t="shared" ca="1" si="0"/>
        <v/>
      </c>
      <c r="F7" s="130" t="str">
        <f t="shared" si="1"/>
        <v/>
      </c>
      <c r="G7" s="130" t="str">
        <f t="shared" si="2"/>
        <v/>
      </c>
      <c r="H7" s="130" t="str">
        <f t="shared" si="3"/>
        <v/>
      </c>
      <c r="I7" s="131" t="str">
        <f t="shared" si="4"/>
        <v/>
      </c>
      <c r="J7" s="132" t="str">
        <f t="shared" si="5"/>
        <v/>
      </c>
      <c r="K7" s="121" t="str">
        <f t="shared" si="6"/>
        <v/>
      </c>
      <c r="L7" s="129" t="str">
        <f t="shared" si="7"/>
        <v/>
      </c>
      <c r="M7" s="7" t="str">
        <f t="shared" si="8"/>
        <v/>
      </c>
      <c r="N7" s="133"/>
      <c r="O7" s="8"/>
      <c r="P7" s="5" t="str">
        <f t="shared" si="9"/>
        <v/>
      </c>
      <c r="Q7" s="121" t="str">
        <f t="shared" si="10"/>
        <v/>
      </c>
      <c r="R7" s="121" t="str">
        <f t="shared" si="11"/>
        <v/>
      </c>
      <c r="S7" s="7" t="str">
        <f t="shared" si="12"/>
        <v/>
      </c>
      <c r="T7" s="5"/>
      <c r="U7" s="5" t="str">
        <f t="shared" si="13"/>
        <v/>
      </c>
      <c r="V7" s="121" t="str">
        <f t="shared" si="14"/>
        <v/>
      </c>
      <c r="W7" s="121" t="str">
        <f t="shared" si="15"/>
        <v/>
      </c>
      <c r="X7" s="7" t="str">
        <f t="shared" si="16"/>
        <v/>
      </c>
      <c r="Y7" s="136"/>
      <c r="Z7" s="5" t="str">
        <f t="shared" si="17"/>
        <v/>
      </c>
      <c r="AA7" s="137" t="s">
        <v>183</v>
      </c>
      <c r="AB7" s="7" t="str">
        <f t="shared" si="18"/>
        <v/>
      </c>
      <c r="AC7" s="9"/>
      <c r="AD7" s="4"/>
      <c r="AE7" s="138" t="str">
        <f t="shared" si="19"/>
        <v/>
      </c>
      <c r="AF7" s="139" t="str">
        <f t="shared" si="20"/>
        <v/>
      </c>
      <c r="AG7" s="139" t="str">
        <f t="shared" si="21"/>
        <v/>
      </c>
      <c r="AH7" s="139" t="str">
        <f t="shared" si="22"/>
        <v/>
      </c>
      <c r="AI7" s="139" t="str">
        <f t="shared" si="23"/>
        <v/>
      </c>
      <c r="AJ7" s="140" t="str">
        <f t="shared" si="24"/>
        <v/>
      </c>
      <c r="AK7" s="8"/>
      <c r="AL7" s="8" t="str">
        <f>IF(AM7="","",IF(各種設定金額!$B$7="","○○県",各種設定金額!$B$7))</f>
        <v/>
      </c>
      <c r="AM7" s="4"/>
      <c r="AN7" s="4"/>
      <c r="AO7" s="141" t="str">
        <f t="shared" si="25"/>
        <v/>
      </c>
      <c r="AP7" s="10"/>
      <c r="AQ7" s="129"/>
      <c r="AR7" s="142" t="s">
        <v>182</v>
      </c>
      <c r="AS7" s="131" t="str">
        <f t="shared" si="26"/>
        <v/>
      </c>
      <c r="AT7" s="132" t="str">
        <f t="shared" si="27"/>
        <v/>
      </c>
      <c r="AU7" s="132" t="str">
        <f t="shared" si="28"/>
        <v/>
      </c>
      <c r="AV7" s="132" t="str">
        <f t="shared" si="29"/>
        <v/>
      </c>
      <c r="AW7" s="132" t="str">
        <f t="shared" si="30"/>
        <v/>
      </c>
      <c r="AX7" s="143" t="str">
        <f t="shared" si="31"/>
        <v/>
      </c>
      <c r="AY7" s="144"/>
      <c r="AZ7" s="8" t="str">
        <f>IF(BA7="","",IF(各種設定金額!$B$7="","○○県",各種設定金額!$B$7))</f>
        <v/>
      </c>
      <c r="BA7" s="4"/>
      <c r="BB7" s="4"/>
      <c r="BC7" s="141" t="str">
        <f t="shared" si="32"/>
        <v/>
      </c>
      <c r="BD7" s="10"/>
      <c r="BE7" s="129"/>
      <c r="BF7" s="145" t="s">
        <v>63</v>
      </c>
      <c r="BG7" s="131" t="str">
        <f t="shared" si="33"/>
        <v/>
      </c>
      <c r="BH7" s="132" t="str">
        <f t="shared" si="34"/>
        <v/>
      </c>
      <c r="BI7" s="132" t="str">
        <f t="shared" si="35"/>
        <v/>
      </c>
      <c r="BJ7" s="132" t="str">
        <f t="shared" si="36"/>
        <v/>
      </c>
      <c r="BK7" s="132" t="str">
        <f t="shared" si="37"/>
        <v/>
      </c>
      <c r="BL7" s="132" t="str">
        <f t="shared" si="38"/>
        <v/>
      </c>
      <c r="BM7" s="146"/>
      <c r="BN7" s="8" t="str">
        <f>IF(BO7="","",IF(各種設定金額!$B$7="","○○県",各種設定金額!$B$7))</f>
        <v/>
      </c>
      <c r="BO7" s="4"/>
      <c r="BP7" s="4"/>
      <c r="BQ7" s="141" t="str">
        <f t="shared" si="39"/>
        <v/>
      </c>
      <c r="BR7" s="10"/>
      <c r="BS7" s="129"/>
      <c r="BT7" s="145" t="s">
        <v>63</v>
      </c>
      <c r="BU7" s="131" t="str">
        <f t="shared" si="40"/>
        <v/>
      </c>
      <c r="BV7" s="132" t="str">
        <f t="shared" si="41"/>
        <v/>
      </c>
      <c r="BW7" s="132" t="str">
        <f t="shared" si="42"/>
        <v/>
      </c>
      <c r="BX7" s="132" t="str">
        <f t="shared" si="43"/>
        <v/>
      </c>
      <c r="BY7" s="132" t="str">
        <f t="shared" si="44"/>
        <v/>
      </c>
      <c r="BZ7" s="132" t="str">
        <f t="shared" si="45"/>
        <v/>
      </c>
      <c r="CA7" s="146"/>
      <c r="CB7" s="10" t="str">
        <f t="shared" si="46"/>
        <v/>
      </c>
      <c r="CC7" s="7" t="str">
        <f t="shared" si="47"/>
        <v/>
      </c>
      <c r="CD7" s="147"/>
      <c r="CE7" s="147"/>
      <c r="CF7" s="4"/>
      <c r="CG7" s="4"/>
      <c r="CH7" s="148">
        <f t="shared" ca="1" si="48"/>
        <v>2026</v>
      </c>
      <c r="CI7" s="121" t="str">
        <f t="shared" ca="1" si="49"/>
        <v>令和</v>
      </c>
      <c r="CJ7" s="122" t="str">
        <f t="shared" ca="1" si="50"/>
        <v>R</v>
      </c>
      <c r="CK7" s="122" t="str">
        <f t="shared" ca="1" si="51"/>
        <v>8</v>
      </c>
      <c r="CL7" s="122">
        <f t="shared" ca="1" si="52"/>
        <v>10</v>
      </c>
      <c r="CM7" s="149">
        <f t="shared" ca="1" si="53"/>
        <v>24</v>
      </c>
      <c r="CN7" s="1"/>
      <c r="CO7" s="150">
        <f t="shared" ca="1" si="54"/>
        <v>46319</v>
      </c>
    </row>
    <row r="8" spans="1:93" ht="20.100000000000001" customHeight="1" x14ac:dyDescent="0.15">
      <c r="A8" s="7" t="str">
        <f>IF(B8="","",ROW()-ROW(会員表[#Headers]))</f>
        <v/>
      </c>
      <c r="B8" s="4" ph="1"/>
      <c r="C8" s="4" t="str" cm="1">
        <f t="array" ref="C8">_xlfn.LET(_xlpm.s,PHONETIC(B8),_xlpm.c,_xlfn.UNICODE(MID(_xlpm.s,_xlfn.SEQUENCE(LEN(_xlpm.s)),1)),IF(_xlpm.s="","",_xlfn.CONCAT(_xlfn.UNICHAR(_xlpm.c-96*(_xlpm.c&gt;=12449)*(_xlpm.c&lt;=12534)))))</f>
        <v/>
      </c>
      <c r="D8" s="4" t="str" cm="1">
        <f t="array" ref="D8">_xlfn.LET(_xlpm.s,PHONETIC(B8),_xlpm.c,_xlfn.UNICODE(MID(_xlpm.s,_xlfn.SEQUENCE(LEN(_xlpm.s)),1)),IF(_xlpm.s="","",_xlfn.CONCAT(_xlfn.UNICHAR(_xlpm.c+96*(_xlpm.c&gt;=12353)*(_xlpm.c&lt;=12438)))))</f>
        <v/>
      </c>
      <c r="E8" s="129" t="str">
        <f t="shared" ca="1" si="0"/>
        <v/>
      </c>
      <c r="F8" s="130" t="str">
        <f t="shared" si="1"/>
        <v/>
      </c>
      <c r="G8" s="130" t="str">
        <f t="shared" si="2"/>
        <v/>
      </c>
      <c r="H8" s="130" t="str">
        <f t="shared" si="3"/>
        <v/>
      </c>
      <c r="I8" s="131" t="str">
        <f t="shared" si="4"/>
        <v/>
      </c>
      <c r="J8" s="132" t="str">
        <f t="shared" si="5"/>
        <v/>
      </c>
      <c r="K8" s="121" t="str">
        <f t="shared" si="6"/>
        <v/>
      </c>
      <c r="L8" s="129" t="str">
        <f t="shared" si="7"/>
        <v/>
      </c>
      <c r="M8" s="7" t="str">
        <f t="shared" si="8"/>
        <v/>
      </c>
      <c r="N8" s="133"/>
      <c r="O8" s="8"/>
      <c r="P8" s="5" t="str">
        <f t="shared" si="9"/>
        <v/>
      </c>
      <c r="Q8" s="121" t="str">
        <f t="shared" si="10"/>
        <v/>
      </c>
      <c r="R8" s="121" t="str">
        <f t="shared" si="11"/>
        <v/>
      </c>
      <c r="S8" s="7" t="str">
        <f t="shared" si="12"/>
        <v/>
      </c>
      <c r="T8" s="5"/>
      <c r="U8" s="5" t="str">
        <f t="shared" si="13"/>
        <v/>
      </c>
      <c r="V8" s="121" t="str">
        <f t="shared" si="14"/>
        <v/>
      </c>
      <c r="W8" s="121" t="str">
        <f t="shared" si="15"/>
        <v/>
      </c>
      <c r="X8" s="7" t="str">
        <f t="shared" si="16"/>
        <v/>
      </c>
      <c r="Y8" s="136"/>
      <c r="Z8" s="5" t="str">
        <f t="shared" si="17"/>
        <v/>
      </c>
      <c r="AA8" s="137" t="s">
        <v>183</v>
      </c>
      <c r="AB8" s="7" t="str">
        <f t="shared" si="18"/>
        <v/>
      </c>
      <c r="AC8" s="9"/>
      <c r="AD8" s="4"/>
      <c r="AE8" s="138" t="str">
        <f t="shared" si="19"/>
        <v/>
      </c>
      <c r="AF8" s="139" t="str">
        <f t="shared" si="20"/>
        <v/>
      </c>
      <c r="AG8" s="139" t="str">
        <f t="shared" si="21"/>
        <v/>
      </c>
      <c r="AH8" s="139" t="str">
        <f t="shared" si="22"/>
        <v/>
      </c>
      <c r="AI8" s="139" t="str">
        <f t="shared" si="23"/>
        <v/>
      </c>
      <c r="AJ8" s="140" t="str">
        <f t="shared" si="24"/>
        <v/>
      </c>
      <c r="AK8" s="8"/>
      <c r="AL8" s="8" t="str">
        <f>IF(AM8="","",IF(各種設定金額!$B$7="","○○県",各種設定金額!$B$7))</f>
        <v/>
      </c>
      <c r="AM8" s="4"/>
      <c r="AN8" s="4"/>
      <c r="AO8" s="141" t="str">
        <f t="shared" si="25"/>
        <v/>
      </c>
      <c r="AP8" s="10"/>
      <c r="AQ8" s="129"/>
      <c r="AR8" s="142" t="s">
        <v>182</v>
      </c>
      <c r="AS8" s="131" t="str">
        <f t="shared" si="26"/>
        <v/>
      </c>
      <c r="AT8" s="132" t="str">
        <f t="shared" si="27"/>
        <v/>
      </c>
      <c r="AU8" s="132" t="str">
        <f t="shared" si="28"/>
        <v/>
      </c>
      <c r="AV8" s="132" t="str">
        <f t="shared" si="29"/>
        <v/>
      </c>
      <c r="AW8" s="132" t="str">
        <f t="shared" si="30"/>
        <v/>
      </c>
      <c r="AX8" s="143" t="str">
        <f t="shared" si="31"/>
        <v/>
      </c>
      <c r="AY8" s="144"/>
      <c r="AZ8" s="8" t="str">
        <f>IF(BA8="","",IF(各種設定金額!$B$7="","○○県",各種設定金額!$B$7))</f>
        <v/>
      </c>
      <c r="BA8" s="4"/>
      <c r="BB8" s="4"/>
      <c r="BC8" s="141" t="str">
        <f t="shared" si="32"/>
        <v/>
      </c>
      <c r="BD8" s="10"/>
      <c r="BE8" s="129"/>
      <c r="BF8" s="145" t="s">
        <v>63</v>
      </c>
      <c r="BG8" s="131" t="str">
        <f t="shared" si="33"/>
        <v/>
      </c>
      <c r="BH8" s="132" t="str">
        <f t="shared" si="34"/>
        <v/>
      </c>
      <c r="BI8" s="132" t="str">
        <f t="shared" si="35"/>
        <v/>
      </c>
      <c r="BJ8" s="132" t="str">
        <f t="shared" si="36"/>
        <v/>
      </c>
      <c r="BK8" s="132" t="str">
        <f t="shared" si="37"/>
        <v/>
      </c>
      <c r="BL8" s="132" t="str">
        <f t="shared" si="38"/>
        <v/>
      </c>
      <c r="BM8" s="146"/>
      <c r="BN8" s="8" t="str">
        <f>IF(BO8="","",IF(各種設定金額!$B$7="","○○県",各種設定金額!$B$7))</f>
        <v/>
      </c>
      <c r="BO8" s="4"/>
      <c r="BP8" s="4"/>
      <c r="BQ8" s="141" t="str">
        <f t="shared" si="39"/>
        <v/>
      </c>
      <c r="BR8" s="10"/>
      <c r="BS8" s="129"/>
      <c r="BT8" s="145" t="s">
        <v>63</v>
      </c>
      <c r="BU8" s="131" t="str">
        <f t="shared" si="40"/>
        <v/>
      </c>
      <c r="BV8" s="132" t="str">
        <f t="shared" si="41"/>
        <v/>
      </c>
      <c r="BW8" s="132" t="str">
        <f t="shared" si="42"/>
        <v/>
      </c>
      <c r="BX8" s="132" t="str">
        <f t="shared" si="43"/>
        <v/>
      </c>
      <c r="BY8" s="132" t="str">
        <f t="shared" si="44"/>
        <v/>
      </c>
      <c r="BZ8" s="132" t="str">
        <f t="shared" si="45"/>
        <v/>
      </c>
      <c r="CA8" s="146"/>
      <c r="CB8" s="10" t="str">
        <f t="shared" si="46"/>
        <v/>
      </c>
      <c r="CC8" s="7" t="str">
        <f t="shared" si="47"/>
        <v/>
      </c>
      <c r="CD8" s="147"/>
      <c r="CE8" s="147"/>
      <c r="CF8" s="4"/>
      <c r="CG8" s="4"/>
      <c r="CH8" s="148">
        <f t="shared" ca="1" si="48"/>
        <v>2026</v>
      </c>
      <c r="CI8" s="121" t="str">
        <f t="shared" ca="1" si="49"/>
        <v>令和</v>
      </c>
      <c r="CJ8" s="122" t="str">
        <f t="shared" ca="1" si="50"/>
        <v>R</v>
      </c>
      <c r="CK8" s="122" t="str">
        <f t="shared" ca="1" si="51"/>
        <v>8</v>
      </c>
      <c r="CL8" s="122">
        <f t="shared" ca="1" si="52"/>
        <v>10</v>
      </c>
      <c r="CM8" s="149">
        <f t="shared" ca="1" si="53"/>
        <v>24</v>
      </c>
      <c r="CN8" s="1"/>
      <c r="CO8" s="150">
        <f t="shared" ca="1" si="54"/>
        <v>46319</v>
      </c>
    </row>
    <row r="9" spans="1:93" ht="20.100000000000001" customHeight="1" x14ac:dyDescent="0.15">
      <c r="A9" s="7" t="str">
        <f>IF(B9="","",ROW()-ROW(会員表[#Headers]))</f>
        <v/>
      </c>
      <c r="B9" s="4" ph="1"/>
      <c r="C9" s="4" t="str" cm="1">
        <f t="array" ref="C9">_xlfn.LET(_xlpm.s,PHONETIC(B9),_xlpm.c,_xlfn.UNICODE(MID(_xlpm.s,_xlfn.SEQUENCE(LEN(_xlpm.s)),1)),IF(_xlpm.s="","",_xlfn.CONCAT(_xlfn.UNICHAR(_xlpm.c-96*(_xlpm.c&gt;=12449)*(_xlpm.c&lt;=12534)))))</f>
        <v/>
      </c>
      <c r="D9" s="4" t="str" cm="1">
        <f t="array" ref="D9">_xlfn.LET(_xlpm.s,PHONETIC(B9),_xlpm.c,_xlfn.UNICODE(MID(_xlpm.s,_xlfn.SEQUENCE(LEN(_xlpm.s)),1)),IF(_xlpm.s="","",_xlfn.CONCAT(_xlfn.UNICHAR(_xlpm.c+96*(_xlpm.c&gt;=12353)*(_xlpm.c&lt;=12438)))))</f>
        <v/>
      </c>
      <c r="E9" s="129" t="str">
        <f t="shared" ca="1" si="0"/>
        <v/>
      </c>
      <c r="F9" s="130" t="str">
        <f t="shared" si="1"/>
        <v/>
      </c>
      <c r="G9" s="130" t="str">
        <f t="shared" si="2"/>
        <v/>
      </c>
      <c r="H9" s="130" t="str">
        <f t="shared" si="3"/>
        <v/>
      </c>
      <c r="I9" s="131" t="str">
        <f t="shared" si="4"/>
        <v/>
      </c>
      <c r="J9" s="132" t="str">
        <f t="shared" si="5"/>
        <v/>
      </c>
      <c r="K9" s="121" t="str">
        <f t="shared" si="6"/>
        <v/>
      </c>
      <c r="L9" s="129" t="str">
        <f t="shared" si="7"/>
        <v/>
      </c>
      <c r="M9" s="7" t="str">
        <f t="shared" si="8"/>
        <v/>
      </c>
      <c r="N9" s="133"/>
      <c r="O9" s="8"/>
      <c r="P9" s="5" t="str">
        <f t="shared" si="9"/>
        <v/>
      </c>
      <c r="Q9" s="121" t="str">
        <f t="shared" si="10"/>
        <v/>
      </c>
      <c r="R9" s="121" t="str">
        <f t="shared" si="11"/>
        <v/>
      </c>
      <c r="S9" s="7" t="str">
        <f t="shared" si="12"/>
        <v/>
      </c>
      <c r="T9" s="5"/>
      <c r="U9" s="5" t="str">
        <f t="shared" si="13"/>
        <v/>
      </c>
      <c r="V9" s="121" t="str">
        <f t="shared" si="14"/>
        <v/>
      </c>
      <c r="W9" s="121" t="str">
        <f t="shared" si="15"/>
        <v/>
      </c>
      <c r="X9" s="7" t="str">
        <f t="shared" si="16"/>
        <v/>
      </c>
      <c r="Y9" s="136"/>
      <c r="Z9" s="5" t="str">
        <f t="shared" si="17"/>
        <v/>
      </c>
      <c r="AA9" s="137" t="s">
        <v>183</v>
      </c>
      <c r="AB9" s="7" t="str">
        <f t="shared" si="18"/>
        <v/>
      </c>
      <c r="AC9" s="9"/>
      <c r="AD9" s="4"/>
      <c r="AE9" s="138" t="str">
        <f t="shared" si="19"/>
        <v/>
      </c>
      <c r="AF9" s="139" t="str">
        <f t="shared" si="20"/>
        <v/>
      </c>
      <c r="AG9" s="139" t="str">
        <f t="shared" si="21"/>
        <v/>
      </c>
      <c r="AH9" s="139" t="str">
        <f t="shared" si="22"/>
        <v/>
      </c>
      <c r="AI9" s="139" t="str">
        <f t="shared" si="23"/>
        <v/>
      </c>
      <c r="AJ9" s="140" t="str">
        <f t="shared" si="24"/>
        <v/>
      </c>
      <c r="AK9" s="8"/>
      <c r="AL9" s="8" t="str">
        <f>IF(AM9="","",IF(各種設定金額!$B$7="","○○県",各種設定金額!$B$7))</f>
        <v/>
      </c>
      <c r="AM9" s="4"/>
      <c r="AN9" s="4"/>
      <c r="AO9" s="141" t="str">
        <f t="shared" si="25"/>
        <v/>
      </c>
      <c r="AP9" s="10"/>
      <c r="AQ9" s="129"/>
      <c r="AR9" s="142" t="s">
        <v>182</v>
      </c>
      <c r="AS9" s="131" t="str">
        <f t="shared" si="26"/>
        <v/>
      </c>
      <c r="AT9" s="132" t="str">
        <f t="shared" si="27"/>
        <v/>
      </c>
      <c r="AU9" s="132" t="str">
        <f t="shared" si="28"/>
        <v/>
      </c>
      <c r="AV9" s="132" t="str">
        <f t="shared" si="29"/>
        <v/>
      </c>
      <c r="AW9" s="132" t="str">
        <f t="shared" si="30"/>
        <v/>
      </c>
      <c r="AX9" s="143" t="str">
        <f t="shared" si="31"/>
        <v/>
      </c>
      <c r="AY9" s="144"/>
      <c r="AZ9" s="8" t="str">
        <f>IF(BA9="","",IF(各種設定金額!$B$7="","○○県",各種設定金額!$B$7))</f>
        <v/>
      </c>
      <c r="BA9" s="4"/>
      <c r="BB9" s="4"/>
      <c r="BC9" s="141" t="str">
        <f t="shared" si="32"/>
        <v/>
      </c>
      <c r="BD9" s="10"/>
      <c r="BE9" s="129"/>
      <c r="BF9" s="145" t="s">
        <v>63</v>
      </c>
      <c r="BG9" s="131" t="str">
        <f t="shared" si="33"/>
        <v/>
      </c>
      <c r="BH9" s="132" t="str">
        <f t="shared" si="34"/>
        <v/>
      </c>
      <c r="BI9" s="132" t="str">
        <f t="shared" si="35"/>
        <v/>
      </c>
      <c r="BJ9" s="132" t="str">
        <f t="shared" si="36"/>
        <v/>
      </c>
      <c r="BK9" s="132" t="str">
        <f t="shared" si="37"/>
        <v/>
      </c>
      <c r="BL9" s="132" t="str">
        <f t="shared" si="38"/>
        <v/>
      </c>
      <c r="BM9" s="146"/>
      <c r="BN9" s="8" t="str">
        <f>IF(BO9="","",IF(各種設定金額!$B$7="","○○県",各種設定金額!$B$7))</f>
        <v/>
      </c>
      <c r="BO9" s="4"/>
      <c r="BP9" s="4"/>
      <c r="BQ9" s="141" t="str">
        <f t="shared" si="39"/>
        <v/>
      </c>
      <c r="BR9" s="10"/>
      <c r="BS9" s="129"/>
      <c r="BT9" s="145" t="s">
        <v>63</v>
      </c>
      <c r="BU9" s="131" t="str">
        <f t="shared" si="40"/>
        <v/>
      </c>
      <c r="BV9" s="132" t="str">
        <f t="shared" si="41"/>
        <v/>
      </c>
      <c r="BW9" s="132" t="str">
        <f t="shared" si="42"/>
        <v/>
      </c>
      <c r="BX9" s="132" t="str">
        <f t="shared" si="43"/>
        <v/>
      </c>
      <c r="BY9" s="132" t="str">
        <f t="shared" si="44"/>
        <v/>
      </c>
      <c r="BZ9" s="132" t="str">
        <f t="shared" si="45"/>
        <v/>
      </c>
      <c r="CA9" s="146"/>
      <c r="CB9" s="10" t="str">
        <f t="shared" si="46"/>
        <v/>
      </c>
      <c r="CC9" s="7" t="str">
        <f t="shared" si="47"/>
        <v/>
      </c>
      <c r="CD9" s="147"/>
      <c r="CE9" s="147"/>
      <c r="CF9" s="4"/>
      <c r="CG9" s="4"/>
      <c r="CH9" s="148">
        <f t="shared" ca="1" si="48"/>
        <v>2026</v>
      </c>
      <c r="CI9" s="121" t="str">
        <f t="shared" ca="1" si="49"/>
        <v>令和</v>
      </c>
      <c r="CJ9" s="122" t="str">
        <f t="shared" ca="1" si="50"/>
        <v>R</v>
      </c>
      <c r="CK9" s="122" t="str">
        <f t="shared" ca="1" si="51"/>
        <v>8</v>
      </c>
      <c r="CL9" s="122">
        <f t="shared" ca="1" si="52"/>
        <v>10</v>
      </c>
      <c r="CM9" s="149">
        <f t="shared" ca="1" si="53"/>
        <v>24</v>
      </c>
      <c r="CN9" s="1"/>
      <c r="CO9" s="150">
        <f t="shared" ca="1" si="54"/>
        <v>46319</v>
      </c>
    </row>
    <row r="10" spans="1:93" ht="20.100000000000001" customHeight="1" x14ac:dyDescent="0.15">
      <c r="A10" s="7" t="str">
        <f>IF(B10="","",ROW()-ROW(会員表[#Headers]))</f>
        <v/>
      </c>
      <c r="B10" s="4" ph="1"/>
      <c r="C10" s="4" t="str" cm="1">
        <f t="array" ref="C10">_xlfn.LET(_xlpm.s,PHONETIC(B10),_xlpm.c,_xlfn.UNICODE(MID(_xlpm.s,_xlfn.SEQUENCE(LEN(_xlpm.s)),1)),IF(_xlpm.s="","",_xlfn.CONCAT(_xlfn.UNICHAR(_xlpm.c-96*(_xlpm.c&gt;=12449)*(_xlpm.c&lt;=12534)))))</f>
        <v/>
      </c>
      <c r="D10" s="4" t="str" cm="1">
        <f t="array" ref="D10">_xlfn.LET(_xlpm.s,PHONETIC(B10),_xlpm.c,_xlfn.UNICODE(MID(_xlpm.s,_xlfn.SEQUENCE(LEN(_xlpm.s)),1)),IF(_xlpm.s="","",_xlfn.CONCAT(_xlfn.UNICHAR(_xlpm.c+96*(_xlpm.c&gt;=12353)*(_xlpm.c&lt;=12438)))))</f>
        <v/>
      </c>
      <c r="E10" s="129" t="str">
        <f t="shared" ca="1" si="0"/>
        <v/>
      </c>
      <c r="F10" s="130" t="str">
        <f t="shared" si="1"/>
        <v/>
      </c>
      <c r="G10" s="130" t="str">
        <f t="shared" si="2"/>
        <v/>
      </c>
      <c r="H10" s="130" t="str">
        <f t="shared" si="3"/>
        <v/>
      </c>
      <c r="I10" s="131" t="str">
        <f t="shared" si="4"/>
        <v/>
      </c>
      <c r="J10" s="132" t="str">
        <f t="shared" si="5"/>
        <v/>
      </c>
      <c r="K10" s="121" t="str">
        <f t="shared" si="6"/>
        <v/>
      </c>
      <c r="L10" s="129" t="str">
        <f t="shared" si="7"/>
        <v/>
      </c>
      <c r="M10" s="7" t="str">
        <f t="shared" si="8"/>
        <v/>
      </c>
      <c r="N10" s="133"/>
      <c r="O10" s="151"/>
      <c r="P10" s="5" t="str">
        <f t="shared" si="9"/>
        <v/>
      </c>
      <c r="Q10" s="121" t="str">
        <f t="shared" si="10"/>
        <v/>
      </c>
      <c r="R10" s="121" t="str">
        <f t="shared" si="11"/>
        <v/>
      </c>
      <c r="S10" s="7" t="str">
        <f t="shared" si="12"/>
        <v/>
      </c>
      <c r="T10" s="5"/>
      <c r="U10" s="5" t="str">
        <f t="shared" si="13"/>
        <v/>
      </c>
      <c r="V10" s="121" t="str">
        <f t="shared" si="14"/>
        <v/>
      </c>
      <c r="W10" s="121" t="str">
        <f t="shared" si="15"/>
        <v/>
      </c>
      <c r="X10" s="7" t="str">
        <f t="shared" si="16"/>
        <v/>
      </c>
      <c r="Y10" s="136"/>
      <c r="Z10" s="5" t="str">
        <f t="shared" si="17"/>
        <v/>
      </c>
      <c r="AA10" s="137" t="s">
        <v>183</v>
      </c>
      <c r="AB10" s="7" t="str">
        <f t="shared" si="18"/>
        <v/>
      </c>
      <c r="AC10" s="9"/>
      <c r="AD10" s="153"/>
      <c r="AE10" s="154" t="str">
        <f t="shared" si="19"/>
        <v/>
      </c>
      <c r="AF10" s="155" t="str">
        <f t="shared" si="20"/>
        <v/>
      </c>
      <c r="AG10" s="155" t="str">
        <f t="shared" si="21"/>
        <v/>
      </c>
      <c r="AH10" s="155" t="str">
        <f t="shared" si="22"/>
        <v/>
      </c>
      <c r="AI10" s="155" t="str">
        <f t="shared" si="23"/>
        <v/>
      </c>
      <c r="AJ10" s="156" t="str">
        <f t="shared" si="24"/>
        <v/>
      </c>
      <c r="AK10" s="80"/>
      <c r="AL10" s="8" t="str">
        <f>IF(AM10="","",IF(各種設定金額!$B$7="","○○県",各種設定金額!$B$7))</f>
        <v/>
      </c>
      <c r="AM10" s="4"/>
      <c r="AN10" s="4"/>
      <c r="AO10" s="141" t="str">
        <f t="shared" si="25"/>
        <v/>
      </c>
      <c r="AP10" s="10"/>
      <c r="AQ10" s="129"/>
      <c r="AR10" s="142" t="s">
        <v>182</v>
      </c>
      <c r="AS10" s="131" t="str">
        <f t="shared" si="26"/>
        <v/>
      </c>
      <c r="AT10" s="132" t="str">
        <f t="shared" si="27"/>
        <v/>
      </c>
      <c r="AU10" s="132" t="str">
        <f t="shared" si="28"/>
        <v/>
      </c>
      <c r="AV10" s="132" t="str">
        <f t="shared" si="29"/>
        <v/>
      </c>
      <c r="AW10" s="132" t="str">
        <f t="shared" si="30"/>
        <v/>
      </c>
      <c r="AX10" s="143" t="str">
        <f t="shared" si="31"/>
        <v/>
      </c>
      <c r="AY10" s="144"/>
      <c r="AZ10" s="8" t="str">
        <f>IF(BA10="","",IF(各種設定金額!$B$7="","○○県",各種設定金額!$B$7))</f>
        <v/>
      </c>
      <c r="BA10" s="4"/>
      <c r="BB10" s="4"/>
      <c r="BC10" s="141" t="str">
        <f t="shared" si="32"/>
        <v/>
      </c>
      <c r="BD10" s="10"/>
      <c r="BE10" s="129"/>
      <c r="BF10" s="145" t="s">
        <v>63</v>
      </c>
      <c r="BG10" s="131" t="str">
        <f t="shared" si="33"/>
        <v/>
      </c>
      <c r="BH10" s="132" t="str">
        <f t="shared" si="34"/>
        <v/>
      </c>
      <c r="BI10" s="132" t="str">
        <f t="shared" si="35"/>
        <v/>
      </c>
      <c r="BJ10" s="132" t="str">
        <f t="shared" si="36"/>
        <v/>
      </c>
      <c r="BK10" s="132" t="str">
        <f t="shared" si="37"/>
        <v/>
      </c>
      <c r="BL10" s="132" t="str">
        <f t="shared" si="38"/>
        <v/>
      </c>
      <c r="BM10" s="146"/>
      <c r="BN10" s="8" t="str">
        <f>IF(BO10="","",IF(各種設定金額!$B$7="","○○県",各種設定金額!$B$7))</f>
        <v/>
      </c>
      <c r="BO10" s="4"/>
      <c r="BP10" s="4"/>
      <c r="BQ10" s="141" t="str">
        <f t="shared" si="39"/>
        <v/>
      </c>
      <c r="BR10" s="10"/>
      <c r="BS10" s="129"/>
      <c r="BT10" s="145" t="s">
        <v>63</v>
      </c>
      <c r="BU10" s="131" t="str">
        <f t="shared" si="40"/>
        <v/>
      </c>
      <c r="BV10" s="132" t="str">
        <f t="shared" si="41"/>
        <v/>
      </c>
      <c r="BW10" s="132" t="str">
        <f t="shared" si="42"/>
        <v/>
      </c>
      <c r="BX10" s="132" t="str">
        <f t="shared" si="43"/>
        <v/>
      </c>
      <c r="BY10" s="132" t="str">
        <f t="shared" si="44"/>
        <v/>
      </c>
      <c r="BZ10" s="132" t="str">
        <f t="shared" si="45"/>
        <v/>
      </c>
      <c r="CA10" s="146"/>
      <c r="CB10" s="10" t="str">
        <f t="shared" si="46"/>
        <v/>
      </c>
      <c r="CC10" s="7" t="str">
        <f t="shared" si="47"/>
        <v/>
      </c>
      <c r="CD10" s="147"/>
      <c r="CE10" s="147"/>
      <c r="CF10" s="6"/>
      <c r="CG10" s="4"/>
      <c r="CH10" s="148">
        <f t="shared" ca="1" si="48"/>
        <v>2026</v>
      </c>
      <c r="CI10" s="121" t="str">
        <f t="shared" ca="1" si="49"/>
        <v>令和</v>
      </c>
      <c r="CJ10" s="122" t="str">
        <f t="shared" ca="1" si="50"/>
        <v>R</v>
      </c>
      <c r="CK10" s="122" t="str">
        <f t="shared" ca="1" si="51"/>
        <v>8</v>
      </c>
      <c r="CL10" s="122">
        <f t="shared" ca="1" si="52"/>
        <v>10</v>
      </c>
      <c r="CM10" s="149">
        <f t="shared" ca="1" si="53"/>
        <v>24</v>
      </c>
      <c r="CN10" s="1"/>
      <c r="CO10" s="150">
        <f t="shared" ca="1" si="54"/>
        <v>46319</v>
      </c>
    </row>
    <row r="11" spans="1:93" ht="20.100000000000001" customHeight="1" x14ac:dyDescent="0.15">
      <c r="A11" s="7" t="str">
        <f>IF(B11="","",ROW()-ROW(会員表[#Headers]))</f>
        <v/>
      </c>
      <c r="B11" s="4" ph="1"/>
      <c r="C11" s="4" t="str" cm="1">
        <f t="array" ref="C11">_xlfn.LET(_xlpm.s,PHONETIC(B11),_xlpm.c,_xlfn.UNICODE(MID(_xlpm.s,_xlfn.SEQUENCE(LEN(_xlpm.s)),1)),IF(_xlpm.s="","",_xlfn.CONCAT(_xlfn.UNICHAR(_xlpm.c-96*(_xlpm.c&gt;=12449)*(_xlpm.c&lt;=12534)))))</f>
        <v/>
      </c>
      <c r="D11" s="4" t="str" cm="1">
        <f t="array" ref="D11">_xlfn.LET(_xlpm.s,PHONETIC(B11),_xlpm.c,_xlfn.UNICODE(MID(_xlpm.s,_xlfn.SEQUENCE(LEN(_xlpm.s)),1)),IF(_xlpm.s="","",_xlfn.CONCAT(_xlfn.UNICHAR(_xlpm.c+96*(_xlpm.c&gt;=12353)*(_xlpm.c&lt;=12438)))))</f>
        <v/>
      </c>
      <c r="E11" s="129" t="str">
        <f t="shared" ca="1" si="0"/>
        <v/>
      </c>
      <c r="F11" s="130" t="str">
        <f t="shared" si="1"/>
        <v/>
      </c>
      <c r="G11" s="130" t="str">
        <f t="shared" si="2"/>
        <v/>
      </c>
      <c r="H11" s="130" t="str">
        <f t="shared" si="3"/>
        <v/>
      </c>
      <c r="I11" s="131" t="str">
        <f t="shared" si="4"/>
        <v/>
      </c>
      <c r="J11" s="132" t="str">
        <f t="shared" si="5"/>
        <v/>
      </c>
      <c r="K11" s="121" t="str">
        <f t="shared" si="6"/>
        <v/>
      </c>
      <c r="L11" s="129" t="str">
        <f t="shared" si="7"/>
        <v/>
      </c>
      <c r="M11" s="7" t="str">
        <f t="shared" si="8"/>
        <v/>
      </c>
      <c r="N11" s="133"/>
      <c r="O11" s="8"/>
      <c r="P11" s="5" t="str">
        <f t="shared" si="9"/>
        <v/>
      </c>
      <c r="Q11" s="121" t="str">
        <f t="shared" si="10"/>
        <v/>
      </c>
      <c r="R11" s="121" t="str">
        <f t="shared" si="11"/>
        <v/>
      </c>
      <c r="S11" s="7" t="str">
        <f t="shared" si="12"/>
        <v/>
      </c>
      <c r="T11" s="5"/>
      <c r="U11" s="5" t="str">
        <f t="shared" si="13"/>
        <v/>
      </c>
      <c r="V11" s="121" t="str">
        <f t="shared" si="14"/>
        <v/>
      </c>
      <c r="W11" s="121" t="str">
        <f t="shared" si="15"/>
        <v/>
      </c>
      <c r="X11" s="7" t="str">
        <f t="shared" si="16"/>
        <v/>
      </c>
      <c r="Y11" s="136"/>
      <c r="Z11" s="5" t="str">
        <f t="shared" si="17"/>
        <v/>
      </c>
      <c r="AA11" s="137" t="s">
        <v>183</v>
      </c>
      <c r="AB11" s="7" t="str">
        <f t="shared" si="18"/>
        <v/>
      </c>
      <c r="AC11" s="9"/>
      <c r="AD11" s="4"/>
      <c r="AE11" s="138" t="str">
        <f t="shared" si="19"/>
        <v/>
      </c>
      <c r="AF11" s="139" t="str">
        <f t="shared" si="20"/>
        <v/>
      </c>
      <c r="AG11" s="139" t="str">
        <f t="shared" si="21"/>
        <v/>
      </c>
      <c r="AH11" s="139" t="str">
        <f t="shared" si="22"/>
        <v/>
      </c>
      <c r="AI11" s="139" t="str">
        <f t="shared" si="23"/>
        <v/>
      </c>
      <c r="AJ11" s="140" t="str">
        <f t="shared" si="24"/>
        <v/>
      </c>
      <c r="AK11" s="8"/>
      <c r="AL11" s="8" t="str">
        <f>IF(AM11="","",IF(各種設定金額!$B$7="","○○県",各種設定金額!$B$7))</f>
        <v/>
      </c>
      <c r="AM11" s="4"/>
      <c r="AN11" s="4"/>
      <c r="AO11" s="141" t="str">
        <f t="shared" si="25"/>
        <v/>
      </c>
      <c r="AP11" s="10"/>
      <c r="AQ11" s="129"/>
      <c r="AR11" s="142" t="s">
        <v>182</v>
      </c>
      <c r="AS11" s="131" t="str">
        <f t="shared" si="26"/>
        <v/>
      </c>
      <c r="AT11" s="132" t="str">
        <f t="shared" si="27"/>
        <v/>
      </c>
      <c r="AU11" s="132" t="str">
        <f t="shared" si="28"/>
        <v/>
      </c>
      <c r="AV11" s="132" t="str">
        <f t="shared" si="29"/>
        <v/>
      </c>
      <c r="AW11" s="132" t="str">
        <f t="shared" si="30"/>
        <v/>
      </c>
      <c r="AX11" s="143" t="str">
        <f t="shared" si="31"/>
        <v/>
      </c>
      <c r="AY11" s="144"/>
      <c r="AZ11" s="8" t="str">
        <f>IF(BA11="","",IF(各種設定金額!$B$7="","○○県",各種設定金額!$B$7))</f>
        <v/>
      </c>
      <c r="BA11" s="4"/>
      <c r="BB11" s="4"/>
      <c r="BC11" s="141" t="str">
        <f t="shared" si="32"/>
        <v/>
      </c>
      <c r="BD11" s="10"/>
      <c r="BE11" s="129"/>
      <c r="BF11" s="145" t="s">
        <v>63</v>
      </c>
      <c r="BG11" s="131" t="str">
        <f t="shared" si="33"/>
        <v/>
      </c>
      <c r="BH11" s="132" t="str">
        <f t="shared" si="34"/>
        <v/>
      </c>
      <c r="BI11" s="132" t="str">
        <f t="shared" si="35"/>
        <v/>
      </c>
      <c r="BJ11" s="132" t="str">
        <f t="shared" si="36"/>
        <v/>
      </c>
      <c r="BK11" s="132" t="str">
        <f t="shared" si="37"/>
        <v/>
      </c>
      <c r="BL11" s="132" t="str">
        <f t="shared" si="38"/>
        <v/>
      </c>
      <c r="BM11" s="146"/>
      <c r="BN11" s="8" t="str">
        <f>IF(BO11="","",IF(各種設定金額!$B$7="","○○県",各種設定金額!$B$7))</f>
        <v/>
      </c>
      <c r="BO11" s="4"/>
      <c r="BP11" s="4"/>
      <c r="BQ11" s="141" t="str">
        <f t="shared" si="39"/>
        <v/>
      </c>
      <c r="BR11" s="10"/>
      <c r="BS11" s="129"/>
      <c r="BT11" s="145" t="s">
        <v>63</v>
      </c>
      <c r="BU11" s="131" t="str">
        <f t="shared" si="40"/>
        <v/>
      </c>
      <c r="BV11" s="132" t="str">
        <f t="shared" si="41"/>
        <v/>
      </c>
      <c r="BW11" s="132" t="str">
        <f t="shared" si="42"/>
        <v/>
      </c>
      <c r="BX11" s="132" t="str">
        <f t="shared" si="43"/>
        <v/>
      </c>
      <c r="BY11" s="132" t="str">
        <f t="shared" si="44"/>
        <v/>
      </c>
      <c r="BZ11" s="132" t="str">
        <f t="shared" si="45"/>
        <v/>
      </c>
      <c r="CA11" s="146"/>
      <c r="CB11" s="10" t="str">
        <f t="shared" si="46"/>
        <v/>
      </c>
      <c r="CC11" s="7" t="str">
        <f t="shared" si="47"/>
        <v/>
      </c>
      <c r="CD11" s="147"/>
      <c r="CE11" s="147"/>
      <c r="CF11" s="4"/>
      <c r="CG11" s="4"/>
      <c r="CH11" s="148">
        <f t="shared" ca="1" si="48"/>
        <v>2026</v>
      </c>
      <c r="CI11" s="121" t="str">
        <f t="shared" ca="1" si="49"/>
        <v>令和</v>
      </c>
      <c r="CJ11" s="122" t="str">
        <f t="shared" ca="1" si="50"/>
        <v>R</v>
      </c>
      <c r="CK11" s="122" t="str">
        <f t="shared" ca="1" si="51"/>
        <v>8</v>
      </c>
      <c r="CL11" s="122">
        <f t="shared" ca="1" si="52"/>
        <v>10</v>
      </c>
      <c r="CM11" s="149">
        <f t="shared" ca="1" si="53"/>
        <v>24</v>
      </c>
      <c r="CN11" s="1"/>
      <c r="CO11" s="150">
        <f t="shared" ca="1" si="54"/>
        <v>46319</v>
      </c>
    </row>
    <row r="12" spans="1:93" ht="20.100000000000001" customHeight="1" x14ac:dyDescent="0.15">
      <c r="A12" s="7" t="str">
        <f>IF(B12="","",ROW()-ROW(会員表[#Headers]))</f>
        <v/>
      </c>
      <c r="B12" s="4" ph="1"/>
      <c r="C12" s="4" t="str" cm="1">
        <f t="array" ref="C12">_xlfn.LET(_xlpm.s,PHONETIC(B12),_xlpm.c,_xlfn.UNICODE(MID(_xlpm.s,_xlfn.SEQUENCE(LEN(_xlpm.s)),1)),IF(_xlpm.s="","",_xlfn.CONCAT(_xlfn.UNICHAR(_xlpm.c-96*(_xlpm.c&gt;=12449)*(_xlpm.c&lt;=12534)))))</f>
        <v/>
      </c>
      <c r="D12" s="4" t="str" cm="1">
        <f t="array" ref="D12">_xlfn.LET(_xlpm.s,PHONETIC(B12),_xlpm.c,_xlfn.UNICODE(MID(_xlpm.s,_xlfn.SEQUENCE(LEN(_xlpm.s)),1)),IF(_xlpm.s="","",_xlfn.CONCAT(_xlfn.UNICHAR(_xlpm.c+96*(_xlpm.c&gt;=12353)*(_xlpm.c&lt;=12438)))))</f>
        <v/>
      </c>
      <c r="E12" s="129" t="str">
        <f t="shared" ca="1" si="0"/>
        <v/>
      </c>
      <c r="F12" s="130" t="str">
        <f t="shared" si="1"/>
        <v/>
      </c>
      <c r="G12" s="130" t="str">
        <f t="shared" si="2"/>
        <v/>
      </c>
      <c r="H12" s="130" t="str">
        <f t="shared" si="3"/>
        <v/>
      </c>
      <c r="I12" s="131" t="str">
        <f t="shared" si="4"/>
        <v/>
      </c>
      <c r="J12" s="132" t="str">
        <f t="shared" si="5"/>
        <v/>
      </c>
      <c r="K12" s="121" t="str">
        <f t="shared" si="6"/>
        <v/>
      </c>
      <c r="L12" s="129" t="str">
        <f t="shared" si="7"/>
        <v/>
      </c>
      <c r="M12" s="7" t="str">
        <f t="shared" si="8"/>
        <v/>
      </c>
      <c r="N12" s="133"/>
      <c r="O12" s="8"/>
      <c r="P12" s="5" t="str">
        <f t="shared" si="9"/>
        <v/>
      </c>
      <c r="Q12" s="121" t="str">
        <f t="shared" si="10"/>
        <v/>
      </c>
      <c r="R12" s="121" t="str">
        <f t="shared" si="11"/>
        <v/>
      </c>
      <c r="S12" s="7" t="str">
        <f t="shared" si="12"/>
        <v/>
      </c>
      <c r="T12" s="5"/>
      <c r="U12" s="5" t="str">
        <f t="shared" si="13"/>
        <v/>
      </c>
      <c r="V12" s="121" t="str">
        <f t="shared" si="14"/>
        <v/>
      </c>
      <c r="W12" s="121" t="str">
        <f t="shared" si="15"/>
        <v/>
      </c>
      <c r="X12" s="7" t="str">
        <f t="shared" si="16"/>
        <v/>
      </c>
      <c r="Y12" s="136"/>
      <c r="Z12" s="5" t="str">
        <f t="shared" si="17"/>
        <v/>
      </c>
      <c r="AA12" s="137" t="s">
        <v>183</v>
      </c>
      <c r="AB12" s="7" t="str">
        <f t="shared" si="18"/>
        <v/>
      </c>
      <c r="AC12" s="9"/>
      <c r="AD12" s="4"/>
      <c r="AE12" s="138" t="str">
        <f t="shared" si="19"/>
        <v/>
      </c>
      <c r="AF12" s="139" t="str">
        <f t="shared" si="20"/>
        <v/>
      </c>
      <c r="AG12" s="139" t="str">
        <f t="shared" si="21"/>
        <v/>
      </c>
      <c r="AH12" s="139" t="str">
        <f t="shared" si="22"/>
        <v/>
      </c>
      <c r="AI12" s="139" t="str">
        <f t="shared" si="23"/>
        <v/>
      </c>
      <c r="AJ12" s="140" t="str">
        <f t="shared" si="24"/>
        <v/>
      </c>
      <c r="AK12" s="8"/>
      <c r="AL12" s="8" t="str">
        <f>IF(AM12="","",IF(各種設定金額!$B$7="","○○県",各種設定金額!$B$7))</f>
        <v/>
      </c>
      <c r="AM12" s="4"/>
      <c r="AN12" s="4"/>
      <c r="AO12" s="141" t="str">
        <f t="shared" si="25"/>
        <v/>
      </c>
      <c r="AP12" s="10"/>
      <c r="AQ12" s="129"/>
      <c r="AR12" s="142" t="s">
        <v>182</v>
      </c>
      <c r="AS12" s="131" t="str">
        <f t="shared" si="26"/>
        <v/>
      </c>
      <c r="AT12" s="132" t="str">
        <f t="shared" si="27"/>
        <v/>
      </c>
      <c r="AU12" s="132" t="str">
        <f t="shared" si="28"/>
        <v/>
      </c>
      <c r="AV12" s="132" t="str">
        <f t="shared" si="29"/>
        <v/>
      </c>
      <c r="AW12" s="132" t="str">
        <f t="shared" si="30"/>
        <v/>
      </c>
      <c r="AX12" s="143" t="str">
        <f t="shared" si="31"/>
        <v/>
      </c>
      <c r="AY12" s="144"/>
      <c r="AZ12" s="8" t="str">
        <f>IF(BA12="","",IF(各種設定金額!$B$7="","○○県",各種設定金額!$B$7))</f>
        <v/>
      </c>
      <c r="BA12" s="4"/>
      <c r="BB12" s="4"/>
      <c r="BC12" s="141" t="str">
        <f t="shared" si="32"/>
        <v/>
      </c>
      <c r="BD12" s="10"/>
      <c r="BE12" s="129"/>
      <c r="BF12" s="145" t="s">
        <v>63</v>
      </c>
      <c r="BG12" s="131" t="str">
        <f t="shared" si="33"/>
        <v/>
      </c>
      <c r="BH12" s="132" t="str">
        <f t="shared" si="34"/>
        <v/>
      </c>
      <c r="BI12" s="132" t="str">
        <f t="shared" si="35"/>
        <v/>
      </c>
      <c r="BJ12" s="132" t="str">
        <f t="shared" si="36"/>
        <v/>
      </c>
      <c r="BK12" s="132" t="str">
        <f t="shared" si="37"/>
        <v/>
      </c>
      <c r="BL12" s="132" t="str">
        <f t="shared" si="38"/>
        <v/>
      </c>
      <c r="BM12" s="146"/>
      <c r="BN12" s="8" t="str">
        <f>IF(BO12="","",IF(各種設定金額!$B$7="","○○県",各種設定金額!$B$7))</f>
        <v/>
      </c>
      <c r="BO12" s="4"/>
      <c r="BP12" s="4"/>
      <c r="BQ12" s="141" t="str">
        <f t="shared" si="39"/>
        <v/>
      </c>
      <c r="BR12" s="10"/>
      <c r="BS12" s="129"/>
      <c r="BT12" s="145" t="s">
        <v>63</v>
      </c>
      <c r="BU12" s="131" t="str">
        <f t="shared" si="40"/>
        <v/>
      </c>
      <c r="BV12" s="132" t="str">
        <f t="shared" si="41"/>
        <v/>
      </c>
      <c r="BW12" s="132" t="str">
        <f t="shared" si="42"/>
        <v/>
      </c>
      <c r="BX12" s="132" t="str">
        <f t="shared" si="43"/>
        <v/>
      </c>
      <c r="BY12" s="132" t="str">
        <f t="shared" si="44"/>
        <v/>
      </c>
      <c r="BZ12" s="132" t="str">
        <f t="shared" si="45"/>
        <v/>
      </c>
      <c r="CA12" s="146"/>
      <c r="CB12" s="10" t="str">
        <f t="shared" si="46"/>
        <v/>
      </c>
      <c r="CC12" s="7" t="str">
        <f t="shared" si="47"/>
        <v/>
      </c>
      <c r="CD12" s="147"/>
      <c r="CE12" s="147"/>
      <c r="CF12" s="4"/>
      <c r="CG12" s="4"/>
      <c r="CH12" s="148">
        <f t="shared" ca="1" si="48"/>
        <v>2026</v>
      </c>
      <c r="CI12" s="121" t="str">
        <f t="shared" ca="1" si="49"/>
        <v>令和</v>
      </c>
      <c r="CJ12" s="122" t="str">
        <f t="shared" ca="1" si="50"/>
        <v>R</v>
      </c>
      <c r="CK12" s="122" t="str">
        <f t="shared" ca="1" si="51"/>
        <v>8</v>
      </c>
      <c r="CL12" s="122">
        <f t="shared" ca="1" si="52"/>
        <v>10</v>
      </c>
      <c r="CM12" s="149">
        <f t="shared" ca="1" si="53"/>
        <v>24</v>
      </c>
      <c r="CN12" s="1"/>
      <c r="CO12" s="150">
        <f t="shared" ca="1" si="54"/>
        <v>46319</v>
      </c>
    </row>
    <row r="13" spans="1:93" ht="20.100000000000001" customHeight="1" x14ac:dyDescent="0.15">
      <c r="A13" s="7" t="str">
        <f>IF(B13="","",ROW()-ROW(会員表[#Headers]))</f>
        <v/>
      </c>
      <c r="B13" s="4" ph="1"/>
      <c r="C13" s="4" t="str" cm="1">
        <f t="array" ref="C13">_xlfn.LET(_xlpm.s,PHONETIC(B13),_xlpm.c,_xlfn.UNICODE(MID(_xlpm.s,_xlfn.SEQUENCE(LEN(_xlpm.s)),1)),IF(_xlpm.s="","",_xlfn.CONCAT(_xlfn.UNICHAR(_xlpm.c-96*(_xlpm.c&gt;=12449)*(_xlpm.c&lt;=12534)))))</f>
        <v/>
      </c>
      <c r="D13" s="4" t="str" cm="1">
        <f t="array" ref="D13">_xlfn.LET(_xlpm.s,PHONETIC(B13),_xlpm.c,_xlfn.UNICODE(MID(_xlpm.s,_xlfn.SEQUENCE(LEN(_xlpm.s)),1)),IF(_xlpm.s="","",_xlfn.CONCAT(_xlfn.UNICHAR(_xlpm.c+96*(_xlpm.c&gt;=12353)*(_xlpm.c&lt;=12438)))))</f>
        <v/>
      </c>
      <c r="E13" s="129" t="str">
        <f t="shared" ca="1" si="0"/>
        <v/>
      </c>
      <c r="F13" s="130" t="str">
        <f t="shared" si="1"/>
        <v/>
      </c>
      <c r="G13" s="130" t="str">
        <f t="shared" si="2"/>
        <v/>
      </c>
      <c r="H13" s="130" t="str">
        <f t="shared" si="3"/>
        <v/>
      </c>
      <c r="I13" s="131" t="str">
        <f t="shared" si="4"/>
        <v/>
      </c>
      <c r="J13" s="132" t="str">
        <f t="shared" si="5"/>
        <v/>
      </c>
      <c r="K13" s="121" t="str">
        <f t="shared" si="6"/>
        <v/>
      </c>
      <c r="L13" s="129" t="str">
        <f t="shared" si="7"/>
        <v/>
      </c>
      <c r="M13" s="7" t="str">
        <f t="shared" si="8"/>
        <v/>
      </c>
      <c r="N13" s="133"/>
      <c r="O13" s="8"/>
      <c r="P13" s="5" t="str">
        <f t="shared" si="9"/>
        <v/>
      </c>
      <c r="Q13" s="121" t="str">
        <f t="shared" si="10"/>
        <v/>
      </c>
      <c r="R13" s="121" t="str">
        <f t="shared" si="11"/>
        <v/>
      </c>
      <c r="S13" s="7" t="str">
        <f t="shared" si="12"/>
        <v/>
      </c>
      <c r="T13" s="5"/>
      <c r="U13" s="5" t="str">
        <f t="shared" si="13"/>
        <v/>
      </c>
      <c r="V13" s="121" t="str">
        <f t="shared" si="14"/>
        <v/>
      </c>
      <c r="W13" s="121" t="str">
        <f t="shared" si="15"/>
        <v/>
      </c>
      <c r="X13" s="7" t="str">
        <f t="shared" si="16"/>
        <v/>
      </c>
      <c r="Y13" s="136"/>
      <c r="Z13" s="5" t="str">
        <f t="shared" si="17"/>
        <v/>
      </c>
      <c r="AA13" s="137" t="s">
        <v>183</v>
      </c>
      <c r="AB13" s="7" t="str">
        <f t="shared" si="18"/>
        <v/>
      </c>
      <c r="AC13" s="157"/>
      <c r="AD13" s="4"/>
      <c r="AE13" s="138" t="str">
        <f t="shared" si="19"/>
        <v/>
      </c>
      <c r="AF13" s="139" t="str">
        <f t="shared" si="20"/>
        <v/>
      </c>
      <c r="AG13" s="139" t="str">
        <f t="shared" si="21"/>
        <v/>
      </c>
      <c r="AH13" s="139" t="str">
        <f t="shared" si="22"/>
        <v/>
      </c>
      <c r="AI13" s="139" t="str">
        <f t="shared" si="23"/>
        <v/>
      </c>
      <c r="AJ13" s="140" t="str">
        <f t="shared" si="24"/>
        <v/>
      </c>
      <c r="AK13" s="8"/>
      <c r="AL13" s="8" t="str">
        <f>IF(AM13="","",IF(各種設定金額!$B$7="","○○県",各種設定金額!$B$7))</f>
        <v/>
      </c>
      <c r="AM13" s="4"/>
      <c r="AN13" s="4"/>
      <c r="AO13" s="141" t="str">
        <f t="shared" si="25"/>
        <v/>
      </c>
      <c r="AP13" s="10"/>
      <c r="AQ13" s="129"/>
      <c r="AR13" s="142" t="s">
        <v>182</v>
      </c>
      <c r="AS13" s="131" t="str">
        <f t="shared" si="26"/>
        <v/>
      </c>
      <c r="AT13" s="132" t="str">
        <f t="shared" si="27"/>
        <v/>
      </c>
      <c r="AU13" s="132" t="str">
        <f t="shared" si="28"/>
        <v/>
      </c>
      <c r="AV13" s="132" t="str">
        <f t="shared" si="29"/>
        <v/>
      </c>
      <c r="AW13" s="132" t="str">
        <f t="shared" si="30"/>
        <v/>
      </c>
      <c r="AX13" s="143" t="str">
        <f t="shared" si="31"/>
        <v/>
      </c>
      <c r="AY13" s="144"/>
      <c r="AZ13" s="8" t="str">
        <f>IF(BA13="","",IF(各種設定金額!$B$7="","○○県",各種設定金額!$B$7))</f>
        <v/>
      </c>
      <c r="BA13" s="4"/>
      <c r="BB13" s="4"/>
      <c r="BC13" s="141" t="str">
        <f t="shared" si="32"/>
        <v/>
      </c>
      <c r="BD13" s="10"/>
      <c r="BE13" s="129"/>
      <c r="BF13" s="145" t="s">
        <v>63</v>
      </c>
      <c r="BG13" s="131" t="str">
        <f t="shared" si="33"/>
        <v/>
      </c>
      <c r="BH13" s="132" t="str">
        <f t="shared" si="34"/>
        <v/>
      </c>
      <c r="BI13" s="132" t="str">
        <f t="shared" si="35"/>
        <v/>
      </c>
      <c r="BJ13" s="132" t="str">
        <f t="shared" si="36"/>
        <v/>
      </c>
      <c r="BK13" s="132" t="str">
        <f t="shared" si="37"/>
        <v/>
      </c>
      <c r="BL13" s="132" t="str">
        <f t="shared" si="38"/>
        <v/>
      </c>
      <c r="BM13" s="146"/>
      <c r="BN13" s="8" t="str">
        <f>IF(BO13="","",IF(各種設定金額!$B$7="","○○県",各種設定金額!$B$7))</f>
        <v/>
      </c>
      <c r="BO13" s="4"/>
      <c r="BP13" s="4"/>
      <c r="BQ13" s="141" t="str">
        <f t="shared" si="39"/>
        <v/>
      </c>
      <c r="BR13" s="10"/>
      <c r="BS13" s="129"/>
      <c r="BT13" s="145" t="s">
        <v>63</v>
      </c>
      <c r="BU13" s="131" t="str">
        <f t="shared" si="40"/>
        <v/>
      </c>
      <c r="BV13" s="132" t="str">
        <f t="shared" si="41"/>
        <v/>
      </c>
      <c r="BW13" s="132" t="str">
        <f t="shared" si="42"/>
        <v/>
      </c>
      <c r="BX13" s="132" t="str">
        <f t="shared" si="43"/>
        <v/>
      </c>
      <c r="BY13" s="132" t="str">
        <f t="shared" si="44"/>
        <v/>
      </c>
      <c r="BZ13" s="132" t="str">
        <f t="shared" si="45"/>
        <v/>
      </c>
      <c r="CA13" s="146"/>
      <c r="CB13" s="10" t="str">
        <f t="shared" si="46"/>
        <v/>
      </c>
      <c r="CC13" s="7" t="str">
        <f t="shared" si="47"/>
        <v/>
      </c>
      <c r="CD13" s="147"/>
      <c r="CE13" s="147"/>
      <c r="CF13" s="4"/>
      <c r="CG13" s="4"/>
      <c r="CH13" s="148">
        <f t="shared" ca="1" si="48"/>
        <v>2026</v>
      </c>
      <c r="CI13" s="121" t="str">
        <f t="shared" ca="1" si="49"/>
        <v>令和</v>
      </c>
      <c r="CJ13" s="122" t="str">
        <f t="shared" ca="1" si="50"/>
        <v>R</v>
      </c>
      <c r="CK13" s="122" t="str">
        <f t="shared" ca="1" si="51"/>
        <v>8</v>
      </c>
      <c r="CL13" s="122">
        <f t="shared" ca="1" si="52"/>
        <v>10</v>
      </c>
      <c r="CM13" s="149">
        <f t="shared" ca="1" si="53"/>
        <v>24</v>
      </c>
      <c r="CN13" s="1"/>
      <c r="CO13" s="150">
        <f t="shared" ca="1" si="54"/>
        <v>46319</v>
      </c>
    </row>
    <row r="14" spans="1:93" ht="20.100000000000001" customHeight="1" x14ac:dyDescent="0.15">
      <c r="A14" s="7" t="str">
        <f>IF(B14="","",ROW()-ROW(会員表[#Headers]))</f>
        <v/>
      </c>
      <c r="B14" s="4" ph="1"/>
      <c r="C14" s="4" t="str" cm="1">
        <f t="array" ref="C14">_xlfn.LET(_xlpm.s,PHONETIC(B14),_xlpm.c,_xlfn.UNICODE(MID(_xlpm.s,_xlfn.SEQUENCE(LEN(_xlpm.s)),1)),IF(_xlpm.s="","",_xlfn.CONCAT(_xlfn.UNICHAR(_xlpm.c-96*(_xlpm.c&gt;=12449)*(_xlpm.c&lt;=12534)))))</f>
        <v/>
      </c>
      <c r="D14" s="4" t="str" cm="1">
        <f t="array" ref="D14">_xlfn.LET(_xlpm.s,PHONETIC(B14),_xlpm.c,_xlfn.UNICODE(MID(_xlpm.s,_xlfn.SEQUENCE(LEN(_xlpm.s)),1)),IF(_xlpm.s="","",_xlfn.CONCAT(_xlfn.UNICHAR(_xlpm.c+96*(_xlpm.c&gt;=12353)*(_xlpm.c&lt;=12438)))))</f>
        <v/>
      </c>
      <c r="E14" s="129" t="str">
        <f t="shared" ca="1" si="0"/>
        <v/>
      </c>
      <c r="F14" s="130" t="str">
        <f t="shared" si="1"/>
        <v/>
      </c>
      <c r="G14" s="130" t="str">
        <f t="shared" si="2"/>
        <v/>
      </c>
      <c r="H14" s="130" t="str">
        <f t="shared" si="3"/>
        <v/>
      </c>
      <c r="I14" s="131" t="str">
        <f t="shared" si="4"/>
        <v/>
      </c>
      <c r="J14" s="132" t="str">
        <f t="shared" si="5"/>
        <v/>
      </c>
      <c r="K14" s="121" t="str">
        <f t="shared" si="6"/>
        <v/>
      </c>
      <c r="L14" s="129" t="str">
        <f t="shared" si="7"/>
        <v/>
      </c>
      <c r="M14" s="7" t="str">
        <f t="shared" si="8"/>
        <v/>
      </c>
      <c r="N14" s="133"/>
      <c r="O14" s="151"/>
      <c r="P14" s="5" t="str">
        <f t="shared" si="9"/>
        <v/>
      </c>
      <c r="Q14" s="121" t="str">
        <f t="shared" si="10"/>
        <v/>
      </c>
      <c r="R14" s="121" t="str">
        <f t="shared" si="11"/>
        <v/>
      </c>
      <c r="S14" s="7" t="str">
        <f t="shared" si="12"/>
        <v/>
      </c>
      <c r="T14" s="5"/>
      <c r="U14" s="5" t="str">
        <f t="shared" si="13"/>
        <v/>
      </c>
      <c r="V14" s="121" t="str">
        <f t="shared" si="14"/>
        <v/>
      </c>
      <c r="W14" s="121" t="str">
        <f t="shared" si="15"/>
        <v/>
      </c>
      <c r="X14" s="7" t="str">
        <f t="shared" si="16"/>
        <v/>
      </c>
      <c r="Y14" s="136"/>
      <c r="Z14" s="5" t="str">
        <f t="shared" si="17"/>
        <v/>
      </c>
      <c r="AA14" s="137" t="s">
        <v>183</v>
      </c>
      <c r="AB14" s="7" t="str">
        <f t="shared" si="18"/>
        <v/>
      </c>
      <c r="AC14" s="9"/>
      <c r="AD14" s="4"/>
      <c r="AE14" s="138" t="str">
        <f t="shared" si="19"/>
        <v/>
      </c>
      <c r="AF14" s="139" t="str">
        <f t="shared" si="20"/>
        <v/>
      </c>
      <c r="AG14" s="139" t="str">
        <f t="shared" si="21"/>
        <v/>
      </c>
      <c r="AH14" s="139" t="str">
        <f t="shared" si="22"/>
        <v/>
      </c>
      <c r="AI14" s="139" t="str">
        <f t="shared" si="23"/>
        <v/>
      </c>
      <c r="AJ14" s="140" t="str">
        <f t="shared" si="24"/>
        <v/>
      </c>
      <c r="AK14" s="8"/>
      <c r="AL14" s="8" t="str">
        <f>IF(AM14="","",IF(各種設定金額!$B$7="","○○県",各種設定金額!$B$7))</f>
        <v/>
      </c>
      <c r="AM14" s="4"/>
      <c r="AN14" s="4"/>
      <c r="AO14" s="141" t="str">
        <f t="shared" si="25"/>
        <v/>
      </c>
      <c r="AP14" s="10"/>
      <c r="AQ14" s="129"/>
      <c r="AR14" s="142" t="s">
        <v>182</v>
      </c>
      <c r="AS14" s="131" t="str">
        <f t="shared" si="26"/>
        <v/>
      </c>
      <c r="AT14" s="132" t="str">
        <f t="shared" si="27"/>
        <v/>
      </c>
      <c r="AU14" s="132" t="str">
        <f t="shared" si="28"/>
        <v/>
      </c>
      <c r="AV14" s="132" t="str">
        <f t="shared" si="29"/>
        <v/>
      </c>
      <c r="AW14" s="132" t="str">
        <f t="shared" si="30"/>
        <v/>
      </c>
      <c r="AX14" s="143" t="str">
        <f t="shared" si="31"/>
        <v/>
      </c>
      <c r="AY14" s="144"/>
      <c r="AZ14" s="8" t="str">
        <f>IF(BA14="","",IF(各種設定金額!$B$7="","○○県",各種設定金額!$B$7))</f>
        <v/>
      </c>
      <c r="BA14" s="4"/>
      <c r="BB14" s="4"/>
      <c r="BC14" s="141" t="str">
        <f t="shared" si="32"/>
        <v/>
      </c>
      <c r="BD14" s="10"/>
      <c r="BE14" s="129"/>
      <c r="BF14" s="145" t="s">
        <v>63</v>
      </c>
      <c r="BG14" s="131" t="str">
        <f t="shared" si="33"/>
        <v/>
      </c>
      <c r="BH14" s="132" t="str">
        <f t="shared" si="34"/>
        <v/>
      </c>
      <c r="BI14" s="132" t="str">
        <f t="shared" si="35"/>
        <v/>
      </c>
      <c r="BJ14" s="132" t="str">
        <f t="shared" si="36"/>
        <v/>
      </c>
      <c r="BK14" s="132" t="str">
        <f t="shared" si="37"/>
        <v/>
      </c>
      <c r="BL14" s="132" t="str">
        <f t="shared" si="38"/>
        <v/>
      </c>
      <c r="BM14" s="146"/>
      <c r="BN14" s="8" t="str">
        <f>IF(BO14="","",IF(各種設定金額!$B$7="","○○県",各種設定金額!$B$7))</f>
        <v/>
      </c>
      <c r="BO14" s="4"/>
      <c r="BP14" s="4"/>
      <c r="BQ14" s="141" t="str">
        <f t="shared" si="39"/>
        <v/>
      </c>
      <c r="BR14" s="10"/>
      <c r="BS14" s="129"/>
      <c r="BT14" s="145" t="s">
        <v>63</v>
      </c>
      <c r="BU14" s="131" t="str">
        <f t="shared" si="40"/>
        <v/>
      </c>
      <c r="BV14" s="132" t="str">
        <f t="shared" si="41"/>
        <v/>
      </c>
      <c r="BW14" s="132" t="str">
        <f t="shared" si="42"/>
        <v/>
      </c>
      <c r="BX14" s="132" t="str">
        <f t="shared" si="43"/>
        <v/>
      </c>
      <c r="BY14" s="132" t="str">
        <f t="shared" si="44"/>
        <v/>
      </c>
      <c r="BZ14" s="132" t="str">
        <f t="shared" si="45"/>
        <v/>
      </c>
      <c r="CA14" s="146"/>
      <c r="CB14" s="10" t="str">
        <f t="shared" si="46"/>
        <v/>
      </c>
      <c r="CC14" s="7" t="str">
        <f t="shared" si="47"/>
        <v/>
      </c>
      <c r="CD14" s="147"/>
      <c r="CE14" s="147"/>
      <c r="CF14" s="4"/>
      <c r="CG14" s="4"/>
      <c r="CH14" s="148">
        <f t="shared" ca="1" si="48"/>
        <v>2026</v>
      </c>
      <c r="CI14" s="121" t="str">
        <f t="shared" ca="1" si="49"/>
        <v>令和</v>
      </c>
      <c r="CJ14" s="122" t="str">
        <f t="shared" ca="1" si="50"/>
        <v>R</v>
      </c>
      <c r="CK14" s="122" t="str">
        <f t="shared" ca="1" si="51"/>
        <v>8</v>
      </c>
      <c r="CL14" s="122">
        <f t="shared" ca="1" si="52"/>
        <v>10</v>
      </c>
      <c r="CM14" s="149">
        <f t="shared" ca="1" si="53"/>
        <v>24</v>
      </c>
      <c r="CN14" s="1"/>
      <c r="CO14" s="150">
        <f t="shared" ca="1" si="54"/>
        <v>46319</v>
      </c>
    </row>
    <row r="15" spans="1:93" ht="20.100000000000001" customHeight="1" x14ac:dyDescent="0.15">
      <c r="A15" s="7" t="str">
        <f>IF(B15="","",ROW()-ROW(会員表[#Headers]))</f>
        <v/>
      </c>
      <c r="B15" s="4" ph="1"/>
      <c r="C15" s="4" t="str" cm="1">
        <f t="array" ref="C15">_xlfn.LET(_xlpm.s,PHONETIC(B15),_xlpm.c,_xlfn.UNICODE(MID(_xlpm.s,_xlfn.SEQUENCE(LEN(_xlpm.s)),1)),IF(_xlpm.s="","",_xlfn.CONCAT(_xlfn.UNICHAR(_xlpm.c-96*(_xlpm.c&gt;=12449)*(_xlpm.c&lt;=12534)))))</f>
        <v/>
      </c>
      <c r="D15" s="4" t="str" cm="1">
        <f t="array" ref="D15">_xlfn.LET(_xlpm.s,PHONETIC(B15),_xlpm.c,_xlfn.UNICODE(MID(_xlpm.s,_xlfn.SEQUENCE(LEN(_xlpm.s)),1)),IF(_xlpm.s="","",_xlfn.CONCAT(_xlfn.UNICHAR(_xlpm.c+96*(_xlpm.c&gt;=12353)*(_xlpm.c&lt;=12438)))))</f>
        <v/>
      </c>
      <c r="E15" s="129" t="str">
        <f t="shared" ca="1" si="0"/>
        <v/>
      </c>
      <c r="F15" s="130" t="str">
        <f t="shared" si="1"/>
        <v/>
      </c>
      <c r="G15" s="130" t="str">
        <f t="shared" si="2"/>
        <v/>
      </c>
      <c r="H15" s="130" t="str">
        <f t="shared" si="3"/>
        <v/>
      </c>
      <c r="I15" s="131" t="str">
        <f t="shared" si="4"/>
        <v/>
      </c>
      <c r="J15" s="132" t="str">
        <f t="shared" si="5"/>
        <v/>
      </c>
      <c r="K15" s="121" t="str">
        <f t="shared" si="6"/>
        <v/>
      </c>
      <c r="L15" s="129" t="str">
        <f t="shared" si="7"/>
        <v/>
      </c>
      <c r="M15" s="7" t="str">
        <f t="shared" si="8"/>
        <v/>
      </c>
      <c r="N15" s="133"/>
      <c r="O15" s="8"/>
      <c r="P15" s="5" t="str">
        <f t="shared" si="9"/>
        <v/>
      </c>
      <c r="Q15" s="121" t="str">
        <f t="shared" si="10"/>
        <v/>
      </c>
      <c r="R15" s="121" t="str">
        <f t="shared" si="11"/>
        <v/>
      </c>
      <c r="S15" s="7" t="str">
        <f t="shared" si="12"/>
        <v/>
      </c>
      <c r="T15" s="5"/>
      <c r="U15" s="5" t="str">
        <f t="shared" si="13"/>
        <v/>
      </c>
      <c r="V15" s="121" t="str">
        <f t="shared" si="14"/>
        <v/>
      </c>
      <c r="W15" s="121" t="str">
        <f t="shared" si="15"/>
        <v/>
      </c>
      <c r="X15" s="7" t="str">
        <f t="shared" si="16"/>
        <v/>
      </c>
      <c r="Y15" s="136"/>
      <c r="Z15" s="5" t="str">
        <f t="shared" si="17"/>
        <v/>
      </c>
      <c r="AA15" s="137" t="s">
        <v>183</v>
      </c>
      <c r="AB15" s="7" t="str">
        <f t="shared" si="18"/>
        <v/>
      </c>
      <c r="AC15" s="157"/>
      <c r="AD15" s="4"/>
      <c r="AE15" s="138" t="str">
        <f t="shared" si="19"/>
        <v/>
      </c>
      <c r="AF15" s="139" t="str">
        <f t="shared" si="20"/>
        <v/>
      </c>
      <c r="AG15" s="139" t="str">
        <f t="shared" si="21"/>
        <v/>
      </c>
      <c r="AH15" s="139" t="str">
        <f t="shared" si="22"/>
        <v/>
      </c>
      <c r="AI15" s="139" t="str">
        <f t="shared" si="23"/>
        <v/>
      </c>
      <c r="AJ15" s="140" t="str">
        <f t="shared" si="24"/>
        <v/>
      </c>
      <c r="AK15" s="8"/>
      <c r="AL15" s="8" t="str">
        <f>IF(AM15="","",IF(各種設定金額!$B$7="","○○県",各種設定金額!$B$7))</f>
        <v/>
      </c>
      <c r="AM15" s="4"/>
      <c r="AN15" s="4"/>
      <c r="AO15" s="141" t="str">
        <f t="shared" si="25"/>
        <v/>
      </c>
      <c r="AP15" s="10"/>
      <c r="AQ15" s="129"/>
      <c r="AR15" s="142" t="s">
        <v>182</v>
      </c>
      <c r="AS15" s="131" t="str">
        <f t="shared" si="26"/>
        <v/>
      </c>
      <c r="AT15" s="132" t="str">
        <f t="shared" si="27"/>
        <v/>
      </c>
      <c r="AU15" s="132" t="str">
        <f t="shared" si="28"/>
        <v/>
      </c>
      <c r="AV15" s="132" t="str">
        <f t="shared" si="29"/>
        <v/>
      </c>
      <c r="AW15" s="132" t="str">
        <f t="shared" si="30"/>
        <v/>
      </c>
      <c r="AX15" s="143" t="str">
        <f t="shared" si="31"/>
        <v/>
      </c>
      <c r="AY15" s="144"/>
      <c r="AZ15" s="8" t="str">
        <f>IF(BA15="","",IF(各種設定金額!$B$7="","○○県",各種設定金額!$B$7))</f>
        <v/>
      </c>
      <c r="BA15" s="4"/>
      <c r="BB15" s="4"/>
      <c r="BC15" s="141" t="str">
        <f t="shared" si="32"/>
        <v/>
      </c>
      <c r="BD15" s="10"/>
      <c r="BE15" s="129"/>
      <c r="BF15" s="145" t="s">
        <v>63</v>
      </c>
      <c r="BG15" s="131" t="str">
        <f t="shared" si="33"/>
        <v/>
      </c>
      <c r="BH15" s="132" t="str">
        <f t="shared" si="34"/>
        <v/>
      </c>
      <c r="BI15" s="132" t="str">
        <f t="shared" si="35"/>
        <v/>
      </c>
      <c r="BJ15" s="132" t="str">
        <f t="shared" si="36"/>
        <v/>
      </c>
      <c r="BK15" s="132" t="str">
        <f t="shared" si="37"/>
        <v/>
      </c>
      <c r="BL15" s="132" t="str">
        <f t="shared" si="38"/>
        <v/>
      </c>
      <c r="BM15" s="146"/>
      <c r="BN15" s="8" t="str">
        <f>IF(BO15="","",IF(各種設定金額!$B$7="","○○県",各種設定金額!$B$7))</f>
        <v/>
      </c>
      <c r="BO15" s="4"/>
      <c r="BP15" s="4"/>
      <c r="BQ15" s="141" t="str">
        <f t="shared" si="39"/>
        <v/>
      </c>
      <c r="BR15" s="10"/>
      <c r="BS15" s="129"/>
      <c r="BT15" s="145" t="s">
        <v>63</v>
      </c>
      <c r="BU15" s="131" t="str">
        <f t="shared" si="40"/>
        <v/>
      </c>
      <c r="BV15" s="132" t="str">
        <f t="shared" si="41"/>
        <v/>
      </c>
      <c r="BW15" s="132" t="str">
        <f t="shared" si="42"/>
        <v/>
      </c>
      <c r="BX15" s="132" t="str">
        <f t="shared" si="43"/>
        <v/>
      </c>
      <c r="BY15" s="132" t="str">
        <f t="shared" si="44"/>
        <v/>
      </c>
      <c r="BZ15" s="132" t="str">
        <f t="shared" si="45"/>
        <v/>
      </c>
      <c r="CA15" s="146"/>
      <c r="CB15" s="10" t="str">
        <f t="shared" si="46"/>
        <v/>
      </c>
      <c r="CC15" s="7" t="str">
        <f t="shared" si="47"/>
        <v/>
      </c>
      <c r="CD15" s="147"/>
      <c r="CE15" s="147"/>
      <c r="CF15" s="4"/>
      <c r="CG15" s="4"/>
      <c r="CH15" s="148">
        <f t="shared" ca="1" si="48"/>
        <v>2026</v>
      </c>
      <c r="CI15" s="121" t="str">
        <f t="shared" ca="1" si="49"/>
        <v>令和</v>
      </c>
      <c r="CJ15" s="122" t="str">
        <f t="shared" ca="1" si="50"/>
        <v>R</v>
      </c>
      <c r="CK15" s="122" t="str">
        <f t="shared" ca="1" si="51"/>
        <v>8</v>
      </c>
      <c r="CL15" s="122">
        <f t="shared" ca="1" si="52"/>
        <v>10</v>
      </c>
      <c r="CM15" s="149">
        <f t="shared" ca="1" si="53"/>
        <v>24</v>
      </c>
      <c r="CN15" s="1"/>
      <c r="CO15" s="150">
        <f t="shared" ca="1" si="54"/>
        <v>46319</v>
      </c>
    </row>
    <row r="16" spans="1:93" ht="20.100000000000001" customHeight="1" x14ac:dyDescent="0.15">
      <c r="A16" s="7" t="str">
        <f>IF(B16="","",ROW()-ROW(会員表[#Headers]))</f>
        <v/>
      </c>
      <c r="B16" s="4" ph="1"/>
      <c r="C16" s="4" t="str" cm="1">
        <f t="array" ref="C16">_xlfn.LET(_xlpm.s,PHONETIC(B16),_xlpm.c,_xlfn.UNICODE(MID(_xlpm.s,_xlfn.SEQUENCE(LEN(_xlpm.s)),1)),IF(_xlpm.s="","",_xlfn.CONCAT(_xlfn.UNICHAR(_xlpm.c-96*(_xlpm.c&gt;=12449)*(_xlpm.c&lt;=12534)))))</f>
        <v/>
      </c>
      <c r="D16" s="4" t="str" cm="1">
        <f t="array" ref="D16">_xlfn.LET(_xlpm.s,PHONETIC(B16),_xlpm.c,_xlfn.UNICODE(MID(_xlpm.s,_xlfn.SEQUENCE(LEN(_xlpm.s)),1)),IF(_xlpm.s="","",_xlfn.CONCAT(_xlfn.UNICHAR(_xlpm.c+96*(_xlpm.c&gt;=12353)*(_xlpm.c&lt;=12438)))))</f>
        <v/>
      </c>
      <c r="E16" s="129" t="str">
        <f t="shared" ca="1" si="0"/>
        <v/>
      </c>
      <c r="F16" s="130" t="str">
        <f t="shared" si="1"/>
        <v/>
      </c>
      <c r="G16" s="130" t="str">
        <f t="shared" si="2"/>
        <v/>
      </c>
      <c r="H16" s="130" t="str">
        <f t="shared" si="3"/>
        <v/>
      </c>
      <c r="I16" s="131" t="str">
        <f t="shared" si="4"/>
        <v/>
      </c>
      <c r="J16" s="132" t="str">
        <f t="shared" si="5"/>
        <v/>
      </c>
      <c r="K16" s="121" t="str">
        <f t="shared" si="6"/>
        <v/>
      </c>
      <c r="L16" s="129" t="str">
        <f t="shared" si="7"/>
        <v/>
      </c>
      <c r="M16" s="7" t="str">
        <f t="shared" si="8"/>
        <v/>
      </c>
      <c r="N16" s="133"/>
      <c r="O16" s="8"/>
      <c r="P16" s="5" t="str">
        <f t="shared" si="9"/>
        <v/>
      </c>
      <c r="Q16" s="121" t="str">
        <f t="shared" si="10"/>
        <v/>
      </c>
      <c r="R16" s="121" t="str">
        <f t="shared" si="11"/>
        <v/>
      </c>
      <c r="S16" s="7" t="str">
        <f t="shared" si="12"/>
        <v/>
      </c>
      <c r="T16" s="5"/>
      <c r="U16" s="5" t="str">
        <f t="shared" si="13"/>
        <v/>
      </c>
      <c r="V16" s="121" t="str">
        <f t="shared" si="14"/>
        <v/>
      </c>
      <c r="W16" s="121" t="str">
        <f t="shared" si="15"/>
        <v/>
      </c>
      <c r="X16" s="7" t="str">
        <f t="shared" si="16"/>
        <v/>
      </c>
      <c r="Y16" s="136"/>
      <c r="Z16" s="5" t="str">
        <f t="shared" si="17"/>
        <v/>
      </c>
      <c r="AA16" s="137" t="s">
        <v>183</v>
      </c>
      <c r="AB16" s="7" t="str">
        <f t="shared" si="18"/>
        <v/>
      </c>
      <c r="AC16" s="157"/>
      <c r="AD16" s="4"/>
      <c r="AE16" s="138" t="str">
        <f t="shared" si="19"/>
        <v/>
      </c>
      <c r="AF16" s="139" t="str">
        <f t="shared" si="20"/>
        <v/>
      </c>
      <c r="AG16" s="139" t="str">
        <f t="shared" si="21"/>
        <v/>
      </c>
      <c r="AH16" s="139" t="str">
        <f t="shared" si="22"/>
        <v/>
      </c>
      <c r="AI16" s="139" t="str">
        <f t="shared" si="23"/>
        <v/>
      </c>
      <c r="AJ16" s="140" t="str">
        <f t="shared" si="24"/>
        <v/>
      </c>
      <c r="AK16" s="8"/>
      <c r="AL16" s="8" t="str">
        <f>IF(AM16="","",IF(各種設定金額!$B$7="","○○県",各種設定金額!$B$7))</f>
        <v/>
      </c>
      <c r="AM16" s="4"/>
      <c r="AN16" s="4"/>
      <c r="AO16" s="141" t="str">
        <f t="shared" si="25"/>
        <v/>
      </c>
      <c r="AP16" s="10"/>
      <c r="AQ16" s="129"/>
      <c r="AR16" s="142" t="s">
        <v>182</v>
      </c>
      <c r="AS16" s="131" t="str">
        <f t="shared" si="26"/>
        <v/>
      </c>
      <c r="AT16" s="132" t="str">
        <f t="shared" si="27"/>
        <v/>
      </c>
      <c r="AU16" s="132" t="str">
        <f t="shared" si="28"/>
        <v/>
      </c>
      <c r="AV16" s="132" t="str">
        <f t="shared" si="29"/>
        <v/>
      </c>
      <c r="AW16" s="132" t="str">
        <f t="shared" si="30"/>
        <v/>
      </c>
      <c r="AX16" s="143" t="str">
        <f t="shared" si="31"/>
        <v/>
      </c>
      <c r="AY16" s="144"/>
      <c r="AZ16" s="8" t="str">
        <f>IF(BA16="","",IF(各種設定金額!$B$7="","○○県",各種設定金額!$B$7))</f>
        <v/>
      </c>
      <c r="BA16" s="4"/>
      <c r="BB16" s="4"/>
      <c r="BC16" s="141" t="str">
        <f t="shared" si="32"/>
        <v/>
      </c>
      <c r="BD16" s="10"/>
      <c r="BE16" s="129"/>
      <c r="BF16" s="145" t="s">
        <v>63</v>
      </c>
      <c r="BG16" s="131" t="str">
        <f t="shared" si="33"/>
        <v/>
      </c>
      <c r="BH16" s="132" t="str">
        <f t="shared" si="34"/>
        <v/>
      </c>
      <c r="BI16" s="132" t="str">
        <f t="shared" si="35"/>
        <v/>
      </c>
      <c r="BJ16" s="132" t="str">
        <f t="shared" si="36"/>
        <v/>
      </c>
      <c r="BK16" s="132" t="str">
        <f t="shared" si="37"/>
        <v/>
      </c>
      <c r="BL16" s="132" t="str">
        <f t="shared" si="38"/>
        <v/>
      </c>
      <c r="BM16" s="146"/>
      <c r="BN16" s="8" t="str">
        <f>IF(BO16="","",IF(各種設定金額!$B$7="","○○県",各種設定金額!$B$7))</f>
        <v/>
      </c>
      <c r="BO16" s="4"/>
      <c r="BP16" s="4"/>
      <c r="BQ16" s="141" t="str">
        <f t="shared" si="39"/>
        <v/>
      </c>
      <c r="BR16" s="10"/>
      <c r="BS16" s="129"/>
      <c r="BT16" s="145" t="s">
        <v>63</v>
      </c>
      <c r="BU16" s="131" t="str">
        <f t="shared" si="40"/>
        <v/>
      </c>
      <c r="BV16" s="132" t="str">
        <f t="shared" si="41"/>
        <v/>
      </c>
      <c r="BW16" s="132" t="str">
        <f t="shared" si="42"/>
        <v/>
      </c>
      <c r="BX16" s="132" t="str">
        <f t="shared" si="43"/>
        <v/>
      </c>
      <c r="BY16" s="132" t="str">
        <f t="shared" si="44"/>
        <v/>
      </c>
      <c r="BZ16" s="132" t="str">
        <f t="shared" si="45"/>
        <v/>
      </c>
      <c r="CA16" s="146"/>
      <c r="CB16" s="10" t="str">
        <f t="shared" si="46"/>
        <v/>
      </c>
      <c r="CC16" s="7" t="str">
        <f t="shared" si="47"/>
        <v/>
      </c>
      <c r="CD16" s="147"/>
      <c r="CE16" s="147"/>
      <c r="CF16" s="4"/>
      <c r="CG16" s="4"/>
      <c r="CH16" s="148">
        <f t="shared" ca="1" si="48"/>
        <v>2026</v>
      </c>
      <c r="CI16" s="121" t="str">
        <f t="shared" ca="1" si="49"/>
        <v>令和</v>
      </c>
      <c r="CJ16" s="122" t="str">
        <f t="shared" ca="1" si="50"/>
        <v>R</v>
      </c>
      <c r="CK16" s="122" t="str">
        <f t="shared" ca="1" si="51"/>
        <v>8</v>
      </c>
      <c r="CL16" s="122">
        <f t="shared" ca="1" si="52"/>
        <v>10</v>
      </c>
      <c r="CM16" s="149">
        <f t="shared" ca="1" si="53"/>
        <v>24</v>
      </c>
      <c r="CN16" s="1"/>
      <c r="CO16" s="150">
        <f t="shared" ca="1" si="54"/>
        <v>46319</v>
      </c>
    </row>
    <row r="17" spans="1:93" ht="20.100000000000001" customHeight="1" x14ac:dyDescent="0.15">
      <c r="A17" s="7" t="str">
        <f>IF(B17="","",ROW()-ROW(会員表[#Headers]))</f>
        <v/>
      </c>
      <c r="B17" s="4" ph="1"/>
      <c r="C17" s="4" t="str" cm="1">
        <f t="array" ref="C17">_xlfn.LET(_xlpm.s,PHONETIC(B17),_xlpm.c,_xlfn.UNICODE(MID(_xlpm.s,_xlfn.SEQUENCE(LEN(_xlpm.s)),1)),IF(_xlpm.s="","",_xlfn.CONCAT(_xlfn.UNICHAR(_xlpm.c-96*(_xlpm.c&gt;=12449)*(_xlpm.c&lt;=12534)))))</f>
        <v/>
      </c>
      <c r="D17" s="4" t="str" cm="1">
        <f t="array" ref="D17">_xlfn.LET(_xlpm.s,PHONETIC(B17),_xlpm.c,_xlfn.UNICODE(MID(_xlpm.s,_xlfn.SEQUENCE(LEN(_xlpm.s)),1)),IF(_xlpm.s="","",_xlfn.CONCAT(_xlfn.UNICHAR(_xlpm.c+96*(_xlpm.c&gt;=12353)*(_xlpm.c&lt;=12438)))))</f>
        <v/>
      </c>
      <c r="E17" s="129" t="str">
        <f t="shared" ca="1" si="0"/>
        <v/>
      </c>
      <c r="F17" s="130" t="str">
        <f t="shared" si="1"/>
        <v/>
      </c>
      <c r="G17" s="130" t="str">
        <f t="shared" si="2"/>
        <v/>
      </c>
      <c r="H17" s="130" t="str">
        <f t="shared" si="3"/>
        <v/>
      </c>
      <c r="I17" s="131" t="str">
        <f t="shared" si="4"/>
        <v/>
      </c>
      <c r="J17" s="132" t="str">
        <f t="shared" si="5"/>
        <v/>
      </c>
      <c r="K17" s="121" t="str">
        <f t="shared" si="6"/>
        <v/>
      </c>
      <c r="L17" s="129" t="str">
        <f t="shared" si="7"/>
        <v/>
      </c>
      <c r="M17" s="7" t="str">
        <f t="shared" si="8"/>
        <v/>
      </c>
      <c r="N17" s="133"/>
      <c r="O17" s="8"/>
      <c r="P17" s="5" t="str">
        <f t="shared" si="9"/>
        <v/>
      </c>
      <c r="Q17" s="121" t="str">
        <f t="shared" si="10"/>
        <v/>
      </c>
      <c r="R17" s="121" t="str">
        <f t="shared" si="11"/>
        <v/>
      </c>
      <c r="S17" s="7" t="str">
        <f t="shared" si="12"/>
        <v/>
      </c>
      <c r="T17" s="5"/>
      <c r="U17" s="5" t="str">
        <f t="shared" si="13"/>
        <v/>
      </c>
      <c r="V17" s="121" t="str">
        <f t="shared" si="14"/>
        <v/>
      </c>
      <c r="W17" s="121" t="str">
        <f t="shared" si="15"/>
        <v/>
      </c>
      <c r="X17" s="7" t="str">
        <f t="shared" si="16"/>
        <v/>
      </c>
      <c r="Y17" s="136"/>
      <c r="Z17" s="5" t="str">
        <f t="shared" si="17"/>
        <v/>
      </c>
      <c r="AA17" s="137" t="s">
        <v>183</v>
      </c>
      <c r="AB17" s="7" t="str">
        <f t="shared" si="18"/>
        <v/>
      </c>
      <c r="AC17" s="9"/>
      <c r="AD17" s="158"/>
      <c r="AE17" s="138" t="str">
        <f t="shared" si="19"/>
        <v/>
      </c>
      <c r="AF17" s="139" t="str">
        <f t="shared" si="20"/>
        <v/>
      </c>
      <c r="AG17" s="139" t="str">
        <f t="shared" si="21"/>
        <v/>
      </c>
      <c r="AH17" s="139" t="str">
        <f t="shared" si="22"/>
        <v/>
      </c>
      <c r="AI17" s="139" t="str">
        <f t="shared" si="23"/>
        <v/>
      </c>
      <c r="AJ17" s="140" t="str">
        <f t="shared" si="24"/>
        <v/>
      </c>
      <c r="AK17" s="159"/>
      <c r="AL17" s="8" t="str">
        <f>IF(AM17="","",IF(各種設定金額!$B$7="","○○県",各種設定金額!$B$7))</f>
        <v/>
      </c>
      <c r="AM17" s="4"/>
      <c r="AN17" s="4"/>
      <c r="AO17" s="141" t="str">
        <f t="shared" si="25"/>
        <v/>
      </c>
      <c r="AP17" s="10"/>
      <c r="AQ17" s="129"/>
      <c r="AR17" s="142" t="s">
        <v>182</v>
      </c>
      <c r="AS17" s="131" t="str">
        <f t="shared" si="26"/>
        <v/>
      </c>
      <c r="AT17" s="132" t="str">
        <f t="shared" si="27"/>
        <v/>
      </c>
      <c r="AU17" s="132" t="str">
        <f t="shared" si="28"/>
        <v/>
      </c>
      <c r="AV17" s="132" t="str">
        <f t="shared" si="29"/>
        <v/>
      </c>
      <c r="AW17" s="132" t="str">
        <f t="shared" si="30"/>
        <v/>
      </c>
      <c r="AX17" s="143" t="str">
        <f t="shared" si="31"/>
        <v/>
      </c>
      <c r="AY17" s="144"/>
      <c r="AZ17" s="8" t="str">
        <f>IF(BA17="","",IF(各種設定金額!$B$7="","○○県",各種設定金額!$B$7))</f>
        <v/>
      </c>
      <c r="BA17" s="4"/>
      <c r="BB17" s="4"/>
      <c r="BC17" s="141" t="str">
        <f t="shared" si="32"/>
        <v/>
      </c>
      <c r="BD17" s="10"/>
      <c r="BE17" s="129"/>
      <c r="BF17" s="145" t="s">
        <v>63</v>
      </c>
      <c r="BG17" s="131" t="str">
        <f t="shared" si="33"/>
        <v/>
      </c>
      <c r="BH17" s="132" t="str">
        <f t="shared" si="34"/>
        <v/>
      </c>
      <c r="BI17" s="132" t="str">
        <f t="shared" si="35"/>
        <v/>
      </c>
      <c r="BJ17" s="132" t="str">
        <f t="shared" si="36"/>
        <v/>
      </c>
      <c r="BK17" s="132" t="str">
        <f t="shared" si="37"/>
        <v/>
      </c>
      <c r="BL17" s="132" t="str">
        <f t="shared" si="38"/>
        <v/>
      </c>
      <c r="BM17" s="146"/>
      <c r="BN17" s="8" t="str">
        <f>IF(BO17="","",IF(各種設定金額!$B$7="","○○県",各種設定金額!$B$7))</f>
        <v/>
      </c>
      <c r="BO17" s="4"/>
      <c r="BP17" s="4"/>
      <c r="BQ17" s="141" t="str">
        <f t="shared" si="39"/>
        <v/>
      </c>
      <c r="BR17" s="10"/>
      <c r="BS17" s="129"/>
      <c r="BT17" s="145" t="s">
        <v>63</v>
      </c>
      <c r="BU17" s="131" t="str">
        <f t="shared" si="40"/>
        <v/>
      </c>
      <c r="BV17" s="132" t="str">
        <f t="shared" si="41"/>
        <v/>
      </c>
      <c r="BW17" s="132" t="str">
        <f t="shared" si="42"/>
        <v/>
      </c>
      <c r="BX17" s="132" t="str">
        <f t="shared" si="43"/>
        <v/>
      </c>
      <c r="BY17" s="132" t="str">
        <f t="shared" si="44"/>
        <v/>
      </c>
      <c r="BZ17" s="132" t="str">
        <f t="shared" si="45"/>
        <v/>
      </c>
      <c r="CA17" s="146"/>
      <c r="CB17" s="10" t="str">
        <f t="shared" si="46"/>
        <v/>
      </c>
      <c r="CC17" s="7" t="str">
        <f t="shared" si="47"/>
        <v/>
      </c>
      <c r="CD17" s="147"/>
      <c r="CE17" s="147"/>
      <c r="CF17" s="4"/>
      <c r="CG17" s="4"/>
      <c r="CH17" s="148">
        <f t="shared" ca="1" si="48"/>
        <v>2026</v>
      </c>
      <c r="CI17" s="121" t="str">
        <f t="shared" ca="1" si="49"/>
        <v>令和</v>
      </c>
      <c r="CJ17" s="122" t="str">
        <f t="shared" ca="1" si="50"/>
        <v>R</v>
      </c>
      <c r="CK17" s="122" t="str">
        <f t="shared" ca="1" si="51"/>
        <v>8</v>
      </c>
      <c r="CL17" s="122">
        <f t="shared" ca="1" si="52"/>
        <v>10</v>
      </c>
      <c r="CM17" s="149">
        <f t="shared" ca="1" si="53"/>
        <v>24</v>
      </c>
      <c r="CN17" s="1"/>
      <c r="CO17" s="150">
        <f t="shared" ca="1" si="54"/>
        <v>46319</v>
      </c>
    </row>
    <row r="18" spans="1:93" ht="20.100000000000001" customHeight="1" x14ac:dyDescent="0.15">
      <c r="A18" s="7" t="str">
        <f>IF(B18="","",ROW()-ROW(会員表[#Headers]))</f>
        <v/>
      </c>
      <c r="B18" s="4" ph="1"/>
      <c r="C18" s="4" t="str" cm="1">
        <f t="array" ref="C18">_xlfn.LET(_xlpm.s,PHONETIC(B18),_xlpm.c,_xlfn.UNICODE(MID(_xlpm.s,_xlfn.SEQUENCE(LEN(_xlpm.s)),1)),IF(_xlpm.s="","",_xlfn.CONCAT(_xlfn.UNICHAR(_xlpm.c-96*(_xlpm.c&gt;=12449)*(_xlpm.c&lt;=12534)))))</f>
        <v/>
      </c>
      <c r="D18" s="4" t="str" cm="1">
        <f t="array" ref="D18">_xlfn.LET(_xlpm.s,PHONETIC(B18),_xlpm.c,_xlfn.UNICODE(MID(_xlpm.s,_xlfn.SEQUENCE(LEN(_xlpm.s)),1)),IF(_xlpm.s="","",_xlfn.CONCAT(_xlfn.UNICHAR(_xlpm.c+96*(_xlpm.c&gt;=12353)*(_xlpm.c&lt;=12438)))))</f>
        <v/>
      </c>
      <c r="E18" s="129" t="str">
        <f t="shared" ca="1" si="0"/>
        <v/>
      </c>
      <c r="F18" s="130" t="str">
        <f t="shared" si="1"/>
        <v/>
      </c>
      <c r="G18" s="130" t="str">
        <f t="shared" si="2"/>
        <v/>
      </c>
      <c r="H18" s="130" t="str">
        <f t="shared" si="3"/>
        <v/>
      </c>
      <c r="I18" s="131" t="str">
        <f t="shared" si="4"/>
        <v/>
      </c>
      <c r="J18" s="132" t="str">
        <f t="shared" si="5"/>
        <v/>
      </c>
      <c r="K18" s="121" t="str">
        <f t="shared" si="6"/>
        <v/>
      </c>
      <c r="L18" s="129" t="str">
        <f t="shared" si="7"/>
        <v/>
      </c>
      <c r="M18" s="7" t="str">
        <f t="shared" si="8"/>
        <v/>
      </c>
      <c r="N18" s="133"/>
      <c r="O18" s="8"/>
      <c r="P18" s="5" t="str">
        <f t="shared" si="9"/>
        <v/>
      </c>
      <c r="Q18" s="121" t="str">
        <f t="shared" si="10"/>
        <v/>
      </c>
      <c r="R18" s="121" t="str">
        <f t="shared" si="11"/>
        <v/>
      </c>
      <c r="S18" s="7" t="str">
        <f t="shared" si="12"/>
        <v/>
      </c>
      <c r="T18" s="5"/>
      <c r="U18" s="5" t="str">
        <f t="shared" si="13"/>
        <v/>
      </c>
      <c r="V18" s="121" t="str">
        <f t="shared" si="14"/>
        <v/>
      </c>
      <c r="W18" s="121" t="str">
        <f t="shared" si="15"/>
        <v/>
      </c>
      <c r="X18" s="7" t="str">
        <f t="shared" si="16"/>
        <v/>
      </c>
      <c r="Y18" s="136"/>
      <c r="Z18" s="5" t="str">
        <f t="shared" si="17"/>
        <v/>
      </c>
      <c r="AA18" s="137" t="s">
        <v>183</v>
      </c>
      <c r="AB18" s="7" t="str">
        <f t="shared" si="18"/>
        <v/>
      </c>
      <c r="AC18" s="157"/>
      <c r="AD18" s="4"/>
      <c r="AE18" s="138" t="str">
        <f t="shared" si="19"/>
        <v/>
      </c>
      <c r="AF18" s="139" t="str">
        <f t="shared" si="20"/>
        <v/>
      </c>
      <c r="AG18" s="139" t="str">
        <f t="shared" si="21"/>
        <v/>
      </c>
      <c r="AH18" s="139" t="str">
        <f t="shared" si="22"/>
        <v/>
      </c>
      <c r="AI18" s="139" t="str">
        <f t="shared" si="23"/>
        <v/>
      </c>
      <c r="AJ18" s="140" t="str">
        <f t="shared" si="24"/>
        <v/>
      </c>
      <c r="AK18" s="8"/>
      <c r="AL18" s="8" t="str">
        <f>IF(AM18="","",IF(各種設定金額!$B$7="","○○県",各種設定金額!$B$7))</f>
        <v/>
      </c>
      <c r="AM18" s="4"/>
      <c r="AN18" s="4"/>
      <c r="AO18" s="141" t="str">
        <f t="shared" si="25"/>
        <v/>
      </c>
      <c r="AP18" s="10"/>
      <c r="AQ18" s="129"/>
      <c r="AR18" s="142" t="s">
        <v>182</v>
      </c>
      <c r="AS18" s="131" t="str">
        <f t="shared" si="26"/>
        <v/>
      </c>
      <c r="AT18" s="132" t="str">
        <f t="shared" si="27"/>
        <v/>
      </c>
      <c r="AU18" s="132" t="str">
        <f t="shared" si="28"/>
        <v/>
      </c>
      <c r="AV18" s="132" t="str">
        <f t="shared" si="29"/>
        <v/>
      </c>
      <c r="AW18" s="132" t="str">
        <f t="shared" si="30"/>
        <v/>
      </c>
      <c r="AX18" s="143" t="str">
        <f t="shared" si="31"/>
        <v/>
      </c>
      <c r="AY18" s="144"/>
      <c r="AZ18" s="8" t="str">
        <f>IF(BA18="","",IF(各種設定金額!$B$7="","○○県",各種設定金額!$B$7))</f>
        <v/>
      </c>
      <c r="BA18" s="4"/>
      <c r="BB18" s="4"/>
      <c r="BC18" s="141" t="str">
        <f t="shared" si="32"/>
        <v/>
      </c>
      <c r="BD18" s="10"/>
      <c r="BE18" s="129"/>
      <c r="BF18" s="145" t="s">
        <v>63</v>
      </c>
      <c r="BG18" s="131" t="str">
        <f t="shared" si="33"/>
        <v/>
      </c>
      <c r="BH18" s="132" t="str">
        <f t="shared" si="34"/>
        <v/>
      </c>
      <c r="BI18" s="132" t="str">
        <f t="shared" si="35"/>
        <v/>
      </c>
      <c r="BJ18" s="132" t="str">
        <f t="shared" si="36"/>
        <v/>
      </c>
      <c r="BK18" s="132" t="str">
        <f t="shared" si="37"/>
        <v/>
      </c>
      <c r="BL18" s="132" t="str">
        <f t="shared" si="38"/>
        <v/>
      </c>
      <c r="BM18" s="146"/>
      <c r="BN18" s="8" t="str">
        <f>IF(BO18="","",IF(各種設定金額!$B$7="","○○県",各種設定金額!$B$7))</f>
        <v/>
      </c>
      <c r="BO18" s="4"/>
      <c r="BP18" s="4"/>
      <c r="BQ18" s="141" t="str">
        <f t="shared" si="39"/>
        <v/>
      </c>
      <c r="BR18" s="10"/>
      <c r="BS18" s="129"/>
      <c r="BT18" s="145" t="s">
        <v>63</v>
      </c>
      <c r="BU18" s="131" t="str">
        <f t="shared" si="40"/>
        <v/>
      </c>
      <c r="BV18" s="132" t="str">
        <f t="shared" si="41"/>
        <v/>
      </c>
      <c r="BW18" s="132" t="str">
        <f t="shared" si="42"/>
        <v/>
      </c>
      <c r="BX18" s="132" t="str">
        <f t="shared" si="43"/>
        <v/>
      </c>
      <c r="BY18" s="132" t="str">
        <f t="shared" si="44"/>
        <v/>
      </c>
      <c r="BZ18" s="132" t="str">
        <f t="shared" si="45"/>
        <v/>
      </c>
      <c r="CA18" s="146"/>
      <c r="CB18" s="10" t="str">
        <f t="shared" si="46"/>
        <v/>
      </c>
      <c r="CC18" s="7" t="str">
        <f t="shared" si="47"/>
        <v/>
      </c>
      <c r="CD18" s="147"/>
      <c r="CE18" s="147"/>
      <c r="CF18" s="4"/>
      <c r="CG18" s="4"/>
      <c r="CH18" s="148">
        <f t="shared" ca="1" si="48"/>
        <v>2026</v>
      </c>
      <c r="CI18" s="121" t="str">
        <f t="shared" ca="1" si="49"/>
        <v>令和</v>
      </c>
      <c r="CJ18" s="122" t="str">
        <f t="shared" ca="1" si="50"/>
        <v>R</v>
      </c>
      <c r="CK18" s="122" t="str">
        <f t="shared" ca="1" si="51"/>
        <v>8</v>
      </c>
      <c r="CL18" s="122">
        <f t="shared" ca="1" si="52"/>
        <v>10</v>
      </c>
      <c r="CM18" s="149">
        <f t="shared" ca="1" si="53"/>
        <v>24</v>
      </c>
      <c r="CN18" s="1"/>
      <c r="CO18" s="150">
        <f t="shared" ca="1" si="54"/>
        <v>46319</v>
      </c>
    </row>
    <row r="19" spans="1:93" ht="20.100000000000001" customHeight="1" x14ac:dyDescent="0.15">
      <c r="A19" s="7" t="str">
        <f>IF(B19="","",ROW()-ROW(会員表[#Headers]))</f>
        <v/>
      </c>
      <c r="B19" s="4" ph="1"/>
      <c r="C19" s="4" t="str" cm="1">
        <f t="array" ref="C19">_xlfn.LET(_xlpm.s,PHONETIC(B19),_xlpm.c,_xlfn.UNICODE(MID(_xlpm.s,_xlfn.SEQUENCE(LEN(_xlpm.s)),1)),IF(_xlpm.s="","",_xlfn.CONCAT(_xlfn.UNICHAR(_xlpm.c-96*(_xlpm.c&gt;=12449)*(_xlpm.c&lt;=12534)))))</f>
        <v/>
      </c>
      <c r="D19" s="4" t="str" cm="1">
        <f t="array" ref="D19">_xlfn.LET(_xlpm.s,PHONETIC(B19),_xlpm.c,_xlfn.UNICODE(MID(_xlpm.s,_xlfn.SEQUENCE(LEN(_xlpm.s)),1)),IF(_xlpm.s="","",_xlfn.CONCAT(_xlfn.UNICHAR(_xlpm.c+96*(_xlpm.c&gt;=12353)*(_xlpm.c&lt;=12438)))))</f>
        <v/>
      </c>
      <c r="E19" s="129" t="str">
        <f t="shared" ca="1" si="0"/>
        <v/>
      </c>
      <c r="F19" s="130" t="str">
        <f t="shared" si="1"/>
        <v/>
      </c>
      <c r="G19" s="130" t="str">
        <f t="shared" si="2"/>
        <v/>
      </c>
      <c r="H19" s="130" t="str">
        <f t="shared" si="3"/>
        <v/>
      </c>
      <c r="I19" s="131" t="str">
        <f t="shared" si="4"/>
        <v/>
      </c>
      <c r="J19" s="132" t="str">
        <f t="shared" si="5"/>
        <v/>
      </c>
      <c r="K19" s="121" t="str">
        <f t="shared" si="6"/>
        <v/>
      </c>
      <c r="L19" s="129" t="str">
        <f t="shared" si="7"/>
        <v/>
      </c>
      <c r="M19" s="7" t="str">
        <f t="shared" si="8"/>
        <v/>
      </c>
      <c r="N19" s="133"/>
      <c r="O19" s="8"/>
      <c r="P19" s="5" t="str">
        <f t="shared" si="9"/>
        <v/>
      </c>
      <c r="Q19" s="121" t="str">
        <f t="shared" si="10"/>
        <v/>
      </c>
      <c r="R19" s="121" t="str">
        <f t="shared" si="11"/>
        <v/>
      </c>
      <c r="S19" s="7" t="str">
        <f t="shared" si="12"/>
        <v/>
      </c>
      <c r="T19" s="5"/>
      <c r="U19" s="5" t="str">
        <f t="shared" si="13"/>
        <v/>
      </c>
      <c r="V19" s="121" t="str">
        <f t="shared" si="14"/>
        <v/>
      </c>
      <c r="W19" s="121" t="str">
        <f t="shared" si="15"/>
        <v/>
      </c>
      <c r="X19" s="7" t="str">
        <f t="shared" si="16"/>
        <v/>
      </c>
      <c r="Y19" s="136"/>
      <c r="Z19" s="5" t="str">
        <f t="shared" si="17"/>
        <v/>
      </c>
      <c r="AA19" s="137" t="s">
        <v>183</v>
      </c>
      <c r="AB19" s="7" t="str">
        <f t="shared" si="18"/>
        <v/>
      </c>
      <c r="AC19" s="157"/>
      <c r="AD19" s="4"/>
      <c r="AE19" s="138" t="str">
        <f t="shared" si="19"/>
        <v/>
      </c>
      <c r="AF19" s="139" t="str">
        <f t="shared" si="20"/>
        <v/>
      </c>
      <c r="AG19" s="139" t="str">
        <f t="shared" si="21"/>
        <v/>
      </c>
      <c r="AH19" s="139" t="str">
        <f t="shared" si="22"/>
        <v/>
      </c>
      <c r="AI19" s="139" t="str">
        <f t="shared" si="23"/>
        <v/>
      </c>
      <c r="AJ19" s="140" t="str">
        <f t="shared" si="24"/>
        <v/>
      </c>
      <c r="AK19" s="8"/>
      <c r="AL19" s="8" t="str">
        <f>IF(AM19="","",IF(各種設定金額!$B$7="","○○県",各種設定金額!$B$7))</f>
        <v/>
      </c>
      <c r="AM19" s="4"/>
      <c r="AN19" s="152"/>
      <c r="AO19" s="141" t="str">
        <f t="shared" si="25"/>
        <v/>
      </c>
      <c r="AP19" s="10"/>
      <c r="AQ19" s="129"/>
      <c r="AR19" s="142" t="s">
        <v>182</v>
      </c>
      <c r="AS19" s="131" t="str">
        <f t="shared" si="26"/>
        <v/>
      </c>
      <c r="AT19" s="132" t="str">
        <f t="shared" si="27"/>
        <v/>
      </c>
      <c r="AU19" s="132" t="str">
        <f t="shared" si="28"/>
        <v/>
      </c>
      <c r="AV19" s="132" t="str">
        <f t="shared" si="29"/>
        <v/>
      </c>
      <c r="AW19" s="132" t="str">
        <f t="shared" si="30"/>
        <v/>
      </c>
      <c r="AX19" s="143" t="str">
        <f t="shared" si="31"/>
        <v/>
      </c>
      <c r="AY19" s="144"/>
      <c r="AZ19" s="8" t="str">
        <f>IF(BA19="","",IF(各種設定金額!$B$7="","○○県",各種設定金額!$B$7))</f>
        <v/>
      </c>
      <c r="BA19" s="4"/>
      <c r="BB19" s="4"/>
      <c r="BC19" s="141" t="str">
        <f t="shared" si="32"/>
        <v/>
      </c>
      <c r="BD19" s="10"/>
      <c r="BE19" s="129"/>
      <c r="BF19" s="145" t="s">
        <v>63</v>
      </c>
      <c r="BG19" s="131" t="str">
        <f t="shared" si="33"/>
        <v/>
      </c>
      <c r="BH19" s="132" t="str">
        <f t="shared" si="34"/>
        <v/>
      </c>
      <c r="BI19" s="132" t="str">
        <f t="shared" si="35"/>
        <v/>
      </c>
      <c r="BJ19" s="132" t="str">
        <f t="shared" si="36"/>
        <v/>
      </c>
      <c r="BK19" s="132" t="str">
        <f t="shared" si="37"/>
        <v/>
      </c>
      <c r="BL19" s="132" t="str">
        <f t="shared" si="38"/>
        <v/>
      </c>
      <c r="BM19" s="146"/>
      <c r="BN19" s="8" t="str">
        <f>IF(BO19="","",IF(各種設定金額!$B$7="","○○県",各種設定金額!$B$7))</f>
        <v/>
      </c>
      <c r="BO19" s="4"/>
      <c r="BP19" s="4"/>
      <c r="BQ19" s="141" t="str">
        <f t="shared" si="39"/>
        <v/>
      </c>
      <c r="BR19" s="10"/>
      <c r="BS19" s="129"/>
      <c r="BT19" s="145" t="s">
        <v>63</v>
      </c>
      <c r="BU19" s="131" t="str">
        <f t="shared" si="40"/>
        <v/>
      </c>
      <c r="BV19" s="132" t="str">
        <f t="shared" si="41"/>
        <v/>
      </c>
      <c r="BW19" s="132" t="str">
        <f t="shared" si="42"/>
        <v/>
      </c>
      <c r="BX19" s="132" t="str">
        <f t="shared" si="43"/>
        <v/>
      </c>
      <c r="BY19" s="132" t="str">
        <f t="shared" si="44"/>
        <v/>
      </c>
      <c r="BZ19" s="132" t="str">
        <f t="shared" si="45"/>
        <v/>
      </c>
      <c r="CA19" s="146"/>
      <c r="CB19" s="10" t="str">
        <f t="shared" si="46"/>
        <v/>
      </c>
      <c r="CC19" s="7" t="str">
        <f t="shared" si="47"/>
        <v/>
      </c>
      <c r="CD19" s="147"/>
      <c r="CE19" s="147"/>
      <c r="CF19" s="4"/>
      <c r="CG19" s="4"/>
      <c r="CH19" s="148">
        <f t="shared" ca="1" si="48"/>
        <v>2026</v>
      </c>
      <c r="CI19" s="121" t="str">
        <f t="shared" ca="1" si="49"/>
        <v>令和</v>
      </c>
      <c r="CJ19" s="122" t="str">
        <f t="shared" ca="1" si="50"/>
        <v>R</v>
      </c>
      <c r="CK19" s="122" t="str">
        <f t="shared" ca="1" si="51"/>
        <v>8</v>
      </c>
      <c r="CL19" s="122">
        <f t="shared" ca="1" si="52"/>
        <v>10</v>
      </c>
      <c r="CM19" s="149">
        <f t="shared" ca="1" si="53"/>
        <v>24</v>
      </c>
      <c r="CN19" s="1"/>
      <c r="CO19" s="150">
        <f t="shared" ca="1" si="54"/>
        <v>46319</v>
      </c>
    </row>
    <row r="20" spans="1:93" ht="20.100000000000001" customHeight="1" x14ac:dyDescent="0.15">
      <c r="A20" s="7" t="str">
        <f>IF(B20="","",ROW()-ROW(会員表[#Headers]))</f>
        <v/>
      </c>
      <c r="B20" s="4" ph="1"/>
      <c r="C20" s="4" t="str" cm="1">
        <f t="array" ref="C20">_xlfn.LET(_xlpm.s,PHONETIC(B20),_xlpm.c,_xlfn.UNICODE(MID(_xlpm.s,_xlfn.SEQUENCE(LEN(_xlpm.s)),1)),IF(_xlpm.s="","",_xlfn.CONCAT(_xlfn.UNICHAR(_xlpm.c-96*(_xlpm.c&gt;=12449)*(_xlpm.c&lt;=12534)))))</f>
        <v/>
      </c>
      <c r="D20" s="4" t="str" cm="1">
        <f t="array" ref="D20">_xlfn.LET(_xlpm.s,PHONETIC(B20),_xlpm.c,_xlfn.UNICODE(MID(_xlpm.s,_xlfn.SEQUENCE(LEN(_xlpm.s)),1)),IF(_xlpm.s="","",_xlfn.CONCAT(_xlfn.UNICHAR(_xlpm.c+96*(_xlpm.c&gt;=12353)*(_xlpm.c&lt;=12438)))))</f>
        <v/>
      </c>
      <c r="E20" s="129" t="str">
        <f t="shared" ca="1" si="0"/>
        <v/>
      </c>
      <c r="F20" s="130" t="str">
        <f t="shared" si="1"/>
        <v/>
      </c>
      <c r="G20" s="130" t="str">
        <f t="shared" si="2"/>
        <v/>
      </c>
      <c r="H20" s="130" t="str">
        <f t="shared" si="3"/>
        <v/>
      </c>
      <c r="I20" s="131" t="str">
        <f t="shared" si="4"/>
        <v/>
      </c>
      <c r="J20" s="132" t="str">
        <f t="shared" si="5"/>
        <v/>
      </c>
      <c r="K20" s="121" t="str">
        <f t="shared" si="6"/>
        <v/>
      </c>
      <c r="L20" s="129" t="str">
        <f t="shared" si="7"/>
        <v/>
      </c>
      <c r="M20" s="7" t="str">
        <f t="shared" si="8"/>
        <v/>
      </c>
      <c r="N20" s="133"/>
      <c r="O20" s="151"/>
      <c r="P20" s="5" t="str">
        <f t="shared" si="9"/>
        <v/>
      </c>
      <c r="Q20" s="121" t="str">
        <f t="shared" si="10"/>
        <v/>
      </c>
      <c r="R20" s="121" t="str">
        <f t="shared" si="11"/>
        <v/>
      </c>
      <c r="S20" s="7" t="str">
        <f t="shared" si="12"/>
        <v/>
      </c>
      <c r="T20" s="5"/>
      <c r="U20" s="5" t="str">
        <f t="shared" si="13"/>
        <v/>
      </c>
      <c r="V20" s="121" t="str">
        <f t="shared" si="14"/>
        <v/>
      </c>
      <c r="W20" s="121" t="str">
        <f t="shared" si="15"/>
        <v/>
      </c>
      <c r="X20" s="7" t="str">
        <f t="shared" si="16"/>
        <v/>
      </c>
      <c r="Y20" s="136"/>
      <c r="Z20" s="5" t="str">
        <f t="shared" si="17"/>
        <v/>
      </c>
      <c r="AA20" s="137" t="s">
        <v>183</v>
      </c>
      <c r="AB20" s="7" t="str">
        <f t="shared" si="18"/>
        <v/>
      </c>
      <c r="AC20" s="157"/>
      <c r="AD20" s="4"/>
      <c r="AE20" s="138" t="str">
        <f t="shared" si="19"/>
        <v/>
      </c>
      <c r="AF20" s="139" t="str">
        <f t="shared" si="20"/>
        <v/>
      </c>
      <c r="AG20" s="139" t="str">
        <f t="shared" si="21"/>
        <v/>
      </c>
      <c r="AH20" s="139" t="str">
        <f t="shared" si="22"/>
        <v/>
      </c>
      <c r="AI20" s="139" t="str">
        <f t="shared" si="23"/>
        <v/>
      </c>
      <c r="AJ20" s="140" t="str">
        <f t="shared" si="24"/>
        <v/>
      </c>
      <c r="AK20" s="8"/>
      <c r="AL20" s="8" t="str">
        <f>IF(AM20="","",IF(各種設定金額!$B$7="","○○県",各種設定金額!$B$7))</f>
        <v/>
      </c>
      <c r="AM20" s="4"/>
      <c r="AN20" s="4"/>
      <c r="AO20" s="141" t="str">
        <f t="shared" si="25"/>
        <v/>
      </c>
      <c r="AP20" s="10"/>
      <c r="AQ20" s="129"/>
      <c r="AR20" s="142" t="s">
        <v>182</v>
      </c>
      <c r="AS20" s="131" t="str">
        <f t="shared" si="26"/>
        <v/>
      </c>
      <c r="AT20" s="132" t="str">
        <f t="shared" si="27"/>
        <v/>
      </c>
      <c r="AU20" s="132" t="str">
        <f t="shared" si="28"/>
        <v/>
      </c>
      <c r="AV20" s="132" t="str">
        <f t="shared" si="29"/>
        <v/>
      </c>
      <c r="AW20" s="132" t="str">
        <f t="shared" si="30"/>
        <v/>
      </c>
      <c r="AX20" s="143" t="str">
        <f t="shared" si="31"/>
        <v/>
      </c>
      <c r="AY20" s="144"/>
      <c r="AZ20" s="8" t="str">
        <f>IF(BA20="","",IF(各種設定金額!$B$7="","○○県",各種設定金額!$B$7))</f>
        <v/>
      </c>
      <c r="BA20" s="4"/>
      <c r="BB20" s="4"/>
      <c r="BC20" s="141" t="str">
        <f t="shared" si="32"/>
        <v/>
      </c>
      <c r="BD20" s="10"/>
      <c r="BE20" s="129"/>
      <c r="BF20" s="145" t="s">
        <v>63</v>
      </c>
      <c r="BG20" s="131" t="str">
        <f t="shared" si="33"/>
        <v/>
      </c>
      <c r="BH20" s="132" t="str">
        <f t="shared" si="34"/>
        <v/>
      </c>
      <c r="BI20" s="132" t="str">
        <f t="shared" si="35"/>
        <v/>
      </c>
      <c r="BJ20" s="132" t="str">
        <f t="shared" si="36"/>
        <v/>
      </c>
      <c r="BK20" s="132" t="str">
        <f t="shared" si="37"/>
        <v/>
      </c>
      <c r="BL20" s="132" t="str">
        <f t="shared" si="38"/>
        <v/>
      </c>
      <c r="BM20" s="146"/>
      <c r="BN20" s="8" t="str">
        <f>IF(BO20="","",IF(各種設定金額!$B$7="","○○県",各種設定金額!$B$7))</f>
        <v/>
      </c>
      <c r="BO20" s="4"/>
      <c r="BP20" s="4"/>
      <c r="BQ20" s="141" t="str">
        <f t="shared" si="39"/>
        <v/>
      </c>
      <c r="BR20" s="10"/>
      <c r="BS20" s="129"/>
      <c r="BT20" s="145" t="s">
        <v>63</v>
      </c>
      <c r="BU20" s="131" t="str">
        <f t="shared" si="40"/>
        <v/>
      </c>
      <c r="BV20" s="132" t="str">
        <f t="shared" si="41"/>
        <v/>
      </c>
      <c r="BW20" s="132" t="str">
        <f t="shared" si="42"/>
        <v/>
      </c>
      <c r="BX20" s="132" t="str">
        <f t="shared" si="43"/>
        <v/>
      </c>
      <c r="BY20" s="132" t="str">
        <f t="shared" si="44"/>
        <v/>
      </c>
      <c r="BZ20" s="132" t="str">
        <f t="shared" si="45"/>
        <v/>
      </c>
      <c r="CA20" s="146"/>
      <c r="CB20" s="10" t="str">
        <f t="shared" si="46"/>
        <v/>
      </c>
      <c r="CC20" s="7" t="str">
        <f t="shared" si="47"/>
        <v/>
      </c>
      <c r="CD20" s="147"/>
      <c r="CE20" s="147"/>
      <c r="CF20" s="4"/>
      <c r="CG20" s="4"/>
      <c r="CH20" s="148">
        <f t="shared" ca="1" si="48"/>
        <v>2026</v>
      </c>
      <c r="CI20" s="121" t="str">
        <f t="shared" ca="1" si="49"/>
        <v>令和</v>
      </c>
      <c r="CJ20" s="122" t="str">
        <f t="shared" ca="1" si="50"/>
        <v>R</v>
      </c>
      <c r="CK20" s="122" t="str">
        <f t="shared" ca="1" si="51"/>
        <v>8</v>
      </c>
      <c r="CL20" s="122">
        <f t="shared" ca="1" si="52"/>
        <v>10</v>
      </c>
      <c r="CM20" s="149">
        <f t="shared" ca="1" si="53"/>
        <v>24</v>
      </c>
      <c r="CN20" s="1"/>
      <c r="CO20" s="150">
        <f t="shared" ca="1" si="54"/>
        <v>46319</v>
      </c>
    </row>
    <row r="21" spans="1:93" ht="20.100000000000001" customHeight="1" x14ac:dyDescent="0.15">
      <c r="A21" s="7" t="str">
        <f>IF(B21="","",ROW()-ROW(会員表[#Headers]))</f>
        <v/>
      </c>
      <c r="B21" s="4" ph="1"/>
      <c r="C21" s="4" t="str" cm="1">
        <f t="array" ref="C21">_xlfn.LET(_xlpm.s,PHONETIC(B21),_xlpm.c,_xlfn.UNICODE(MID(_xlpm.s,_xlfn.SEQUENCE(LEN(_xlpm.s)),1)),IF(_xlpm.s="","",_xlfn.CONCAT(_xlfn.UNICHAR(_xlpm.c-96*(_xlpm.c&gt;=12449)*(_xlpm.c&lt;=12534)))))</f>
        <v/>
      </c>
      <c r="D21" s="4" t="str" cm="1">
        <f t="array" ref="D21">_xlfn.LET(_xlpm.s,PHONETIC(B21),_xlpm.c,_xlfn.UNICODE(MID(_xlpm.s,_xlfn.SEQUENCE(LEN(_xlpm.s)),1)),IF(_xlpm.s="","",_xlfn.CONCAT(_xlfn.UNICHAR(_xlpm.c+96*(_xlpm.c&gt;=12353)*(_xlpm.c&lt;=12438)))))</f>
        <v/>
      </c>
      <c r="E21" s="129" t="str">
        <f t="shared" ca="1" si="0"/>
        <v/>
      </c>
      <c r="F21" s="130" t="str">
        <f t="shared" si="1"/>
        <v/>
      </c>
      <c r="G21" s="130" t="str">
        <f t="shared" si="2"/>
        <v/>
      </c>
      <c r="H21" s="130" t="str">
        <f t="shared" si="3"/>
        <v/>
      </c>
      <c r="I21" s="131" t="str">
        <f t="shared" si="4"/>
        <v/>
      </c>
      <c r="J21" s="132" t="str">
        <f t="shared" si="5"/>
        <v/>
      </c>
      <c r="K21" s="121" t="str">
        <f t="shared" si="6"/>
        <v/>
      </c>
      <c r="L21" s="129" t="str">
        <f t="shared" si="7"/>
        <v/>
      </c>
      <c r="M21" s="7" t="str">
        <f t="shared" si="8"/>
        <v/>
      </c>
      <c r="N21" s="133"/>
      <c r="O21" s="5"/>
      <c r="P21" s="5" t="str">
        <f t="shared" si="9"/>
        <v/>
      </c>
      <c r="Q21" s="121" t="str">
        <f t="shared" si="10"/>
        <v/>
      </c>
      <c r="R21" s="121" t="str">
        <f t="shared" si="11"/>
        <v/>
      </c>
      <c r="S21" s="7" t="str">
        <f t="shared" si="12"/>
        <v/>
      </c>
      <c r="T21" s="5"/>
      <c r="U21" s="5" t="str">
        <f t="shared" si="13"/>
        <v/>
      </c>
      <c r="V21" s="121" t="str">
        <f t="shared" si="14"/>
        <v/>
      </c>
      <c r="W21" s="121" t="str">
        <f t="shared" si="15"/>
        <v/>
      </c>
      <c r="X21" s="7" t="str">
        <f t="shared" si="16"/>
        <v/>
      </c>
      <c r="Y21" s="136"/>
      <c r="Z21" s="5" t="str">
        <f t="shared" si="17"/>
        <v/>
      </c>
      <c r="AA21" s="137" t="s">
        <v>183</v>
      </c>
      <c r="AB21" s="7" t="str">
        <f t="shared" si="18"/>
        <v/>
      </c>
      <c r="AC21" s="157"/>
      <c r="AD21" s="4"/>
      <c r="AE21" s="138" t="str">
        <f t="shared" si="19"/>
        <v/>
      </c>
      <c r="AF21" s="139" t="str">
        <f t="shared" si="20"/>
        <v/>
      </c>
      <c r="AG21" s="139" t="str">
        <f t="shared" si="21"/>
        <v/>
      </c>
      <c r="AH21" s="139" t="str">
        <f t="shared" si="22"/>
        <v/>
      </c>
      <c r="AI21" s="139" t="str">
        <f t="shared" si="23"/>
        <v/>
      </c>
      <c r="AJ21" s="140" t="str">
        <f t="shared" si="24"/>
        <v/>
      </c>
      <c r="AK21" s="8"/>
      <c r="AL21" s="8" t="str">
        <f>IF(AM21="","",IF(各種設定金額!$B$7="","○○県",各種設定金額!$B$7))</f>
        <v/>
      </c>
      <c r="AM21" s="4"/>
      <c r="AN21" s="4"/>
      <c r="AO21" s="141" t="str">
        <f t="shared" si="25"/>
        <v/>
      </c>
      <c r="AP21" s="10"/>
      <c r="AQ21" s="129"/>
      <c r="AR21" s="142" t="s">
        <v>182</v>
      </c>
      <c r="AS21" s="131" t="str">
        <f t="shared" si="26"/>
        <v/>
      </c>
      <c r="AT21" s="132" t="str">
        <f t="shared" si="27"/>
        <v/>
      </c>
      <c r="AU21" s="132" t="str">
        <f t="shared" si="28"/>
        <v/>
      </c>
      <c r="AV21" s="132" t="str">
        <f t="shared" si="29"/>
        <v/>
      </c>
      <c r="AW21" s="132" t="str">
        <f t="shared" si="30"/>
        <v/>
      </c>
      <c r="AX21" s="143" t="str">
        <f t="shared" si="31"/>
        <v/>
      </c>
      <c r="AY21" s="144"/>
      <c r="AZ21" s="8" t="str">
        <f>IF(BA21="","",IF(各種設定金額!$B$7="","○○県",各種設定金額!$B$7))</f>
        <v/>
      </c>
      <c r="BA21" s="4"/>
      <c r="BB21" s="4"/>
      <c r="BC21" s="141" t="str">
        <f t="shared" si="32"/>
        <v/>
      </c>
      <c r="BD21" s="10"/>
      <c r="BE21" s="129"/>
      <c r="BF21" s="145" t="s">
        <v>63</v>
      </c>
      <c r="BG21" s="131" t="str">
        <f t="shared" si="33"/>
        <v/>
      </c>
      <c r="BH21" s="132" t="str">
        <f t="shared" si="34"/>
        <v/>
      </c>
      <c r="BI21" s="132" t="str">
        <f t="shared" si="35"/>
        <v/>
      </c>
      <c r="BJ21" s="132" t="str">
        <f t="shared" si="36"/>
        <v/>
      </c>
      <c r="BK21" s="132" t="str">
        <f t="shared" si="37"/>
        <v/>
      </c>
      <c r="BL21" s="132" t="str">
        <f t="shared" si="38"/>
        <v/>
      </c>
      <c r="BM21" s="146"/>
      <c r="BN21" s="8" t="str">
        <f>IF(BO21="","",IF(各種設定金額!$B$7="","○○県",各種設定金額!$B$7))</f>
        <v/>
      </c>
      <c r="BO21" s="4"/>
      <c r="BP21" s="4"/>
      <c r="BQ21" s="141" t="str">
        <f t="shared" si="39"/>
        <v/>
      </c>
      <c r="BR21" s="10"/>
      <c r="BS21" s="129"/>
      <c r="BT21" s="145" t="s">
        <v>63</v>
      </c>
      <c r="BU21" s="131" t="str">
        <f t="shared" si="40"/>
        <v/>
      </c>
      <c r="BV21" s="132" t="str">
        <f t="shared" si="41"/>
        <v/>
      </c>
      <c r="BW21" s="132" t="str">
        <f t="shared" si="42"/>
        <v/>
      </c>
      <c r="BX21" s="132" t="str">
        <f t="shared" si="43"/>
        <v/>
      </c>
      <c r="BY21" s="132" t="str">
        <f t="shared" si="44"/>
        <v/>
      </c>
      <c r="BZ21" s="132" t="str">
        <f t="shared" si="45"/>
        <v/>
      </c>
      <c r="CA21" s="146"/>
      <c r="CB21" s="10" t="str">
        <f t="shared" si="46"/>
        <v/>
      </c>
      <c r="CC21" s="7" t="str">
        <f t="shared" si="47"/>
        <v/>
      </c>
      <c r="CD21" s="147"/>
      <c r="CE21" s="147"/>
      <c r="CF21" s="4"/>
      <c r="CG21" s="4"/>
      <c r="CH21" s="148">
        <f t="shared" ca="1" si="48"/>
        <v>2026</v>
      </c>
      <c r="CI21" s="121" t="str">
        <f t="shared" ca="1" si="49"/>
        <v>令和</v>
      </c>
      <c r="CJ21" s="122" t="str">
        <f t="shared" ca="1" si="50"/>
        <v>R</v>
      </c>
      <c r="CK21" s="122" t="str">
        <f t="shared" ca="1" si="51"/>
        <v>8</v>
      </c>
      <c r="CL21" s="122">
        <f t="shared" ca="1" si="52"/>
        <v>10</v>
      </c>
      <c r="CM21" s="149">
        <f t="shared" ca="1" si="53"/>
        <v>24</v>
      </c>
      <c r="CN21" s="1"/>
      <c r="CO21" s="150">
        <f t="shared" ca="1" si="54"/>
        <v>46319</v>
      </c>
    </row>
    <row r="22" spans="1:93" ht="20.100000000000001" customHeight="1" x14ac:dyDescent="0.15">
      <c r="A22" s="7" t="str">
        <f>IF(B22="","",ROW()-ROW(会員表[#Headers]))</f>
        <v/>
      </c>
      <c r="B22" s="4" ph="1"/>
      <c r="C22" s="4" t="str" cm="1">
        <f t="array" ref="C22">_xlfn.LET(_xlpm.s,PHONETIC(B22),_xlpm.c,_xlfn.UNICODE(MID(_xlpm.s,_xlfn.SEQUENCE(LEN(_xlpm.s)),1)),IF(_xlpm.s="","",_xlfn.CONCAT(_xlfn.UNICHAR(_xlpm.c-96*(_xlpm.c&gt;=12449)*(_xlpm.c&lt;=12534)))))</f>
        <v/>
      </c>
      <c r="D22" s="4" t="str" cm="1">
        <f t="array" ref="D22">_xlfn.LET(_xlpm.s,PHONETIC(B22),_xlpm.c,_xlfn.UNICODE(MID(_xlpm.s,_xlfn.SEQUENCE(LEN(_xlpm.s)),1)),IF(_xlpm.s="","",_xlfn.CONCAT(_xlfn.UNICHAR(_xlpm.c+96*(_xlpm.c&gt;=12353)*(_xlpm.c&lt;=12438)))))</f>
        <v/>
      </c>
      <c r="E22" s="129" t="str">
        <f t="shared" ca="1" si="0"/>
        <v/>
      </c>
      <c r="F22" s="130" t="str">
        <f t="shared" si="1"/>
        <v/>
      </c>
      <c r="G22" s="130" t="str">
        <f t="shared" si="2"/>
        <v/>
      </c>
      <c r="H22" s="130" t="str">
        <f t="shared" si="3"/>
        <v/>
      </c>
      <c r="I22" s="131" t="str">
        <f t="shared" si="4"/>
        <v/>
      </c>
      <c r="J22" s="132" t="str">
        <f t="shared" si="5"/>
        <v/>
      </c>
      <c r="K22" s="121" t="str">
        <f t="shared" si="6"/>
        <v/>
      </c>
      <c r="L22" s="129" t="str">
        <f t="shared" si="7"/>
        <v/>
      </c>
      <c r="M22" s="7" t="str">
        <f t="shared" si="8"/>
        <v/>
      </c>
      <c r="N22" s="133"/>
      <c r="O22" s="8"/>
      <c r="P22" s="5" t="str">
        <f t="shared" si="9"/>
        <v/>
      </c>
      <c r="Q22" s="121" t="str">
        <f t="shared" si="10"/>
        <v/>
      </c>
      <c r="R22" s="121" t="str">
        <f t="shared" si="11"/>
        <v/>
      </c>
      <c r="S22" s="7" t="str">
        <f t="shared" si="12"/>
        <v/>
      </c>
      <c r="T22" s="5"/>
      <c r="U22" s="5" t="str">
        <f t="shared" si="13"/>
        <v/>
      </c>
      <c r="V22" s="121" t="str">
        <f t="shared" si="14"/>
        <v/>
      </c>
      <c r="W22" s="121" t="str">
        <f t="shared" si="15"/>
        <v/>
      </c>
      <c r="X22" s="7" t="str">
        <f t="shared" si="16"/>
        <v/>
      </c>
      <c r="Y22" s="136"/>
      <c r="Z22" s="5" t="str">
        <f t="shared" si="17"/>
        <v/>
      </c>
      <c r="AA22" s="137" t="s">
        <v>183</v>
      </c>
      <c r="AB22" s="7" t="str">
        <f t="shared" si="18"/>
        <v/>
      </c>
      <c r="AC22" s="157"/>
      <c r="AD22" s="4"/>
      <c r="AE22" s="138" t="str">
        <f t="shared" si="19"/>
        <v/>
      </c>
      <c r="AF22" s="139" t="str">
        <f t="shared" si="20"/>
        <v/>
      </c>
      <c r="AG22" s="139" t="str">
        <f t="shared" si="21"/>
        <v/>
      </c>
      <c r="AH22" s="139" t="str">
        <f t="shared" si="22"/>
        <v/>
      </c>
      <c r="AI22" s="139" t="str">
        <f t="shared" si="23"/>
        <v/>
      </c>
      <c r="AJ22" s="140" t="str">
        <f t="shared" si="24"/>
        <v/>
      </c>
      <c r="AK22" s="8"/>
      <c r="AL22" s="8" t="str">
        <f>IF(AM22="","",IF(各種設定金額!$B$7="","○○県",各種設定金額!$B$7))</f>
        <v/>
      </c>
      <c r="AM22" s="4"/>
      <c r="AN22" s="4"/>
      <c r="AO22" s="141" t="str">
        <f t="shared" si="25"/>
        <v/>
      </c>
      <c r="AP22" s="10"/>
      <c r="AQ22" s="129"/>
      <c r="AR22" s="142" t="s">
        <v>182</v>
      </c>
      <c r="AS22" s="131" t="str">
        <f t="shared" si="26"/>
        <v/>
      </c>
      <c r="AT22" s="132" t="str">
        <f t="shared" si="27"/>
        <v/>
      </c>
      <c r="AU22" s="132" t="str">
        <f t="shared" si="28"/>
        <v/>
      </c>
      <c r="AV22" s="132" t="str">
        <f t="shared" si="29"/>
        <v/>
      </c>
      <c r="AW22" s="132" t="str">
        <f t="shared" si="30"/>
        <v/>
      </c>
      <c r="AX22" s="143" t="str">
        <f t="shared" si="31"/>
        <v/>
      </c>
      <c r="AY22" s="144"/>
      <c r="AZ22" s="8" t="str">
        <f>IF(BA22="","",IF(各種設定金額!$B$7="","○○県",各種設定金額!$B$7))</f>
        <v/>
      </c>
      <c r="BA22" s="4"/>
      <c r="BB22" s="4"/>
      <c r="BC22" s="141" t="str">
        <f t="shared" si="32"/>
        <v/>
      </c>
      <c r="BD22" s="10"/>
      <c r="BE22" s="129"/>
      <c r="BF22" s="145" t="s">
        <v>63</v>
      </c>
      <c r="BG22" s="131" t="str">
        <f t="shared" si="33"/>
        <v/>
      </c>
      <c r="BH22" s="132" t="str">
        <f t="shared" si="34"/>
        <v/>
      </c>
      <c r="BI22" s="132" t="str">
        <f t="shared" si="35"/>
        <v/>
      </c>
      <c r="BJ22" s="132" t="str">
        <f t="shared" si="36"/>
        <v/>
      </c>
      <c r="BK22" s="132" t="str">
        <f t="shared" si="37"/>
        <v/>
      </c>
      <c r="BL22" s="132" t="str">
        <f t="shared" si="38"/>
        <v/>
      </c>
      <c r="BM22" s="146"/>
      <c r="BN22" s="8" t="str">
        <f>IF(BO22="","",IF(各種設定金額!$B$7="","○○県",各種設定金額!$B$7))</f>
        <v/>
      </c>
      <c r="BO22" s="4"/>
      <c r="BP22" s="4"/>
      <c r="BQ22" s="141" t="str">
        <f t="shared" si="39"/>
        <v/>
      </c>
      <c r="BR22" s="10"/>
      <c r="BS22" s="129"/>
      <c r="BT22" s="145" t="s">
        <v>63</v>
      </c>
      <c r="BU22" s="131" t="str">
        <f t="shared" si="40"/>
        <v/>
      </c>
      <c r="BV22" s="132" t="str">
        <f t="shared" si="41"/>
        <v/>
      </c>
      <c r="BW22" s="132" t="str">
        <f t="shared" si="42"/>
        <v/>
      </c>
      <c r="BX22" s="132" t="str">
        <f t="shared" si="43"/>
        <v/>
      </c>
      <c r="BY22" s="132" t="str">
        <f t="shared" si="44"/>
        <v/>
      </c>
      <c r="BZ22" s="132" t="str">
        <f t="shared" si="45"/>
        <v/>
      </c>
      <c r="CA22" s="146"/>
      <c r="CB22" s="10" t="str">
        <f t="shared" si="46"/>
        <v/>
      </c>
      <c r="CC22" s="7" t="str">
        <f t="shared" si="47"/>
        <v/>
      </c>
      <c r="CD22" s="147"/>
      <c r="CE22" s="147"/>
      <c r="CF22" s="6"/>
      <c r="CG22" s="4"/>
      <c r="CH22" s="148">
        <f t="shared" ca="1" si="48"/>
        <v>2026</v>
      </c>
      <c r="CI22" s="121" t="str">
        <f t="shared" ca="1" si="49"/>
        <v>令和</v>
      </c>
      <c r="CJ22" s="122" t="str">
        <f t="shared" ca="1" si="50"/>
        <v>R</v>
      </c>
      <c r="CK22" s="122" t="str">
        <f t="shared" ca="1" si="51"/>
        <v>8</v>
      </c>
      <c r="CL22" s="122">
        <f t="shared" ca="1" si="52"/>
        <v>10</v>
      </c>
      <c r="CM22" s="149">
        <f t="shared" ca="1" si="53"/>
        <v>24</v>
      </c>
      <c r="CN22" s="1"/>
      <c r="CO22" s="150">
        <f t="shared" ca="1" si="54"/>
        <v>46319</v>
      </c>
    </row>
    <row r="23" spans="1:93" ht="20.100000000000001" customHeight="1" x14ac:dyDescent="0.15">
      <c r="A23" s="7" t="str">
        <f>IF(B23="","",ROW()-ROW(会員表[#Headers]))</f>
        <v/>
      </c>
      <c r="B23" s="4" ph="1"/>
      <c r="C23" s="4" t="str" cm="1">
        <f t="array" ref="C23">_xlfn.LET(_xlpm.s,PHONETIC(B23),_xlpm.c,_xlfn.UNICODE(MID(_xlpm.s,_xlfn.SEQUENCE(LEN(_xlpm.s)),1)),IF(_xlpm.s="","",_xlfn.CONCAT(_xlfn.UNICHAR(_xlpm.c-96*(_xlpm.c&gt;=12449)*(_xlpm.c&lt;=12534)))))</f>
        <v/>
      </c>
      <c r="D23" s="4" t="str" cm="1">
        <f t="array" ref="D23">_xlfn.LET(_xlpm.s,PHONETIC(B23),_xlpm.c,_xlfn.UNICODE(MID(_xlpm.s,_xlfn.SEQUENCE(LEN(_xlpm.s)),1)),IF(_xlpm.s="","",_xlfn.CONCAT(_xlfn.UNICHAR(_xlpm.c+96*(_xlpm.c&gt;=12353)*(_xlpm.c&lt;=12438)))))</f>
        <v/>
      </c>
      <c r="E23" s="129" t="str">
        <f t="shared" ca="1" si="0"/>
        <v/>
      </c>
      <c r="F23" s="130" t="str">
        <f t="shared" si="1"/>
        <v/>
      </c>
      <c r="G23" s="130" t="str">
        <f t="shared" si="2"/>
        <v/>
      </c>
      <c r="H23" s="130" t="str">
        <f t="shared" si="3"/>
        <v/>
      </c>
      <c r="I23" s="131" t="str">
        <f t="shared" si="4"/>
        <v/>
      </c>
      <c r="J23" s="132" t="str">
        <f t="shared" si="5"/>
        <v/>
      </c>
      <c r="K23" s="121" t="str">
        <f t="shared" si="6"/>
        <v/>
      </c>
      <c r="L23" s="129" t="str">
        <f t="shared" si="7"/>
        <v/>
      </c>
      <c r="M23" s="7" t="str">
        <f t="shared" si="8"/>
        <v/>
      </c>
      <c r="N23" s="133"/>
      <c r="O23" s="8"/>
      <c r="P23" s="5" t="str">
        <f t="shared" si="9"/>
        <v/>
      </c>
      <c r="Q23" s="121" t="str">
        <f t="shared" si="10"/>
        <v/>
      </c>
      <c r="R23" s="121" t="str">
        <f t="shared" si="11"/>
        <v/>
      </c>
      <c r="S23" s="7" t="str">
        <f t="shared" si="12"/>
        <v/>
      </c>
      <c r="T23" s="5"/>
      <c r="U23" s="5" t="str">
        <f t="shared" si="13"/>
        <v/>
      </c>
      <c r="V23" s="121" t="str">
        <f t="shared" si="14"/>
        <v/>
      </c>
      <c r="W23" s="121" t="str">
        <f t="shared" si="15"/>
        <v/>
      </c>
      <c r="X23" s="7" t="str">
        <f t="shared" si="16"/>
        <v/>
      </c>
      <c r="Y23" s="136"/>
      <c r="Z23" s="5" t="str">
        <f t="shared" si="17"/>
        <v/>
      </c>
      <c r="AA23" s="137" t="s">
        <v>183</v>
      </c>
      <c r="AB23" s="7" t="str">
        <f t="shared" si="18"/>
        <v/>
      </c>
      <c r="AC23" s="9"/>
      <c r="AD23" s="4"/>
      <c r="AE23" s="138" t="str">
        <f t="shared" si="19"/>
        <v/>
      </c>
      <c r="AF23" s="139" t="str">
        <f t="shared" si="20"/>
        <v/>
      </c>
      <c r="AG23" s="139" t="str">
        <f t="shared" si="21"/>
        <v/>
      </c>
      <c r="AH23" s="139" t="str">
        <f t="shared" si="22"/>
        <v/>
      </c>
      <c r="AI23" s="139" t="str">
        <f t="shared" si="23"/>
        <v/>
      </c>
      <c r="AJ23" s="140" t="str">
        <f t="shared" si="24"/>
        <v/>
      </c>
      <c r="AK23" s="8"/>
      <c r="AL23" s="8" t="str">
        <f>IF(AM23="","",IF(各種設定金額!$B$7="","○○県",各種設定金額!$B$7))</f>
        <v/>
      </c>
      <c r="AM23" s="4"/>
      <c r="AN23" s="4"/>
      <c r="AO23" s="141" t="str">
        <f t="shared" si="25"/>
        <v/>
      </c>
      <c r="AP23" s="10"/>
      <c r="AQ23" s="129"/>
      <c r="AR23" s="142" t="s">
        <v>182</v>
      </c>
      <c r="AS23" s="131" t="str">
        <f t="shared" si="26"/>
        <v/>
      </c>
      <c r="AT23" s="132" t="str">
        <f t="shared" si="27"/>
        <v/>
      </c>
      <c r="AU23" s="132" t="str">
        <f t="shared" si="28"/>
        <v/>
      </c>
      <c r="AV23" s="132" t="str">
        <f t="shared" si="29"/>
        <v/>
      </c>
      <c r="AW23" s="132" t="str">
        <f t="shared" si="30"/>
        <v/>
      </c>
      <c r="AX23" s="143" t="str">
        <f t="shared" si="31"/>
        <v/>
      </c>
      <c r="AY23" s="144"/>
      <c r="AZ23" s="8" t="str">
        <f>IF(BA23="","",IF(各種設定金額!$B$7="","○○県",各種設定金額!$B$7))</f>
        <v/>
      </c>
      <c r="BA23" s="4"/>
      <c r="BB23" s="4"/>
      <c r="BC23" s="141" t="str">
        <f t="shared" si="32"/>
        <v/>
      </c>
      <c r="BD23" s="10"/>
      <c r="BE23" s="129"/>
      <c r="BF23" s="145" t="s">
        <v>63</v>
      </c>
      <c r="BG23" s="131" t="str">
        <f t="shared" si="33"/>
        <v/>
      </c>
      <c r="BH23" s="132" t="str">
        <f t="shared" si="34"/>
        <v/>
      </c>
      <c r="BI23" s="132" t="str">
        <f t="shared" si="35"/>
        <v/>
      </c>
      <c r="BJ23" s="132" t="str">
        <f t="shared" si="36"/>
        <v/>
      </c>
      <c r="BK23" s="132" t="str">
        <f t="shared" si="37"/>
        <v/>
      </c>
      <c r="BL23" s="132" t="str">
        <f t="shared" si="38"/>
        <v/>
      </c>
      <c r="BM23" s="146"/>
      <c r="BN23" s="8" t="str">
        <f>IF(BO23="","",IF(各種設定金額!$B$7="","○○県",各種設定金額!$B$7))</f>
        <v/>
      </c>
      <c r="BO23" s="4"/>
      <c r="BP23" s="4"/>
      <c r="BQ23" s="141" t="str">
        <f t="shared" si="39"/>
        <v/>
      </c>
      <c r="BR23" s="10"/>
      <c r="BS23" s="129"/>
      <c r="BT23" s="145" t="s">
        <v>63</v>
      </c>
      <c r="BU23" s="131" t="str">
        <f t="shared" si="40"/>
        <v/>
      </c>
      <c r="BV23" s="132" t="str">
        <f t="shared" si="41"/>
        <v/>
      </c>
      <c r="BW23" s="132" t="str">
        <f t="shared" si="42"/>
        <v/>
      </c>
      <c r="BX23" s="132" t="str">
        <f t="shared" si="43"/>
        <v/>
      </c>
      <c r="BY23" s="132" t="str">
        <f t="shared" si="44"/>
        <v/>
      </c>
      <c r="BZ23" s="132" t="str">
        <f t="shared" si="45"/>
        <v/>
      </c>
      <c r="CA23" s="146"/>
      <c r="CB23" s="10" t="str">
        <f t="shared" si="46"/>
        <v/>
      </c>
      <c r="CC23" s="7" t="str">
        <f t="shared" si="47"/>
        <v/>
      </c>
      <c r="CD23" s="147"/>
      <c r="CE23" s="147"/>
      <c r="CF23" s="4"/>
      <c r="CG23" s="4"/>
      <c r="CH23" s="148">
        <f t="shared" ca="1" si="48"/>
        <v>2026</v>
      </c>
      <c r="CI23" s="121" t="str">
        <f t="shared" ca="1" si="49"/>
        <v>令和</v>
      </c>
      <c r="CJ23" s="122" t="str">
        <f t="shared" ca="1" si="50"/>
        <v>R</v>
      </c>
      <c r="CK23" s="122" t="str">
        <f t="shared" ca="1" si="51"/>
        <v>8</v>
      </c>
      <c r="CL23" s="122">
        <f t="shared" ca="1" si="52"/>
        <v>10</v>
      </c>
      <c r="CM23" s="149">
        <f t="shared" ca="1" si="53"/>
        <v>24</v>
      </c>
      <c r="CN23" s="1"/>
      <c r="CO23" s="150">
        <f t="shared" ca="1" si="54"/>
        <v>46319</v>
      </c>
    </row>
    <row r="24" spans="1:93" ht="20.100000000000001" customHeight="1" x14ac:dyDescent="0.15">
      <c r="A24" s="7" t="str">
        <f>IF(B24="","",ROW()-ROW(会員表[#Headers]))</f>
        <v/>
      </c>
      <c r="B24" s="4" ph="1"/>
      <c r="C24" s="4" t="str" cm="1">
        <f t="array" ref="C24">_xlfn.LET(_xlpm.s,PHONETIC(B24),_xlpm.c,_xlfn.UNICODE(MID(_xlpm.s,_xlfn.SEQUENCE(LEN(_xlpm.s)),1)),IF(_xlpm.s="","",_xlfn.CONCAT(_xlfn.UNICHAR(_xlpm.c-96*(_xlpm.c&gt;=12449)*(_xlpm.c&lt;=12534)))))</f>
        <v/>
      </c>
      <c r="D24" s="4" t="str" cm="1">
        <f t="array" ref="D24">_xlfn.LET(_xlpm.s,PHONETIC(B24),_xlpm.c,_xlfn.UNICODE(MID(_xlpm.s,_xlfn.SEQUENCE(LEN(_xlpm.s)),1)),IF(_xlpm.s="","",_xlfn.CONCAT(_xlfn.UNICHAR(_xlpm.c+96*(_xlpm.c&gt;=12353)*(_xlpm.c&lt;=12438)))))</f>
        <v/>
      </c>
      <c r="E24" s="129" t="str">
        <f t="shared" ca="1" si="0"/>
        <v/>
      </c>
      <c r="F24" s="130" t="str">
        <f t="shared" si="1"/>
        <v/>
      </c>
      <c r="G24" s="130" t="str">
        <f t="shared" si="2"/>
        <v/>
      </c>
      <c r="H24" s="130" t="str">
        <f t="shared" si="3"/>
        <v/>
      </c>
      <c r="I24" s="131" t="str">
        <f t="shared" si="4"/>
        <v/>
      </c>
      <c r="J24" s="132" t="str">
        <f t="shared" si="5"/>
        <v/>
      </c>
      <c r="K24" s="121" t="str">
        <f t="shared" si="6"/>
        <v/>
      </c>
      <c r="L24" s="129" t="str">
        <f t="shared" si="7"/>
        <v/>
      </c>
      <c r="M24" s="7" t="str">
        <f t="shared" si="8"/>
        <v/>
      </c>
      <c r="N24" s="133"/>
      <c r="O24" s="8"/>
      <c r="P24" s="5" t="str">
        <f t="shared" si="9"/>
        <v/>
      </c>
      <c r="Q24" s="121" t="str">
        <f t="shared" si="10"/>
        <v/>
      </c>
      <c r="R24" s="121" t="str">
        <f t="shared" si="11"/>
        <v/>
      </c>
      <c r="S24" s="7" t="str">
        <f t="shared" si="12"/>
        <v/>
      </c>
      <c r="T24" s="5"/>
      <c r="U24" s="5" t="str">
        <f t="shared" si="13"/>
        <v/>
      </c>
      <c r="V24" s="121" t="str">
        <f t="shared" si="14"/>
        <v/>
      </c>
      <c r="W24" s="121" t="str">
        <f t="shared" si="15"/>
        <v/>
      </c>
      <c r="X24" s="7" t="str">
        <f t="shared" si="16"/>
        <v/>
      </c>
      <c r="Y24" s="136"/>
      <c r="Z24" s="5" t="str">
        <f t="shared" si="17"/>
        <v/>
      </c>
      <c r="AA24" s="137" t="s">
        <v>183</v>
      </c>
      <c r="AB24" s="7" t="str">
        <f t="shared" si="18"/>
        <v/>
      </c>
      <c r="AC24" s="157"/>
      <c r="AD24" s="4"/>
      <c r="AE24" s="138" t="str">
        <f t="shared" si="19"/>
        <v/>
      </c>
      <c r="AF24" s="139" t="str">
        <f t="shared" si="20"/>
        <v/>
      </c>
      <c r="AG24" s="139" t="str">
        <f t="shared" si="21"/>
        <v/>
      </c>
      <c r="AH24" s="139" t="str">
        <f t="shared" si="22"/>
        <v/>
      </c>
      <c r="AI24" s="139" t="str">
        <f t="shared" si="23"/>
        <v/>
      </c>
      <c r="AJ24" s="140" t="str">
        <f t="shared" si="24"/>
        <v/>
      </c>
      <c r="AK24" s="8"/>
      <c r="AL24" s="8" t="str">
        <f>IF(AM24="","",IF(各種設定金額!$B$7="","○○県",各種設定金額!$B$7))</f>
        <v/>
      </c>
      <c r="AM24" s="4"/>
      <c r="AN24" s="4"/>
      <c r="AO24" s="141" t="str">
        <f t="shared" si="25"/>
        <v/>
      </c>
      <c r="AP24" s="10"/>
      <c r="AQ24" s="129"/>
      <c r="AR24" s="142" t="s">
        <v>182</v>
      </c>
      <c r="AS24" s="131" t="str">
        <f t="shared" si="26"/>
        <v/>
      </c>
      <c r="AT24" s="132" t="str">
        <f t="shared" si="27"/>
        <v/>
      </c>
      <c r="AU24" s="132" t="str">
        <f t="shared" si="28"/>
        <v/>
      </c>
      <c r="AV24" s="132" t="str">
        <f t="shared" si="29"/>
        <v/>
      </c>
      <c r="AW24" s="132" t="str">
        <f t="shared" si="30"/>
        <v/>
      </c>
      <c r="AX24" s="143" t="str">
        <f t="shared" si="31"/>
        <v/>
      </c>
      <c r="AY24" s="144"/>
      <c r="AZ24" s="8" t="str">
        <f>IF(BA24="","",IF(各種設定金額!$B$7="","○○県",各種設定金額!$B$7))</f>
        <v/>
      </c>
      <c r="BA24" s="6"/>
      <c r="BB24" s="4"/>
      <c r="BC24" s="141" t="str">
        <f t="shared" si="32"/>
        <v/>
      </c>
      <c r="BD24" s="10"/>
      <c r="BE24" s="129"/>
      <c r="BF24" s="145" t="s">
        <v>63</v>
      </c>
      <c r="BG24" s="131" t="str">
        <f t="shared" si="33"/>
        <v/>
      </c>
      <c r="BH24" s="132" t="str">
        <f t="shared" si="34"/>
        <v/>
      </c>
      <c r="BI24" s="132" t="str">
        <f t="shared" si="35"/>
        <v/>
      </c>
      <c r="BJ24" s="132" t="str">
        <f t="shared" si="36"/>
        <v/>
      </c>
      <c r="BK24" s="132" t="str">
        <f t="shared" si="37"/>
        <v/>
      </c>
      <c r="BL24" s="132" t="str">
        <f t="shared" si="38"/>
        <v/>
      </c>
      <c r="BM24" s="146"/>
      <c r="BN24" s="8" t="str">
        <f>IF(BO24="","",IF(各種設定金額!$B$7="","○○県",各種設定金額!$B$7))</f>
        <v/>
      </c>
      <c r="BO24" s="6"/>
      <c r="BP24" s="4"/>
      <c r="BQ24" s="141" t="str">
        <f t="shared" si="39"/>
        <v/>
      </c>
      <c r="BR24" s="10"/>
      <c r="BS24" s="129"/>
      <c r="BT24" s="145" t="s">
        <v>63</v>
      </c>
      <c r="BU24" s="131" t="str">
        <f t="shared" si="40"/>
        <v/>
      </c>
      <c r="BV24" s="132" t="str">
        <f t="shared" si="41"/>
        <v/>
      </c>
      <c r="BW24" s="132" t="str">
        <f t="shared" si="42"/>
        <v/>
      </c>
      <c r="BX24" s="132" t="str">
        <f t="shared" si="43"/>
        <v/>
      </c>
      <c r="BY24" s="132" t="str">
        <f t="shared" si="44"/>
        <v/>
      </c>
      <c r="BZ24" s="132" t="str">
        <f t="shared" si="45"/>
        <v/>
      </c>
      <c r="CA24" s="146"/>
      <c r="CB24" s="10" t="str">
        <f t="shared" si="46"/>
        <v/>
      </c>
      <c r="CC24" s="7" t="str">
        <f t="shared" si="47"/>
        <v/>
      </c>
      <c r="CD24" s="147"/>
      <c r="CE24" s="147"/>
      <c r="CF24" s="6"/>
      <c r="CG24" s="4"/>
      <c r="CH24" s="148">
        <f t="shared" ca="1" si="48"/>
        <v>2026</v>
      </c>
      <c r="CI24" s="121" t="str">
        <f t="shared" ca="1" si="49"/>
        <v>令和</v>
      </c>
      <c r="CJ24" s="122" t="str">
        <f t="shared" ca="1" si="50"/>
        <v>R</v>
      </c>
      <c r="CK24" s="122" t="str">
        <f t="shared" ca="1" si="51"/>
        <v>8</v>
      </c>
      <c r="CL24" s="122">
        <f t="shared" ca="1" si="52"/>
        <v>10</v>
      </c>
      <c r="CM24" s="149">
        <f t="shared" ca="1" si="53"/>
        <v>24</v>
      </c>
      <c r="CN24" s="1"/>
      <c r="CO24" s="150">
        <f t="shared" ca="1" si="54"/>
        <v>46319</v>
      </c>
    </row>
    <row r="25" spans="1:93" ht="20.100000000000001" customHeight="1" x14ac:dyDescent="0.15">
      <c r="A25" s="7" t="str">
        <f>IF(B25="","",ROW()-ROW(会員表[#Headers]))</f>
        <v/>
      </c>
      <c r="B25" s="4" ph="1"/>
      <c r="C25" s="4" t="str" cm="1">
        <f t="array" ref="C25">_xlfn.LET(_xlpm.s,PHONETIC(B25),_xlpm.c,_xlfn.UNICODE(MID(_xlpm.s,_xlfn.SEQUENCE(LEN(_xlpm.s)),1)),IF(_xlpm.s="","",_xlfn.CONCAT(_xlfn.UNICHAR(_xlpm.c-96*(_xlpm.c&gt;=12449)*(_xlpm.c&lt;=12534)))))</f>
        <v/>
      </c>
      <c r="D25" s="4" t="str" cm="1">
        <f t="array" ref="D25">_xlfn.LET(_xlpm.s,PHONETIC(B25),_xlpm.c,_xlfn.UNICODE(MID(_xlpm.s,_xlfn.SEQUENCE(LEN(_xlpm.s)),1)),IF(_xlpm.s="","",_xlfn.CONCAT(_xlfn.UNICHAR(_xlpm.c+96*(_xlpm.c&gt;=12353)*(_xlpm.c&lt;=12438)))))</f>
        <v/>
      </c>
      <c r="E25" s="129" t="str">
        <f t="shared" ca="1" si="0"/>
        <v/>
      </c>
      <c r="F25" s="130" t="str">
        <f t="shared" si="1"/>
        <v/>
      </c>
      <c r="G25" s="130" t="str">
        <f t="shared" si="2"/>
        <v/>
      </c>
      <c r="H25" s="130" t="str">
        <f t="shared" si="3"/>
        <v/>
      </c>
      <c r="I25" s="131" t="str">
        <f t="shared" si="4"/>
        <v/>
      </c>
      <c r="J25" s="132" t="str">
        <f t="shared" si="5"/>
        <v/>
      </c>
      <c r="K25" s="121" t="str">
        <f t="shared" si="6"/>
        <v/>
      </c>
      <c r="L25" s="129" t="str">
        <f t="shared" si="7"/>
        <v/>
      </c>
      <c r="M25" s="7" t="str">
        <f t="shared" si="8"/>
        <v/>
      </c>
      <c r="N25" s="133"/>
      <c r="O25" s="8"/>
      <c r="P25" s="5" t="str">
        <f t="shared" si="9"/>
        <v/>
      </c>
      <c r="Q25" s="121" t="str">
        <f t="shared" si="10"/>
        <v/>
      </c>
      <c r="R25" s="121" t="str">
        <f t="shared" si="11"/>
        <v/>
      </c>
      <c r="S25" s="7" t="str">
        <f t="shared" si="12"/>
        <v/>
      </c>
      <c r="T25" s="5"/>
      <c r="U25" s="5" t="str">
        <f t="shared" si="13"/>
        <v/>
      </c>
      <c r="V25" s="121" t="str">
        <f t="shared" si="14"/>
        <v/>
      </c>
      <c r="W25" s="121" t="str">
        <f t="shared" si="15"/>
        <v/>
      </c>
      <c r="X25" s="7" t="str">
        <f t="shared" si="16"/>
        <v/>
      </c>
      <c r="Y25" s="136"/>
      <c r="Z25" s="5" t="str">
        <f t="shared" si="17"/>
        <v/>
      </c>
      <c r="AA25" s="137" t="s">
        <v>183</v>
      </c>
      <c r="AB25" s="7" t="str">
        <f t="shared" si="18"/>
        <v/>
      </c>
      <c r="AC25" s="157"/>
      <c r="AD25" s="4"/>
      <c r="AE25" s="138" t="str">
        <f t="shared" si="19"/>
        <v/>
      </c>
      <c r="AF25" s="139" t="str">
        <f t="shared" si="20"/>
        <v/>
      </c>
      <c r="AG25" s="139" t="str">
        <f t="shared" si="21"/>
        <v/>
      </c>
      <c r="AH25" s="139" t="str">
        <f t="shared" si="22"/>
        <v/>
      </c>
      <c r="AI25" s="139" t="str">
        <f t="shared" si="23"/>
        <v/>
      </c>
      <c r="AJ25" s="140" t="str">
        <f t="shared" si="24"/>
        <v/>
      </c>
      <c r="AK25" s="8"/>
      <c r="AL25" s="8" t="str">
        <f>IF(AM25="","",IF(各種設定金額!$B$7="","○○県",各種設定金額!$B$7))</f>
        <v/>
      </c>
      <c r="AM25" s="4"/>
      <c r="AN25" s="4"/>
      <c r="AO25" s="141" t="str">
        <f t="shared" si="25"/>
        <v/>
      </c>
      <c r="AP25" s="10"/>
      <c r="AQ25" s="129"/>
      <c r="AR25" s="142" t="s">
        <v>182</v>
      </c>
      <c r="AS25" s="131" t="str">
        <f t="shared" si="26"/>
        <v/>
      </c>
      <c r="AT25" s="132" t="str">
        <f t="shared" si="27"/>
        <v/>
      </c>
      <c r="AU25" s="132" t="str">
        <f t="shared" si="28"/>
        <v/>
      </c>
      <c r="AV25" s="132" t="str">
        <f t="shared" si="29"/>
        <v/>
      </c>
      <c r="AW25" s="132" t="str">
        <f t="shared" si="30"/>
        <v/>
      </c>
      <c r="AX25" s="143" t="str">
        <f t="shared" si="31"/>
        <v/>
      </c>
      <c r="AY25" s="144"/>
      <c r="AZ25" s="8" t="str">
        <f>IF(BA25="","",IF(各種設定金額!$B$7="","○○県",各種設定金額!$B$7))</f>
        <v/>
      </c>
      <c r="BA25" s="4"/>
      <c r="BB25" s="4"/>
      <c r="BC25" s="141" t="str">
        <f t="shared" si="32"/>
        <v/>
      </c>
      <c r="BD25" s="10"/>
      <c r="BE25" s="129"/>
      <c r="BF25" s="145" t="s">
        <v>63</v>
      </c>
      <c r="BG25" s="131" t="str">
        <f t="shared" si="33"/>
        <v/>
      </c>
      <c r="BH25" s="132" t="str">
        <f t="shared" si="34"/>
        <v/>
      </c>
      <c r="BI25" s="132" t="str">
        <f t="shared" si="35"/>
        <v/>
      </c>
      <c r="BJ25" s="132" t="str">
        <f t="shared" si="36"/>
        <v/>
      </c>
      <c r="BK25" s="132" t="str">
        <f t="shared" si="37"/>
        <v/>
      </c>
      <c r="BL25" s="132" t="str">
        <f t="shared" si="38"/>
        <v/>
      </c>
      <c r="BM25" s="146"/>
      <c r="BN25" s="8" t="str">
        <f>IF(BO25="","",IF(各種設定金額!$B$7="","○○県",各種設定金額!$B$7))</f>
        <v/>
      </c>
      <c r="BO25" s="4"/>
      <c r="BP25" s="4"/>
      <c r="BQ25" s="141" t="str">
        <f t="shared" si="39"/>
        <v/>
      </c>
      <c r="BR25" s="10"/>
      <c r="BS25" s="129"/>
      <c r="BT25" s="145" t="s">
        <v>63</v>
      </c>
      <c r="BU25" s="131" t="str">
        <f t="shared" si="40"/>
        <v/>
      </c>
      <c r="BV25" s="132" t="str">
        <f t="shared" si="41"/>
        <v/>
      </c>
      <c r="BW25" s="132" t="str">
        <f t="shared" si="42"/>
        <v/>
      </c>
      <c r="BX25" s="132" t="str">
        <f t="shared" si="43"/>
        <v/>
      </c>
      <c r="BY25" s="132" t="str">
        <f t="shared" si="44"/>
        <v/>
      </c>
      <c r="BZ25" s="132" t="str">
        <f t="shared" si="45"/>
        <v/>
      </c>
      <c r="CA25" s="146"/>
      <c r="CB25" s="10" t="str">
        <f t="shared" si="46"/>
        <v/>
      </c>
      <c r="CC25" s="7" t="str">
        <f t="shared" si="47"/>
        <v/>
      </c>
      <c r="CD25" s="147"/>
      <c r="CE25" s="147"/>
      <c r="CF25" s="4"/>
      <c r="CG25" s="4"/>
      <c r="CH25" s="148">
        <f t="shared" ca="1" si="48"/>
        <v>2026</v>
      </c>
      <c r="CI25" s="121" t="str">
        <f t="shared" ca="1" si="49"/>
        <v>令和</v>
      </c>
      <c r="CJ25" s="122" t="str">
        <f t="shared" ca="1" si="50"/>
        <v>R</v>
      </c>
      <c r="CK25" s="122" t="str">
        <f t="shared" ca="1" si="51"/>
        <v>8</v>
      </c>
      <c r="CL25" s="122">
        <f t="shared" ca="1" si="52"/>
        <v>10</v>
      </c>
      <c r="CM25" s="149">
        <f t="shared" ca="1" si="53"/>
        <v>24</v>
      </c>
      <c r="CN25" s="1"/>
      <c r="CO25" s="150">
        <f t="shared" ca="1" si="54"/>
        <v>46319</v>
      </c>
    </row>
    <row r="26" spans="1:93" ht="20.100000000000001" customHeight="1" x14ac:dyDescent="0.15">
      <c r="A26" s="7" t="str">
        <f>IF(B26="","",ROW()-ROW(会員表[#Headers]))</f>
        <v/>
      </c>
      <c r="B26" s="4" ph="1"/>
      <c r="C26" s="4" t="str" cm="1">
        <f t="array" ref="C26">_xlfn.LET(_xlpm.s,PHONETIC(B26),_xlpm.c,_xlfn.UNICODE(MID(_xlpm.s,_xlfn.SEQUENCE(LEN(_xlpm.s)),1)),IF(_xlpm.s="","",_xlfn.CONCAT(_xlfn.UNICHAR(_xlpm.c-96*(_xlpm.c&gt;=12449)*(_xlpm.c&lt;=12534)))))</f>
        <v/>
      </c>
      <c r="D26" s="4" t="str" cm="1">
        <f t="array" ref="D26">_xlfn.LET(_xlpm.s,PHONETIC(B26),_xlpm.c,_xlfn.UNICODE(MID(_xlpm.s,_xlfn.SEQUENCE(LEN(_xlpm.s)),1)),IF(_xlpm.s="","",_xlfn.CONCAT(_xlfn.UNICHAR(_xlpm.c+96*(_xlpm.c&gt;=12353)*(_xlpm.c&lt;=12438)))))</f>
        <v/>
      </c>
      <c r="E26" s="129" t="str">
        <f t="shared" ca="1" si="0"/>
        <v/>
      </c>
      <c r="F26" s="130" t="str">
        <f t="shared" si="1"/>
        <v/>
      </c>
      <c r="G26" s="130" t="str">
        <f t="shared" si="2"/>
        <v/>
      </c>
      <c r="H26" s="130" t="str">
        <f t="shared" si="3"/>
        <v/>
      </c>
      <c r="I26" s="131" t="str">
        <f t="shared" si="4"/>
        <v/>
      </c>
      <c r="J26" s="132" t="str">
        <f t="shared" si="5"/>
        <v/>
      </c>
      <c r="K26" s="121" t="str">
        <f t="shared" si="6"/>
        <v/>
      </c>
      <c r="L26" s="129" t="str">
        <f t="shared" si="7"/>
        <v/>
      </c>
      <c r="M26" s="7" t="str">
        <f t="shared" si="8"/>
        <v/>
      </c>
      <c r="N26" s="133"/>
      <c r="O26" s="8"/>
      <c r="P26" s="5" t="str">
        <f t="shared" si="9"/>
        <v/>
      </c>
      <c r="Q26" s="121" t="str">
        <f t="shared" si="10"/>
        <v/>
      </c>
      <c r="R26" s="121" t="str">
        <f t="shared" si="11"/>
        <v/>
      </c>
      <c r="S26" s="7" t="str">
        <f t="shared" si="12"/>
        <v/>
      </c>
      <c r="T26" s="5"/>
      <c r="U26" s="5" t="str">
        <f t="shared" si="13"/>
        <v/>
      </c>
      <c r="V26" s="121" t="str">
        <f t="shared" si="14"/>
        <v/>
      </c>
      <c r="W26" s="121" t="str">
        <f t="shared" si="15"/>
        <v/>
      </c>
      <c r="X26" s="7" t="str">
        <f t="shared" si="16"/>
        <v/>
      </c>
      <c r="Y26" s="136"/>
      <c r="Z26" s="5" t="str">
        <f t="shared" si="17"/>
        <v/>
      </c>
      <c r="AA26" s="137" t="s">
        <v>183</v>
      </c>
      <c r="AB26" s="7" t="str">
        <f t="shared" si="18"/>
        <v/>
      </c>
      <c r="AC26" s="9"/>
      <c r="AD26" s="4"/>
      <c r="AE26" s="138" t="str">
        <f t="shared" si="19"/>
        <v/>
      </c>
      <c r="AF26" s="139" t="str">
        <f t="shared" si="20"/>
        <v/>
      </c>
      <c r="AG26" s="139" t="str">
        <f t="shared" si="21"/>
        <v/>
      </c>
      <c r="AH26" s="139" t="str">
        <f t="shared" si="22"/>
        <v/>
      </c>
      <c r="AI26" s="139" t="str">
        <f t="shared" si="23"/>
        <v/>
      </c>
      <c r="AJ26" s="140" t="str">
        <f t="shared" si="24"/>
        <v/>
      </c>
      <c r="AK26" s="8"/>
      <c r="AL26" s="8" t="str">
        <f>IF(AM26="","",IF(各種設定金額!$B$7="","○○県",各種設定金額!$B$7))</f>
        <v/>
      </c>
      <c r="AM26" s="4"/>
      <c r="AN26" s="4"/>
      <c r="AO26" s="141" t="str">
        <f t="shared" si="25"/>
        <v/>
      </c>
      <c r="AP26" s="10"/>
      <c r="AQ26" s="129"/>
      <c r="AR26" s="142" t="s">
        <v>182</v>
      </c>
      <c r="AS26" s="131" t="str">
        <f t="shared" si="26"/>
        <v/>
      </c>
      <c r="AT26" s="132" t="str">
        <f t="shared" si="27"/>
        <v/>
      </c>
      <c r="AU26" s="132" t="str">
        <f t="shared" si="28"/>
        <v/>
      </c>
      <c r="AV26" s="132" t="str">
        <f t="shared" si="29"/>
        <v/>
      </c>
      <c r="AW26" s="132" t="str">
        <f t="shared" si="30"/>
        <v/>
      </c>
      <c r="AX26" s="143" t="str">
        <f t="shared" si="31"/>
        <v/>
      </c>
      <c r="AY26" s="144"/>
      <c r="AZ26" s="8" t="str">
        <f>IF(BA26="","",IF(各種設定金額!$B$7="","○○県",各種設定金額!$B$7))</f>
        <v/>
      </c>
      <c r="BA26" s="4"/>
      <c r="BB26" s="4"/>
      <c r="BC26" s="141" t="str">
        <f t="shared" si="32"/>
        <v/>
      </c>
      <c r="BD26" s="10"/>
      <c r="BE26" s="129"/>
      <c r="BF26" s="145" t="s">
        <v>63</v>
      </c>
      <c r="BG26" s="131" t="str">
        <f t="shared" si="33"/>
        <v/>
      </c>
      <c r="BH26" s="132" t="str">
        <f t="shared" si="34"/>
        <v/>
      </c>
      <c r="BI26" s="132" t="str">
        <f t="shared" si="35"/>
        <v/>
      </c>
      <c r="BJ26" s="132" t="str">
        <f t="shared" si="36"/>
        <v/>
      </c>
      <c r="BK26" s="132" t="str">
        <f t="shared" si="37"/>
        <v/>
      </c>
      <c r="BL26" s="132" t="str">
        <f t="shared" si="38"/>
        <v/>
      </c>
      <c r="BM26" s="146"/>
      <c r="BN26" s="8" t="str">
        <f>IF(BO26="","",IF(各種設定金額!$B$7="","○○県",各種設定金額!$B$7))</f>
        <v/>
      </c>
      <c r="BO26" s="4"/>
      <c r="BP26" s="4"/>
      <c r="BQ26" s="141" t="str">
        <f t="shared" si="39"/>
        <v/>
      </c>
      <c r="BR26" s="10"/>
      <c r="BS26" s="129"/>
      <c r="BT26" s="145" t="s">
        <v>63</v>
      </c>
      <c r="BU26" s="131" t="str">
        <f t="shared" si="40"/>
        <v/>
      </c>
      <c r="BV26" s="132" t="str">
        <f t="shared" si="41"/>
        <v/>
      </c>
      <c r="BW26" s="132" t="str">
        <f t="shared" si="42"/>
        <v/>
      </c>
      <c r="BX26" s="132" t="str">
        <f t="shared" si="43"/>
        <v/>
      </c>
      <c r="BY26" s="132" t="str">
        <f t="shared" si="44"/>
        <v/>
      </c>
      <c r="BZ26" s="132" t="str">
        <f t="shared" si="45"/>
        <v/>
      </c>
      <c r="CA26" s="146"/>
      <c r="CB26" s="10" t="str">
        <f t="shared" si="46"/>
        <v/>
      </c>
      <c r="CC26" s="7" t="str">
        <f t="shared" si="47"/>
        <v/>
      </c>
      <c r="CD26" s="147"/>
      <c r="CE26" s="147"/>
      <c r="CF26" s="4"/>
      <c r="CG26" s="4"/>
      <c r="CH26" s="148">
        <f t="shared" ca="1" si="48"/>
        <v>2026</v>
      </c>
      <c r="CI26" s="121" t="str">
        <f t="shared" ca="1" si="49"/>
        <v>令和</v>
      </c>
      <c r="CJ26" s="122" t="str">
        <f t="shared" ca="1" si="50"/>
        <v>R</v>
      </c>
      <c r="CK26" s="122" t="str">
        <f t="shared" ca="1" si="51"/>
        <v>8</v>
      </c>
      <c r="CL26" s="122">
        <f t="shared" ca="1" si="52"/>
        <v>10</v>
      </c>
      <c r="CM26" s="149">
        <f t="shared" ca="1" si="53"/>
        <v>24</v>
      </c>
      <c r="CN26" s="1"/>
      <c r="CO26" s="150">
        <f t="shared" ca="1" si="54"/>
        <v>46319</v>
      </c>
    </row>
    <row r="27" spans="1:93" ht="20.100000000000001" customHeight="1" x14ac:dyDescent="0.15">
      <c r="A27" s="7" t="str">
        <f>IF(B27="","",ROW()-ROW(会員表[#Headers]))</f>
        <v/>
      </c>
      <c r="B27" s="4" ph="1"/>
      <c r="C27" s="4" t="str" cm="1">
        <f t="array" ref="C27">_xlfn.LET(_xlpm.s,PHONETIC(B27),_xlpm.c,_xlfn.UNICODE(MID(_xlpm.s,_xlfn.SEQUENCE(LEN(_xlpm.s)),1)),IF(_xlpm.s="","",_xlfn.CONCAT(_xlfn.UNICHAR(_xlpm.c-96*(_xlpm.c&gt;=12449)*(_xlpm.c&lt;=12534)))))</f>
        <v/>
      </c>
      <c r="D27" s="4" t="str" cm="1">
        <f t="array" ref="D27">_xlfn.LET(_xlpm.s,PHONETIC(B27),_xlpm.c,_xlfn.UNICODE(MID(_xlpm.s,_xlfn.SEQUENCE(LEN(_xlpm.s)),1)),IF(_xlpm.s="","",_xlfn.CONCAT(_xlfn.UNICHAR(_xlpm.c+96*(_xlpm.c&gt;=12353)*(_xlpm.c&lt;=12438)))))</f>
        <v/>
      </c>
      <c r="E27" s="129" t="str">
        <f t="shared" ca="1" si="0"/>
        <v/>
      </c>
      <c r="F27" s="130" t="str">
        <f t="shared" si="1"/>
        <v/>
      </c>
      <c r="G27" s="130" t="str">
        <f t="shared" si="2"/>
        <v/>
      </c>
      <c r="H27" s="130" t="str">
        <f t="shared" si="3"/>
        <v/>
      </c>
      <c r="I27" s="131" t="str">
        <f t="shared" si="4"/>
        <v/>
      </c>
      <c r="J27" s="132" t="str">
        <f t="shared" si="5"/>
        <v/>
      </c>
      <c r="K27" s="121" t="str">
        <f t="shared" si="6"/>
        <v/>
      </c>
      <c r="L27" s="129" t="str">
        <f t="shared" si="7"/>
        <v/>
      </c>
      <c r="M27" s="7" t="str">
        <f t="shared" si="8"/>
        <v/>
      </c>
      <c r="N27" s="133"/>
      <c r="O27" s="8"/>
      <c r="P27" s="5" t="str">
        <f t="shared" si="9"/>
        <v/>
      </c>
      <c r="Q27" s="121" t="str">
        <f t="shared" si="10"/>
        <v/>
      </c>
      <c r="R27" s="121" t="str">
        <f t="shared" si="11"/>
        <v/>
      </c>
      <c r="S27" s="7" t="str">
        <f t="shared" si="12"/>
        <v/>
      </c>
      <c r="T27" s="5"/>
      <c r="U27" s="5" t="str">
        <f t="shared" si="13"/>
        <v/>
      </c>
      <c r="V27" s="121" t="str">
        <f t="shared" si="14"/>
        <v/>
      </c>
      <c r="W27" s="121" t="str">
        <f t="shared" si="15"/>
        <v/>
      </c>
      <c r="X27" s="7" t="str">
        <f t="shared" si="16"/>
        <v/>
      </c>
      <c r="Y27" s="136"/>
      <c r="Z27" s="5" t="str">
        <f t="shared" si="17"/>
        <v/>
      </c>
      <c r="AA27" s="137" t="s">
        <v>183</v>
      </c>
      <c r="AB27" s="7" t="str">
        <f t="shared" si="18"/>
        <v/>
      </c>
      <c r="AC27" s="9"/>
      <c r="AD27" s="4"/>
      <c r="AE27" s="138" t="str">
        <f t="shared" si="19"/>
        <v/>
      </c>
      <c r="AF27" s="139" t="str">
        <f t="shared" si="20"/>
        <v/>
      </c>
      <c r="AG27" s="139" t="str">
        <f t="shared" si="21"/>
        <v/>
      </c>
      <c r="AH27" s="139" t="str">
        <f t="shared" si="22"/>
        <v/>
      </c>
      <c r="AI27" s="139" t="str">
        <f t="shared" si="23"/>
        <v/>
      </c>
      <c r="AJ27" s="140" t="str">
        <f t="shared" si="24"/>
        <v/>
      </c>
      <c r="AK27" s="8"/>
      <c r="AL27" s="8" t="str">
        <f>IF(AM27="","",IF(各種設定金額!$B$7="","○○県",各種設定金額!$B$7))</f>
        <v/>
      </c>
      <c r="AM27" s="4"/>
      <c r="AN27" s="4"/>
      <c r="AO27" s="141" t="str">
        <f t="shared" si="25"/>
        <v/>
      </c>
      <c r="AP27" s="10"/>
      <c r="AQ27" s="129"/>
      <c r="AR27" s="142" t="s">
        <v>182</v>
      </c>
      <c r="AS27" s="131" t="str">
        <f t="shared" si="26"/>
        <v/>
      </c>
      <c r="AT27" s="132" t="str">
        <f t="shared" si="27"/>
        <v/>
      </c>
      <c r="AU27" s="132" t="str">
        <f t="shared" si="28"/>
        <v/>
      </c>
      <c r="AV27" s="132" t="str">
        <f t="shared" si="29"/>
        <v/>
      </c>
      <c r="AW27" s="132" t="str">
        <f t="shared" si="30"/>
        <v/>
      </c>
      <c r="AX27" s="143" t="str">
        <f t="shared" si="31"/>
        <v/>
      </c>
      <c r="AY27" s="144"/>
      <c r="AZ27" s="8" t="str">
        <f>IF(BA27="","",IF(各種設定金額!$B$7="","○○県",各種設定金額!$B$7))</f>
        <v/>
      </c>
      <c r="BA27" s="4"/>
      <c r="BB27" s="4"/>
      <c r="BC27" s="141" t="str">
        <f t="shared" si="32"/>
        <v/>
      </c>
      <c r="BD27" s="10"/>
      <c r="BE27" s="129"/>
      <c r="BF27" s="145" t="s">
        <v>63</v>
      </c>
      <c r="BG27" s="131" t="str">
        <f t="shared" si="33"/>
        <v/>
      </c>
      <c r="BH27" s="132" t="str">
        <f t="shared" si="34"/>
        <v/>
      </c>
      <c r="BI27" s="132" t="str">
        <f t="shared" si="35"/>
        <v/>
      </c>
      <c r="BJ27" s="132" t="str">
        <f t="shared" si="36"/>
        <v/>
      </c>
      <c r="BK27" s="132" t="str">
        <f t="shared" si="37"/>
        <v/>
      </c>
      <c r="BL27" s="132" t="str">
        <f t="shared" si="38"/>
        <v/>
      </c>
      <c r="BM27" s="146"/>
      <c r="BN27" s="8" t="str">
        <f>IF(BO27="","",IF(各種設定金額!$B$7="","○○県",各種設定金額!$B$7))</f>
        <v/>
      </c>
      <c r="BO27" s="4"/>
      <c r="BP27" s="4"/>
      <c r="BQ27" s="141" t="str">
        <f t="shared" si="39"/>
        <v/>
      </c>
      <c r="BR27" s="10"/>
      <c r="BS27" s="129"/>
      <c r="BT27" s="145" t="s">
        <v>63</v>
      </c>
      <c r="BU27" s="131" t="str">
        <f t="shared" si="40"/>
        <v/>
      </c>
      <c r="BV27" s="132" t="str">
        <f t="shared" si="41"/>
        <v/>
      </c>
      <c r="BW27" s="132" t="str">
        <f t="shared" si="42"/>
        <v/>
      </c>
      <c r="BX27" s="132" t="str">
        <f t="shared" si="43"/>
        <v/>
      </c>
      <c r="BY27" s="132" t="str">
        <f t="shared" si="44"/>
        <v/>
      </c>
      <c r="BZ27" s="132" t="str">
        <f t="shared" si="45"/>
        <v/>
      </c>
      <c r="CA27" s="146"/>
      <c r="CB27" s="10" t="str">
        <f t="shared" si="46"/>
        <v/>
      </c>
      <c r="CC27" s="7" t="str">
        <f t="shared" si="47"/>
        <v/>
      </c>
      <c r="CD27" s="147"/>
      <c r="CE27" s="147"/>
      <c r="CF27" s="4"/>
      <c r="CG27" s="4"/>
      <c r="CH27" s="148">
        <f t="shared" ca="1" si="48"/>
        <v>2026</v>
      </c>
      <c r="CI27" s="121" t="str">
        <f t="shared" ca="1" si="49"/>
        <v>令和</v>
      </c>
      <c r="CJ27" s="122" t="str">
        <f t="shared" ca="1" si="50"/>
        <v>R</v>
      </c>
      <c r="CK27" s="122" t="str">
        <f t="shared" ca="1" si="51"/>
        <v>8</v>
      </c>
      <c r="CL27" s="122">
        <f t="shared" ca="1" si="52"/>
        <v>10</v>
      </c>
      <c r="CM27" s="149">
        <f t="shared" ca="1" si="53"/>
        <v>24</v>
      </c>
      <c r="CN27" s="1"/>
      <c r="CO27" s="150">
        <f t="shared" ca="1" si="54"/>
        <v>46319</v>
      </c>
    </row>
    <row r="28" spans="1:93" ht="20.100000000000001" customHeight="1" x14ac:dyDescent="0.15">
      <c r="A28" s="7" t="str">
        <f>IF(B28="","",ROW()-ROW(会員表[#Headers]))</f>
        <v/>
      </c>
      <c r="B28" s="4" ph="1"/>
      <c r="C28" s="4" t="str" cm="1">
        <f t="array" ref="C28">_xlfn.LET(_xlpm.s,PHONETIC(B28),_xlpm.c,_xlfn.UNICODE(MID(_xlpm.s,_xlfn.SEQUENCE(LEN(_xlpm.s)),1)),IF(_xlpm.s="","",_xlfn.CONCAT(_xlfn.UNICHAR(_xlpm.c-96*(_xlpm.c&gt;=12449)*(_xlpm.c&lt;=12534)))))</f>
        <v/>
      </c>
      <c r="D28" s="4" t="str" cm="1">
        <f t="array" ref="D28">_xlfn.LET(_xlpm.s,PHONETIC(B28),_xlpm.c,_xlfn.UNICODE(MID(_xlpm.s,_xlfn.SEQUENCE(LEN(_xlpm.s)),1)),IF(_xlpm.s="","",_xlfn.CONCAT(_xlfn.UNICHAR(_xlpm.c+96*(_xlpm.c&gt;=12353)*(_xlpm.c&lt;=12438)))))</f>
        <v/>
      </c>
      <c r="E28" s="129" t="str">
        <f t="shared" ca="1" si="0"/>
        <v/>
      </c>
      <c r="F28" s="130" t="str">
        <f t="shared" si="1"/>
        <v/>
      </c>
      <c r="G28" s="130" t="str">
        <f t="shared" si="2"/>
        <v/>
      </c>
      <c r="H28" s="130" t="str">
        <f t="shared" si="3"/>
        <v/>
      </c>
      <c r="I28" s="131" t="str">
        <f t="shared" si="4"/>
        <v/>
      </c>
      <c r="J28" s="132" t="str">
        <f t="shared" si="5"/>
        <v/>
      </c>
      <c r="K28" s="121" t="str">
        <f t="shared" si="6"/>
        <v/>
      </c>
      <c r="L28" s="129" t="str">
        <f t="shared" si="7"/>
        <v/>
      </c>
      <c r="M28" s="7" t="str">
        <f t="shared" si="8"/>
        <v/>
      </c>
      <c r="N28" s="133"/>
      <c r="O28" s="8"/>
      <c r="P28" s="5" t="str">
        <f t="shared" si="9"/>
        <v/>
      </c>
      <c r="Q28" s="121" t="str">
        <f t="shared" si="10"/>
        <v/>
      </c>
      <c r="R28" s="121" t="str">
        <f t="shared" si="11"/>
        <v/>
      </c>
      <c r="S28" s="7" t="str">
        <f t="shared" si="12"/>
        <v/>
      </c>
      <c r="T28" s="5"/>
      <c r="U28" s="5" t="str">
        <f t="shared" si="13"/>
        <v/>
      </c>
      <c r="V28" s="121" t="str">
        <f t="shared" si="14"/>
        <v/>
      </c>
      <c r="W28" s="121" t="str">
        <f t="shared" si="15"/>
        <v/>
      </c>
      <c r="X28" s="7" t="str">
        <f t="shared" si="16"/>
        <v/>
      </c>
      <c r="Y28" s="136"/>
      <c r="Z28" s="5" t="str">
        <f t="shared" si="17"/>
        <v/>
      </c>
      <c r="AA28" s="137" t="s">
        <v>183</v>
      </c>
      <c r="AB28" s="7" t="str">
        <f t="shared" si="18"/>
        <v/>
      </c>
      <c r="AC28" s="157"/>
      <c r="AD28" s="4"/>
      <c r="AE28" s="138" t="str">
        <f t="shared" si="19"/>
        <v/>
      </c>
      <c r="AF28" s="139" t="str">
        <f t="shared" si="20"/>
        <v/>
      </c>
      <c r="AG28" s="139" t="str">
        <f t="shared" si="21"/>
        <v/>
      </c>
      <c r="AH28" s="139" t="str">
        <f t="shared" si="22"/>
        <v/>
      </c>
      <c r="AI28" s="139" t="str">
        <f t="shared" si="23"/>
        <v/>
      </c>
      <c r="AJ28" s="140" t="str">
        <f t="shared" si="24"/>
        <v/>
      </c>
      <c r="AK28" s="8"/>
      <c r="AL28" s="8" t="str">
        <f>IF(AM28="","",IF(各種設定金額!$B$7="","○○県",各種設定金額!$B$7))</f>
        <v/>
      </c>
      <c r="AM28" s="4"/>
      <c r="AN28" s="4"/>
      <c r="AO28" s="141" t="str">
        <f t="shared" si="25"/>
        <v/>
      </c>
      <c r="AP28" s="10"/>
      <c r="AQ28" s="129"/>
      <c r="AR28" s="142" t="s">
        <v>182</v>
      </c>
      <c r="AS28" s="131" t="str">
        <f t="shared" si="26"/>
        <v/>
      </c>
      <c r="AT28" s="132" t="str">
        <f t="shared" si="27"/>
        <v/>
      </c>
      <c r="AU28" s="132" t="str">
        <f t="shared" si="28"/>
        <v/>
      </c>
      <c r="AV28" s="132" t="str">
        <f t="shared" si="29"/>
        <v/>
      </c>
      <c r="AW28" s="132" t="str">
        <f t="shared" si="30"/>
        <v/>
      </c>
      <c r="AX28" s="143" t="str">
        <f t="shared" si="31"/>
        <v/>
      </c>
      <c r="AY28" s="144"/>
      <c r="AZ28" s="8" t="str">
        <f>IF(BA28="","",IF(各種設定金額!$B$7="","○○県",各種設定金額!$B$7))</f>
        <v/>
      </c>
      <c r="BA28" s="4"/>
      <c r="BB28" s="4"/>
      <c r="BC28" s="141" t="str">
        <f t="shared" si="32"/>
        <v/>
      </c>
      <c r="BD28" s="10"/>
      <c r="BE28" s="129"/>
      <c r="BF28" s="145" t="s">
        <v>63</v>
      </c>
      <c r="BG28" s="131" t="str">
        <f t="shared" si="33"/>
        <v/>
      </c>
      <c r="BH28" s="132" t="str">
        <f t="shared" si="34"/>
        <v/>
      </c>
      <c r="BI28" s="132" t="str">
        <f t="shared" si="35"/>
        <v/>
      </c>
      <c r="BJ28" s="132" t="str">
        <f t="shared" si="36"/>
        <v/>
      </c>
      <c r="BK28" s="132" t="str">
        <f t="shared" si="37"/>
        <v/>
      </c>
      <c r="BL28" s="132" t="str">
        <f t="shared" si="38"/>
        <v/>
      </c>
      <c r="BM28" s="146"/>
      <c r="BN28" s="8" t="str">
        <f>IF(BO28="","",IF(各種設定金額!$B$7="","○○県",各種設定金額!$B$7))</f>
        <v/>
      </c>
      <c r="BO28" s="4"/>
      <c r="BP28" s="4"/>
      <c r="BQ28" s="141" t="str">
        <f t="shared" si="39"/>
        <v/>
      </c>
      <c r="BR28" s="10"/>
      <c r="BS28" s="129"/>
      <c r="BT28" s="145" t="s">
        <v>63</v>
      </c>
      <c r="BU28" s="131" t="str">
        <f t="shared" si="40"/>
        <v/>
      </c>
      <c r="BV28" s="132" t="str">
        <f t="shared" si="41"/>
        <v/>
      </c>
      <c r="BW28" s="132" t="str">
        <f t="shared" si="42"/>
        <v/>
      </c>
      <c r="BX28" s="132" t="str">
        <f t="shared" si="43"/>
        <v/>
      </c>
      <c r="BY28" s="132" t="str">
        <f t="shared" si="44"/>
        <v/>
      </c>
      <c r="BZ28" s="132" t="str">
        <f t="shared" si="45"/>
        <v/>
      </c>
      <c r="CA28" s="146"/>
      <c r="CB28" s="10" t="str">
        <f t="shared" si="46"/>
        <v/>
      </c>
      <c r="CC28" s="7" t="str">
        <f t="shared" si="47"/>
        <v/>
      </c>
      <c r="CD28" s="147"/>
      <c r="CE28" s="147"/>
      <c r="CF28" s="4"/>
      <c r="CG28" s="4"/>
      <c r="CH28" s="148">
        <f t="shared" ca="1" si="48"/>
        <v>2026</v>
      </c>
      <c r="CI28" s="121" t="str">
        <f t="shared" ca="1" si="49"/>
        <v>令和</v>
      </c>
      <c r="CJ28" s="122" t="str">
        <f t="shared" ca="1" si="50"/>
        <v>R</v>
      </c>
      <c r="CK28" s="122" t="str">
        <f t="shared" ca="1" si="51"/>
        <v>8</v>
      </c>
      <c r="CL28" s="122">
        <f t="shared" ca="1" si="52"/>
        <v>10</v>
      </c>
      <c r="CM28" s="149">
        <f t="shared" ca="1" si="53"/>
        <v>24</v>
      </c>
      <c r="CN28" s="1"/>
      <c r="CO28" s="150">
        <f t="shared" ca="1" si="54"/>
        <v>46319</v>
      </c>
    </row>
    <row r="29" spans="1:93" ht="20.100000000000001" customHeight="1" x14ac:dyDescent="0.15">
      <c r="A29" s="7" t="str">
        <f>IF(B29="","",ROW()-ROW(会員表[#Headers]))</f>
        <v/>
      </c>
      <c r="B29" s="4" ph="1"/>
      <c r="C29" s="4" t="str" cm="1">
        <f t="array" ref="C29">_xlfn.LET(_xlpm.s,PHONETIC(B29),_xlpm.c,_xlfn.UNICODE(MID(_xlpm.s,_xlfn.SEQUENCE(LEN(_xlpm.s)),1)),IF(_xlpm.s="","",_xlfn.CONCAT(_xlfn.UNICHAR(_xlpm.c-96*(_xlpm.c&gt;=12449)*(_xlpm.c&lt;=12534)))))</f>
        <v/>
      </c>
      <c r="D29" s="4" t="str" cm="1">
        <f t="array" ref="D29">_xlfn.LET(_xlpm.s,PHONETIC(B29),_xlpm.c,_xlfn.UNICODE(MID(_xlpm.s,_xlfn.SEQUENCE(LEN(_xlpm.s)),1)),IF(_xlpm.s="","",_xlfn.CONCAT(_xlfn.UNICHAR(_xlpm.c+96*(_xlpm.c&gt;=12353)*(_xlpm.c&lt;=12438)))))</f>
        <v/>
      </c>
      <c r="E29" s="129" t="str">
        <f t="shared" ca="1" si="0"/>
        <v/>
      </c>
      <c r="F29" s="130" t="str">
        <f t="shared" si="1"/>
        <v/>
      </c>
      <c r="G29" s="130" t="str">
        <f t="shared" si="2"/>
        <v/>
      </c>
      <c r="H29" s="130" t="str">
        <f t="shared" si="3"/>
        <v/>
      </c>
      <c r="I29" s="131" t="str">
        <f t="shared" si="4"/>
        <v/>
      </c>
      <c r="J29" s="132" t="str">
        <f t="shared" si="5"/>
        <v/>
      </c>
      <c r="K29" s="121" t="str">
        <f t="shared" si="6"/>
        <v/>
      </c>
      <c r="L29" s="129" t="str">
        <f t="shared" si="7"/>
        <v/>
      </c>
      <c r="M29" s="7" t="str">
        <f t="shared" si="8"/>
        <v/>
      </c>
      <c r="N29" s="133"/>
      <c r="O29" s="8"/>
      <c r="P29" s="5" t="str">
        <f t="shared" si="9"/>
        <v/>
      </c>
      <c r="Q29" s="121" t="str">
        <f t="shared" si="10"/>
        <v/>
      </c>
      <c r="R29" s="121" t="str">
        <f t="shared" si="11"/>
        <v/>
      </c>
      <c r="S29" s="7" t="str">
        <f t="shared" si="12"/>
        <v/>
      </c>
      <c r="T29" s="5"/>
      <c r="U29" s="5" t="str">
        <f t="shared" si="13"/>
        <v/>
      </c>
      <c r="V29" s="121" t="str">
        <f t="shared" si="14"/>
        <v/>
      </c>
      <c r="W29" s="121" t="str">
        <f t="shared" si="15"/>
        <v/>
      </c>
      <c r="X29" s="7" t="str">
        <f t="shared" si="16"/>
        <v/>
      </c>
      <c r="Y29" s="4"/>
      <c r="Z29" s="5" t="str">
        <f t="shared" si="17"/>
        <v/>
      </c>
      <c r="AA29" s="137" t="s">
        <v>183</v>
      </c>
      <c r="AB29" s="7" t="str">
        <f t="shared" si="18"/>
        <v/>
      </c>
      <c r="AC29" s="9"/>
      <c r="AD29" s="4"/>
      <c r="AE29" s="138" t="str">
        <f t="shared" si="19"/>
        <v/>
      </c>
      <c r="AF29" s="139" t="str">
        <f t="shared" si="20"/>
        <v/>
      </c>
      <c r="AG29" s="139" t="str">
        <f t="shared" si="21"/>
        <v/>
      </c>
      <c r="AH29" s="139" t="str">
        <f t="shared" si="22"/>
        <v/>
      </c>
      <c r="AI29" s="139" t="str">
        <f t="shared" si="23"/>
        <v/>
      </c>
      <c r="AJ29" s="140" t="str">
        <f t="shared" si="24"/>
        <v/>
      </c>
      <c r="AK29" s="8"/>
      <c r="AL29" s="8" t="str">
        <f>IF(AM29="","",IF(各種設定金額!$B$7="","○○県",各種設定金額!$B$7))</f>
        <v/>
      </c>
      <c r="AM29" s="4"/>
      <c r="AN29" s="4"/>
      <c r="AO29" s="141" t="str">
        <f t="shared" si="25"/>
        <v/>
      </c>
      <c r="AP29" s="10"/>
      <c r="AQ29" s="129"/>
      <c r="AR29" s="142" t="s">
        <v>182</v>
      </c>
      <c r="AS29" s="131" t="str">
        <f t="shared" si="26"/>
        <v/>
      </c>
      <c r="AT29" s="132" t="str">
        <f t="shared" si="27"/>
        <v/>
      </c>
      <c r="AU29" s="132" t="str">
        <f t="shared" si="28"/>
        <v/>
      </c>
      <c r="AV29" s="132" t="str">
        <f t="shared" si="29"/>
        <v/>
      </c>
      <c r="AW29" s="132" t="str">
        <f t="shared" si="30"/>
        <v/>
      </c>
      <c r="AX29" s="143" t="str">
        <f t="shared" si="31"/>
        <v/>
      </c>
      <c r="AY29" s="144"/>
      <c r="AZ29" s="8" t="str">
        <f>IF(BA29="","",IF(各種設定金額!$B$7="","○○県",各種設定金額!$B$7))</f>
        <v/>
      </c>
      <c r="BA29" s="4"/>
      <c r="BB29" s="4"/>
      <c r="BC29" s="141" t="str">
        <f t="shared" si="32"/>
        <v/>
      </c>
      <c r="BD29" s="10"/>
      <c r="BE29" s="129"/>
      <c r="BF29" s="145" t="s">
        <v>63</v>
      </c>
      <c r="BG29" s="131" t="str">
        <f t="shared" si="33"/>
        <v/>
      </c>
      <c r="BH29" s="132" t="str">
        <f t="shared" si="34"/>
        <v/>
      </c>
      <c r="BI29" s="132" t="str">
        <f t="shared" si="35"/>
        <v/>
      </c>
      <c r="BJ29" s="132" t="str">
        <f t="shared" si="36"/>
        <v/>
      </c>
      <c r="BK29" s="132" t="str">
        <f t="shared" si="37"/>
        <v/>
      </c>
      <c r="BL29" s="132" t="str">
        <f t="shared" si="38"/>
        <v/>
      </c>
      <c r="BM29" s="146"/>
      <c r="BN29" s="8" t="str">
        <f>IF(BO29="","",IF(各種設定金額!$B$7="","○○県",各種設定金額!$B$7))</f>
        <v/>
      </c>
      <c r="BO29" s="4"/>
      <c r="BP29" s="4"/>
      <c r="BQ29" s="141" t="str">
        <f t="shared" si="39"/>
        <v/>
      </c>
      <c r="BR29" s="10"/>
      <c r="BS29" s="129"/>
      <c r="BT29" s="145" t="s">
        <v>63</v>
      </c>
      <c r="BU29" s="131" t="str">
        <f t="shared" si="40"/>
        <v/>
      </c>
      <c r="BV29" s="132" t="str">
        <f t="shared" si="41"/>
        <v/>
      </c>
      <c r="BW29" s="132" t="str">
        <f t="shared" si="42"/>
        <v/>
      </c>
      <c r="BX29" s="132" t="str">
        <f t="shared" si="43"/>
        <v/>
      </c>
      <c r="BY29" s="132" t="str">
        <f t="shared" si="44"/>
        <v/>
      </c>
      <c r="BZ29" s="132" t="str">
        <f t="shared" si="45"/>
        <v/>
      </c>
      <c r="CA29" s="146"/>
      <c r="CB29" s="10" t="str">
        <f t="shared" si="46"/>
        <v/>
      </c>
      <c r="CC29" s="7" t="str">
        <f t="shared" si="47"/>
        <v/>
      </c>
      <c r="CD29" s="147"/>
      <c r="CE29" s="147"/>
      <c r="CF29" s="4"/>
      <c r="CG29" s="4"/>
      <c r="CH29" s="148">
        <f t="shared" ca="1" si="48"/>
        <v>2026</v>
      </c>
      <c r="CI29" s="121" t="str">
        <f t="shared" ca="1" si="49"/>
        <v>令和</v>
      </c>
      <c r="CJ29" s="122" t="str">
        <f t="shared" ca="1" si="50"/>
        <v>R</v>
      </c>
      <c r="CK29" s="122" t="str">
        <f t="shared" ca="1" si="51"/>
        <v>8</v>
      </c>
      <c r="CL29" s="122">
        <f t="shared" ca="1" si="52"/>
        <v>10</v>
      </c>
      <c r="CM29" s="149">
        <f t="shared" ca="1" si="53"/>
        <v>24</v>
      </c>
      <c r="CN29" s="1"/>
      <c r="CO29" s="150">
        <f t="shared" ca="1" si="54"/>
        <v>46319</v>
      </c>
    </row>
    <row r="30" spans="1:93" ht="20.100000000000001" customHeight="1" x14ac:dyDescent="0.15">
      <c r="A30" s="7" t="str">
        <f>IF(B30="","",ROW()-ROW(会員表[#Headers]))</f>
        <v/>
      </c>
      <c r="B30" s="4" ph="1"/>
      <c r="C30" s="4" t="str" cm="1">
        <f t="array" ref="C30">_xlfn.LET(_xlpm.s,PHONETIC(B30),_xlpm.c,_xlfn.UNICODE(MID(_xlpm.s,_xlfn.SEQUENCE(LEN(_xlpm.s)),1)),IF(_xlpm.s="","",_xlfn.CONCAT(_xlfn.UNICHAR(_xlpm.c-96*(_xlpm.c&gt;=12449)*(_xlpm.c&lt;=12534)))))</f>
        <v/>
      </c>
      <c r="D30" s="4" t="str" cm="1">
        <f t="array" ref="D30">_xlfn.LET(_xlpm.s,PHONETIC(B30),_xlpm.c,_xlfn.UNICODE(MID(_xlpm.s,_xlfn.SEQUENCE(LEN(_xlpm.s)),1)),IF(_xlpm.s="","",_xlfn.CONCAT(_xlfn.UNICHAR(_xlpm.c+96*(_xlpm.c&gt;=12353)*(_xlpm.c&lt;=12438)))))</f>
        <v/>
      </c>
      <c r="E30" s="129" t="str">
        <f t="shared" ca="1" si="0"/>
        <v/>
      </c>
      <c r="F30" s="130" t="str">
        <f t="shared" si="1"/>
        <v/>
      </c>
      <c r="G30" s="130" t="str">
        <f t="shared" si="2"/>
        <v/>
      </c>
      <c r="H30" s="130" t="str">
        <f t="shared" si="3"/>
        <v/>
      </c>
      <c r="I30" s="131" t="str">
        <f t="shared" si="4"/>
        <v/>
      </c>
      <c r="J30" s="132" t="str">
        <f t="shared" si="5"/>
        <v/>
      </c>
      <c r="K30" s="121" t="str">
        <f t="shared" si="6"/>
        <v/>
      </c>
      <c r="L30" s="129" t="str">
        <f t="shared" si="7"/>
        <v/>
      </c>
      <c r="M30" s="7" t="str">
        <f t="shared" si="8"/>
        <v/>
      </c>
      <c r="N30" s="133"/>
      <c r="O30" s="8"/>
      <c r="P30" s="5" t="str">
        <f t="shared" si="9"/>
        <v/>
      </c>
      <c r="Q30" s="121" t="str">
        <f t="shared" si="10"/>
        <v/>
      </c>
      <c r="R30" s="121" t="str">
        <f t="shared" si="11"/>
        <v/>
      </c>
      <c r="S30" s="7" t="str">
        <f t="shared" si="12"/>
        <v/>
      </c>
      <c r="T30" s="5"/>
      <c r="U30" s="5" t="str">
        <f t="shared" si="13"/>
        <v/>
      </c>
      <c r="V30" s="121" t="str">
        <f t="shared" si="14"/>
        <v/>
      </c>
      <c r="W30" s="121" t="str">
        <f t="shared" si="15"/>
        <v/>
      </c>
      <c r="X30" s="7" t="str">
        <f t="shared" si="16"/>
        <v/>
      </c>
      <c r="Y30" s="136"/>
      <c r="Z30" s="5" t="str">
        <f t="shared" si="17"/>
        <v/>
      </c>
      <c r="AA30" s="137" t="s">
        <v>183</v>
      </c>
      <c r="AB30" s="7" t="str">
        <f t="shared" si="18"/>
        <v/>
      </c>
      <c r="AC30" s="9"/>
      <c r="AD30" s="4"/>
      <c r="AE30" s="138" t="str">
        <f t="shared" si="19"/>
        <v/>
      </c>
      <c r="AF30" s="139" t="str">
        <f t="shared" si="20"/>
        <v/>
      </c>
      <c r="AG30" s="139" t="str">
        <f t="shared" si="21"/>
        <v/>
      </c>
      <c r="AH30" s="139" t="str">
        <f t="shared" si="22"/>
        <v/>
      </c>
      <c r="AI30" s="139" t="str">
        <f t="shared" si="23"/>
        <v/>
      </c>
      <c r="AJ30" s="140" t="str">
        <f t="shared" si="24"/>
        <v/>
      </c>
      <c r="AK30" s="8"/>
      <c r="AL30" s="8" t="str">
        <f>IF(AM30="","",IF(各種設定金額!$B$7="","○○県",各種設定金額!$B$7))</f>
        <v/>
      </c>
      <c r="AM30" s="4"/>
      <c r="AN30" s="4"/>
      <c r="AO30" s="141" t="str">
        <f t="shared" si="25"/>
        <v/>
      </c>
      <c r="AP30" s="10"/>
      <c r="AQ30" s="129"/>
      <c r="AR30" s="142" t="s">
        <v>182</v>
      </c>
      <c r="AS30" s="131" t="str">
        <f t="shared" si="26"/>
        <v/>
      </c>
      <c r="AT30" s="132" t="str">
        <f t="shared" si="27"/>
        <v/>
      </c>
      <c r="AU30" s="132" t="str">
        <f t="shared" si="28"/>
        <v/>
      </c>
      <c r="AV30" s="132" t="str">
        <f t="shared" si="29"/>
        <v/>
      </c>
      <c r="AW30" s="132" t="str">
        <f t="shared" si="30"/>
        <v/>
      </c>
      <c r="AX30" s="143" t="str">
        <f t="shared" si="31"/>
        <v/>
      </c>
      <c r="AY30" s="144"/>
      <c r="AZ30" s="8" t="str">
        <f>IF(BA30="","",IF(各種設定金額!$B$7="","○○県",各種設定金額!$B$7))</f>
        <v/>
      </c>
      <c r="BA30" s="4"/>
      <c r="BB30" s="4"/>
      <c r="BC30" s="141" t="str">
        <f t="shared" si="32"/>
        <v/>
      </c>
      <c r="BD30" s="10"/>
      <c r="BE30" s="129"/>
      <c r="BF30" s="145" t="s">
        <v>63</v>
      </c>
      <c r="BG30" s="131" t="str">
        <f t="shared" si="33"/>
        <v/>
      </c>
      <c r="BH30" s="132" t="str">
        <f t="shared" si="34"/>
        <v/>
      </c>
      <c r="BI30" s="132" t="str">
        <f t="shared" si="35"/>
        <v/>
      </c>
      <c r="BJ30" s="132" t="str">
        <f t="shared" si="36"/>
        <v/>
      </c>
      <c r="BK30" s="132" t="str">
        <f t="shared" si="37"/>
        <v/>
      </c>
      <c r="BL30" s="132" t="str">
        <f t="shared" si="38"/>
        <v/>
      </c>
      <c r="BM30" s="146"/>
      <c r="BN30" s="8" t="str">
        <f>IF(BO30="","",IF(各種設定金額!$B$7="","○○県",各種設定金額!$B$7))</f>
        <v/>
      </c>
      <c r="BO30" s="4"/>
      <c r="BP30" s="4"/>
      <c r="BQ30" s="141" t="str">
        <f t="shared" si="39"/>
        <v/>
      </c>
      <c r="BR30" s="10"/>
      <c r="BS30" s="129"/>
      <c r="BT30" s="145" t="s">
        <v>63</v>
      </c>
      <c r="BU30" s="131" t="str">
        <f t="shared" si="40"/>
        <v/>
      </c>
      <c r="BV30" s="132" t="str">
        <f t="shared" si="41"/>
        <v/>
      </c>
      <c r="BW30" s="132" t="str">
        <f t="shared" si="42"/>
        <v/>
      </c>
      <c r="BX30" s="132" t="str">
        <f t="shared" si="43"/>
        <v/>
      </c>
      <c r="BY30" s="132" t="str">
        <f t="shared" si="44"/>
        <v/>
      </c>
      <c r="BZ30" s="132" t="str">
        <f t="shared" si="45"/>
        <v/>
      </c>
      <c r="CA30" s="146"/>
      <c r="CB30" s="10" t="str">
        <f t="shared" si="46"/>
        <v/>
      </c>
      <c r="CC30" s="7" t="str">
        <f t="shared" si="47"/>
        <v/>
      </c>
      <c r="CD30" s="147"/>
      <c r="CE30" s="147"/>
      <c r="CF30" s="4"/>
      <c r="CG30" s="4"/>
      <c r="CH30" s="148">
        <f t="shared" ca="1" si="48"/>
        <v>2026</v>
      </c>
      <c r="CI30" s="121" t="str">
        <f t="shared" ca="1" si="49"/>
        <v>令和</v>
      </c>
      <c r="CJ30" s="122" t="str">
        <f t="shared" ca="1" si="50"/>
        <v>R</v>
      </c>
      <c r="CK30" s="122" t="str">
        <f t="shared" ca="1" si="51"/>
        <v>8</v>
      </c>
      <c r="CL30" s="122">
        <f t="shared" ca="1" si="52"/>
        <v>10</v>
      </c>
      <c r="CM30" s="149">
        <f t="shared" ca="1" si="53"/>
        <v>24</v>
      </c>
      <c r="CN30" s="1"/>
      <c r="CO30" s="150">
        <f t="shared" ca="1" si="54"/>
        <v>46319</v>
      </c>
    </row>
    <row r="31" spans="1:93" ht="20.100000000000001" customHeight="1" x14ac:dyDescent="0.15">
      <c r="A31" s="7" t="str">
        <f>IF(B31="","",ROW()-ROW(会員表[#Headers]))</f>
        <v/>
      </c>
      <c r="B31" s="4" ph="1"/>
      <c r="C31" s="4" t="str" cm="1">
        <f t="array" ref="C31">_xlfn.LET(_xlpm.s,PHONETIC(B31),_xlpm.c,_xlfn.UNICODE(MID(_xlpm.s,_xlfn.SEQUENCE(LEN(_xlpm.s)),1)),IF(_xlpm.s="","",_xlfn.CONCAT(_xlfn.UNICHAR(_xlpm.c-96*(_xlpm.c&gt;=12449)*(_xlpm.c&lt;=12534)))))</f>
        <v/>
      </c>
      <c r="D31" s="4" t="str" cm="1">
        <f t="array" ref="D31">_xlfn.LET(_xlpm.s,PHONETIC(B31),_xlpm.c,_xlfn.UNICODE(MID(_xlpm.s,_xlfn.SEQUENCE(LEN(_xlpm.s)),1)),IF(_xlpm.s="","",_xlfn.CONCAT(_xlfn.UNICHAR(_xlpm.c+96*(_xlpm.c&gt;=12353)*(_xlpm.c&lt;=12438)))))</f>
        <v/>
      </c>
      <c r="E31" s="129" t="str">
        <f t="shared" ca="1" si="0"/>
        <v/>
      </c>
      <c r="F31" s="130" t="str">
        <f t="shared" si="1"/>
        <v/>
      </c>
      <c r="G31" s="130" t="str">
        <f t="shared" si="2"/>
        <v/>
      </c>
      <c r="H31" s="130" t="str">
        <f t="shared" si="3"/>
        <v/>
      </c>
      <c r="I31" s="131" t="str">
        <f t="shared" si="4"/>
        <v/>
      </c>
      <c r="J31" s="132" t="str">
        <f t="shared" si="5"/>
        <v/>
      </c>
      <c r="K31" s="121" t="str">
        <f t="shared" si="6"/>
        <v/>
      </c>
      <c r="L31" s="129" t="str">
        <f t="shared" si="7"/>
        <v/>
      </c>
      <c r="M31" s="7" t="str">
        <f t="shared" si="8"/>
        <v/>
      </c>
      <c r="N31" s="133"/>
      <c r="O31" s="8"/>
      <c r="P31" s="5" t="str">
        <f t="shared" si="9"/>
        <v/>
      </c>
      <c r="Q31" s="121" t="str">
        <f t="shared" si="10"/>
        <v/>
      </c>
      <c r="R31" s="121" t="str">
        <f t="shared" si="11"/>
        <v/>
      </c>
      <c r="S31" s="7" t="str">
        <f t="shared" si="12"/>
        <v/>
      </c>
      <c r="T31" s="4"/>
      <c r="U31" s="5" t="str">
        <f t="shared" si="13"/>
        <v/>
      </c>
      <c r="V31" s="121" t="str">
        <f t="shared" si="14"/>
        <v/>
      </c>
      <c r="W31" s="121" t="str">
        <f t="shared" si="15"/>
        <v/>
      </c>
      <c r="X31" s="7" t="str">
        <f t="shared" si="16"/>
        <v/>
      </c>
      <c r="Y31" s="136"/>
      <c r="Z31" s="5" t="str">
        <f t="shared" si="17"/>
        <v/>
      </c>
      <c r="AA31" s="137" t="s">
        <v>183</v>
      </c>
      <c r="AB31" s="7" t="str">
        <f t="shared" si="18"/>
        <v/>
      </c>
      <c r="AC31" s="157"/>
      <c r="AD31" s="4"/>
      <c r="AE31" s="138" t="str">
        <f t="shared" si="19"/>
        <v/>
      </c>
      <c r="AF31" s="139" t="str">
        <f t="shared" si="20"/>
        <v/>
      </c>
      <c r="AG31" s="139" t="str">
        <f t="shared" si="21"/>
        <v/>
      </c>
      <c r="AH31" s="139" t="str">
        <f t="shared" si="22"/>
        <v/>
      </c>
      <c r="AI31" s="139" t="str">
        <f t="shared" si="23"/>
        <v/>
      </c>
      <c r="AJ31" s="140" t="str">
        <f t="shared" si="24"/>
        <v/>
      </c>
      <c r="AK31" s="8"/>
      <c r="AL31" s="8" t="str">
        <f>IF(AM31="","",IF(各種設定金額!$B$7="","○○県",各種設定金額!$B$7))</f>
        <v/>
      </c>
      <c r="AM31" s="4"/>
      <c r="AN31" s="4"/>
      <c r="AO31" s="141" t="str">
        <f t="shared" si="25"/>
        <v/>
      </c>
      <c r="AP31" s="10"/>
      <c r="AQ31" s="129"/>
      <c r="AR31" s="142" t="s">
        <v>182</v>
      </c>
      <c r="AS31" s="131" t="str">
        <f t="shared" si="26"/>
        <v/>
      </c>
      <c r="AT31" s="132" t="str">
        <f t="shared" si="27"/>
        <v/>
      </c>
      <c r="AU31" s="132" t="str">
        <f t="shared" si="28"/>
        <v/>
      </c>
      <c r="AV31" s="132" t="str">
        <f t="shared" si="29"/>
        <v/>
      </c>
      <c r="AW31" s="132" t="str">
        <f t="shared" si="30"/>
        <v/>
      </c>
      <c r="AX31" s="143" t="str">
        <f t="shared" si="31"/>
        <v/>
      </c>
      <c r="AY31" s="144"/>
      <c r="AZ31" s="8" t="str">
        <f>IF(BA31="","",IF(各種設定金額!$B$7="","○○県",各種設定金額!$B$7))</f>
        <v/>
      </c>
      <c r="BA31" s="4"/>
      <c r="BB31" s="4"/>
      <c r="BC31" s="141" t="str">
        <f t="shared" si="32"/>
        <v/>
      </c>
      <c r="BD31" s="10"/>
      <c r="BE31" s="129"/>
      <c r="BF31" s="145" t="s">
        <v>63</v>
      </c>
      <c r="BG31" s="131" t="str">
        <f t="shared" si="33"/>
        <v/>
      </c>
      <c r="BH31" s="132" t="str">
        <f t="shared" si="34"/>
        <v/>
      </c>
      <c r="BI31" s="132" t="str">
        <f t="shared" si="35"/>
        <v/>
      </c>
      <c r="BJ31" s="132" t="str">
        <f t="shared" si="36"/>
        <v/>
      </c>
      <c r="BK31" s="132" t="str">
        <f t="shared" si="37"/>
        <v/>
      </c>
      <c r="BL31" s="132" t="str">
        <f t="shared" si="38"/>
        <v/>
      </c>
      <c r="BM31" s="146"/>
      <c r="BN31" s="8" t="str">
        <f>IF(BO31="","",IF(各種設定金額!$B$7="","○○県",各種設定金額!$B$7))</f>
        <v/>
      </c>
      <c r="BO31" s="4"/>
      <c r="BP31" s="4"/>
      <c r="BQ31" s="141" t="str">
        <f t="shared" si="39"/>
        <v/>
      </c>
      <c r="BR31" s="10"/>
      <c r="BS31" s="129"/>
      <c r="BT31" s="145" t="s">
        <v>63</v>
      </c>
      <c r="BU31" s="131" t="str">
        <f t="shared" si="40"/>
        <v/>
      </c>
      <c r="BV31" s="132" t="str">
        <f t="shared" si="41"/>
        <v/>
      </c>
      <c r="BW31" s="132" t="str">
        <f t="shared" si="42"/>
        <v/>
      </c>
      <c r="BX31" s="132" t="str">
        <f t="shared" si="43"/>
        <v/>
      </c>
      <c r="BY31" s="132" t="str">
        <f t="shared" si="44"/>
        <v/>
      </c>
      <c r="BZ31" s="132" t="str">
        <f t="shared" si="45"/>
        <v/>
      </c>
      <c r="CA31" s="146"/>
      <c r="CB31" s="10" t="str">
        <f t="shared" si="46"/>
        <v/>
      </c>
      <c r="CC31" s="7" t="str">
        <f t="shared" si="47"/>
        <v/>
      </c>
      <c r="CD31" s="147"/>
      <c r="CE31" s="147"/>
      <c r="CF31" s="4"/>
      <c r="CG31" s="4"/>
      <c r="CH31" s="148">
        <f t="shared" ca="1" si="48"/>
        <v>2026</v>
      </c>
      <c r="CI31" s="121" t="str">
        <f t="shared" ca="1" si="49"/>
        <v>令和</v>
      </c>
      <c r="CJ31" s="122" t="str">
        <f t="shared" ca="1" si="50"/>
        <v>R</v>
      </c>
      <c r="CK31" s="122" t="str">
        <f t="shared" ca="1" si="51"/>
        <v>8</v>
      </c>
      <c r="CL31" s="122">
        <f t="shared" ca="1" si="52"/>
        <v>10</v>
      </c>
      <c r="CM31" s="149">
        <f t="shared" ca="1" si="53"/>
        <v>24</v>
      </c>
      <c r="CN31" s="1"/>
      <c r="CO31" s="150">
        <f t="shared" ca="1" si="54"/>
        <v>46319</v>
      </c>
    </row>
    <row r="32" spans="1:93" ht="20.100000000000001" customHeight="1" x14ac:dyDescent="0.15">
      <c r="A32" s="7" t="str">
        <f>IF(B32="","",ROW()-ROW(会員表[#Headers]))</f>
        <v/>
      </c>
      <c r="B32" s="4" ph="1"/>
      <c r="C32" s="4" t="str" cm="1">
        <f t="array" ref="C32">_xlfn.LET(_xlpm.s,PHONETIC(B32),_xlpm.c,_xlfn.UNICODE(MID(_xlpm.s,_xlfn.SEQUENCE(LEN(_xlpm.s)),1)),IF(_xlpm.s="","",_xlfn.CONCAT(_xlfn.UNICHAR(_xlpm.c-96*(_xlpm.c&gt;=12449)*(_xlpm.c&lt;=12534)))))</f>
        <v/>
      </c>
      <c r="D32" s="4" t="str" cm="1">
        <f t="array" ref="D32">_xlfn.LET(_xlpm.s,PHONETIC(B32),_xlpm.c,_xlfn.UNICODE(MID(_xlpm.s,_xlfn.SEQUENCE(LEN(_xlpm.s)),1)),IF(_xlpm.s="","",_xlfn.CONCAT(_xlfn.UNICHAR(_xlpm.c+96*(_xlpm.c&gt;=12353)*(_xlpm.c&lt;=12438)))))</f>
        <v/>
      </c>
      <c r="E32" s="129" t="str">
        <f t="shared" ca="1" si="0"/>
        <v/>
      </c>
      <c r="F32" s="130" t="str">
        <f t="shared" si="1"/>
        <v/>
      </c>
      <c r="G32" s="130" t="str">
        <f t="shared" si="2"/>
        <v/>
      </c>
      <c r="H32" s="130" t="str">
        <f t="shared" si="3"/>
        <v/>
      </c>
      <c r="I32" s="131" t="str">
        <f t="shared" si="4"/>
        <v/>
      </c>
      <c r="J32" s="132" t="str">
        <f t="shared" si="5"/>
        <v/>
      </c>
      <c r="K32" s="121" t="str">
        <f t="shared" si="6"/>
        <v/>
      </c>
      <c r="L32" s="129" t="str">
        <f t="shared" si="7"/>
        <v/>
      </c>
      <c r="M32" s="7" t="str">
        <f t="shared" si="8"/>
        <v/>
      </c>
      <c r="N32" s="133"/>
      <c r="O32" s="8"/>
      <c r="P32" s="5" t="str">
        <f t="shared" si="9"/>
        <v/>
      </c>
      <c r="Q32" s="121" t="str">
        <f t="shared" si="10"/>
        <v/>
      </c>
      <c r="R32" s="121" t="str">
        <f t="shared" si="11"/>
        <v/>
      </c>
      <c r="S32" s="7" t="str">
        <f t="shared" si="12"/>
        <v/>
      </c>
      <c r="T32" s="4"/>
      <c r="U32" s="5" t="str">
        <f t="shared" si="13"/>
        <v/>
      </c>
      <c r="V32" s="121" t="str">
        <f t="shared" si="14"/>
        <v/>
      </c>
      <c r="W32" s="121" t="str">
        <f t="shared" si="15"/>
        <v/>
      </c>
      <c r="X32" s="7" t="str">
        <f t="shared" si="16"/>
        <v/>
      </c>
      <c r="Y32" s="136"/>
      <c r="Z32" s="5" t="str">
        <f t="shared" si="17"/>
        <v/>
      </c>
      <c r="AA32" s="137" t="s">
        <v>183</v>
      </c>
      <c r="AB32" s="7" t="str">
        <f t="shared" si="18"/>
        <v/>
      </c>
      <c r="AC32" s="9"/>
      <c r="AD32" s="4"/>
      <c r="AE32" s="138" t="str">
        <f t="shared" si="19"/>
        <v/>
      </c>
      <c r="AF32" s="139" t="str">
        <f t="shared" si="20"/>
        <v/>
      </c>
      <c r="AG32" s="139" t="str">
        <f t="shared" si="21"/>
        <v/>
      </c>
      <c r="AH32" s="139" t="str">
        <f t="shared" si="22"/>
        <v/>
      </c>
      <c r="AI32" s="139" t="str">
        <f t="shared" si="23"/>
        <v/>
      </c>
      <c r="AJ32" s="140" t="str">
        <f t="shared" si="24"/>
        <v/>
      </c>
      <c r="AK32" s="8"/>
      <c r="AL32" s="8" t="str">
        <f>IF(AM32="","",IF(各種設定金額!$B$7="","○○県",各種設定金額!$B$7))</f>
        <v/>
      </c>
      <c r="AM32" s="4"/>
      <c r="AN32" s="4"/>
      <c r="AO32" s="141" t="str">
        <f t="shared" si="25"/>
        <v/>
      </c>
      <c r="AP32" s="10"/>
      <c r="AQ32" s="129"/>
      <c r="AR32" s="142" t="s">
        <v>182</v>
      </c>
      <c r="AS32" s="131" t="str">
        <f t="shared" si="26"/>
        <v/>
      </c>
      <c r="AT32" s="132" t="str">
        <f t="shared" si="27"/>
        <v/>
      </c>
      <c r="AU32" s="132" t="str">
        <f t="shared" si="28"/>
        <v/>
      </c>
      <c r="AV32" s="132" t="str">
        <f t="shared" si="29"/>
        <v/>
      </c>
      <c r="AW32" s="132" t="str">
        <f t="shared" si="30"/>
        <v/>
      </c>
      <c r="AX32" s="143" t="str">
        <f t="shared" si="31"/>
        <v/>
      </c>
      <c r="AY32" s="144"/>
      <c r="AZ32" s="8" t="str">
        <f>IF(BA32="","",IF(各種設定金額!$B$7="","○○県",各種設定金額!$B$7))</f>
        <v/>
      </c>
      <c r="BA32" s="6"/>
      <c r="BB32" s="4"/>
      <c r="BC32" s="141" t="str">
        <f t="shared" si="32"/>
        <v/>
      </c>
      <c r="BD32" s="10"/>
      <c r="BE32" s="129"/>
      <c r="BF32" s="145" t="s">
        <v>63</v>
      </c>
      <c r="BG32" s="131" t="str">
        <f t="shared" si="33"/>
        <v/>
      </c>
      <c r="BH32" s="132" t="str">
        <f t="shared" si="34"/>
        <v/>
      </c>
      <c r="BI32" s="132" t="str">
        <f t="shared" si="35"/>
        <v/>
      </c>
      <c r="BJ32" s="132" t="str">
        <f t="shared" si="36"/>
        <v/>
      </c>
      <c r="BK32" s="132" t="str">
        <f t="shared" si="37"/>
        <v/>
      </c>
      <c r="BL32" s="132" t="str">
        <f t="shared" si="38"/>
        <v/>
      </c>
      <c r="BM32" s="146"/>
      <c r="BN32" s="8" t="str">
        <f>IF(BO32="","",IF(各種設定金額!$B$7="","○○県",各種設定金額!$B$7))</f>
        <v/>
      </c>
      <c r="BO32" s="6"/>
      <c r="BP32" s="4"/>
      <c r="BQ32" s="141" t="str">
        <f t="shared" si="39"/>
        <v/>
      </c>
      <c r="BR32" s="10"/>
      <c r="BS32" s="129"/>
      <c r="BT32" s="145" t="s">
        <v>63</v>
      </c>
      <c r="BU32" s="131" t="str">
        <f t="shared" si="40"/>
        <v/>
      </c>
      <c r="BV32" s="132" t="str">
        <f t="shared" si="41"/>
        <v/>
      </c>
      <c r="BW32" s="132" t="str">
        <f t="shared" si="42"/>
        <v/>
      </c>
      <c r="BX32" s="132" t="str">
        <f t="shared" si="43"/>
        <v/>
      </c>
      <c r="BY32" s="132" t="str">
        <f t="shared" si="44"/>
        <v/>
      </c>
      <c r="BZ32" s="132" t="str">
        <f t="shared" si="45"/>
        <v/>
      </c>
      <c r="CA32" s="146"/>
      <c r="CB32" s="10" t="str">
        <f t="shared" si="46"/>
        <v/>
      </c>
      <c r="CC32" s="7" t="str">
        <f t="shared" si="47"/>
        <v/>
      </c>
      <c r="CD32" s="147"/>
      <c r="CE32" s="147"/>
      <c r="CF32" s="6"/>
      <c r="CG32" s="4"/>
      <c r="CH32" s="148">
        <f t="shared" ca="1" si="48"/>
        <v>2026</v>
      </c>
      <c r="CI32" s="121" t="str">
        <f t="shared" ca="1" si="49"/>
        <v>令和</v>
      </c>
      <c r="CJ32" s="122" t="str">
        <f t="shared" ca="1" si="50"/>
        <v>R</v>
      </c>
      <c r="CK32" s="122" t="str">
        <f t="shared" ca="1" si="51"/>
        <v>8</v>
      </c>
      <c r="CL32" s="122">
        <f t="shared" ca="1" si="52"/>
        <v>10</v>
      </c>
      <c r="CM32" s="149">
        <f t="shared" ca="1" si="53"/>
        <v>24</v>
      </c>
      <c r="CN32" s="1"/>
      <c r="CO32" s="150">
        <f t="shared" ca="1" si="54"/>
        <v>46319</v>
      </c>
    </row>
    <row r="33" spans="1:93" ht="20.100000000000001" customHeight="1" x14ac:dyDescent="0.15">
      <c r="A33" s="7" t="str">
        <f>IF(B33="","",ROW()-ROW(会員表[#Headers]))</f>
        <v/>
      </c>
      <c r="B33" s="4" ph="1"/>
      <c r="C33" s="4" t="str" cm="1">
        <f t="array" ref="C33">_xlfn.LET(_xlpm.s,PHONETIC(B33),_xlpm.c,_xlfn.UNICODE(MID(_xlpm.s,_xlfn.SEQUENCE(LEN(_xlpm.s)),1)),IF(_xlpm.s="","",_xlfn.CONCAT(_xlfn.UNICHAR(_xlpm.c-96*(_xlpm.c&gt;=12449)*(_xlpm.c&lt;=12534)))))</f>
        <v/>
      </c>
      <c r="D33" s="4" t="str" cm="1">
        <f t="array" ref="D33">_xlfn.LET(_xlpm.s,PHONETIC(B33),_xlpm.c,_xlfn.UNICODE(MID(_xlpm.s,_xlfn.SEQUENCE(LEN(_xlpm.s)),1)),IF(_xlpm.s="","",_xlfn.CONCAT(_xlfn.UNICHAR(_xlpm.c+96*(_xlpm.c&gt;=12353)*(_xlpm.c&lt;=12438)))))</f>
        <v/>
      </c>
      <c r="E33" s="129" t="str">
        <f t="shared" ca="1" si="0"/>
        <v/>
      </c>
      <c r="F33" s="130" t="str">
        <f t="shared" si="1"/>
        <v/>
      </c>
      <c r="G33" s="130" t="str">
        <f t="shared" si="2"/>
        <v/>
      </c>
      <c r="H33" s="130" t="str">
        <f t="shared" si="3"/>
        <v/>
      </c>
      <c r="I33" s="131" t="str">
        <f t="shared" si="4"/>
        <v/>
      </c>
      <c r="J33" s="132" t="str">
        <f t="shared" si="5"/>
        <v/>
      </c>
      <c r="K33" s="121" t="str">
        <f t="shared" si="6"/>
        <v/>
      </c>
      <c r="L33" s="129" t="str">
        <f t="shared" si="7"/>
        <v/>
      </c>
      <c r="M33" s="7" t="str">
        <f t="shared" si="8"/>
        <v/>
      </c>
      <c r="N33" s="133"/>
      <c r="O33" s="8"/>
      <c r="P33" s="5" t="str">
        <f t="shared" si="9"/>
        <v/>
      </c>
      <c r="Q33" s="121" t="str">
        <f t="shared" si="10"/>
        <v/>
      </c>
      <c r="R33" s="121" t="str">
        <f t="shared" si="11"/>
        <v/>
      </c>
      <c r="S33" s="7" t="str">
        <f t="shared" si="12"/>
        <v/>
      </c>
      <c r="T33" s="4"/>
      <c r="U33" s="5" t="str">
        <f t="shared" si="13"/>
        <v/>
      </c>
      <c r="V33" s="121" t="str">
        <f t="shared" si="14"/>
        <v/>
      </c>
      <c r="W33" s="121" t="str">
        <f t="shared" si="15"/>
        <v/>
      </c>
      <c r="X33" s="7" t="str">
        <f t="shared" si="16"/>
        <v/>
      </c>
      <c r="Y33" s="136"/>
      <c r="Z33" s="5" t="str">
        <f t="shared" si="17"/>
        <v/>
      </c>
      <c r="AA33" s="137" t="s">
        <v>183</v>
      </c>
      <c r="AB33" s="7" t="str">
        <f t="shared" si="18"/>
        <v/>
      </c>
      <c r="AC33" s="9"/>
      <c r="AD33" s="4"/>
      <c r="AE33" s="138" t="str">
        <f t="shared" si="19"/>
        <v/>
      </c>
      <c r="AF33" s="139" t="str">
        <f t="shared" si="20"/>
        <v/>
      </c>
      <c r="AG33" s="139" t="str">
        <f t="shared" si="21"/>
        <v/>
      </c>
      <c r="AH33" s="139" t="str">
        <f t="shared" si="22"/>
        <v/>
      </c>
      <c r="AI33" s="139" t="str">
        <f t="shared" si="23"/>
        <v/>
      </c>
      <c r="AJ33" s="140" t="str">
        <f t="shared" si="24"/>
        <v/>
      </c>
      <c r="AK33" s="8"/>
      <c r="AL33" s="8" t="str">
        <f>IF(AM33="","",IF(各種設定金額!$B$7="","○○県",各種設定金額!$B$7))</f>
        <v/>
      </c>
      <c r="AM33" s="4"/>
      <c r="AN33" s="4"/>
      <c r="AO33" s="141" t="str">
        <f t="shared" si="25"/>
        <v/>
      </c>
      <c r="AP33" s="10"/>
      <c r="AQ33" s="129"/>
      <c r="AR33" s="142" t="s">
        <v>182</v>
      </c>
      <c r="AS33" s="131" t="str">
        <f t="shared" si="26"/>
        <v/>
      </c>
      <c r="AT33" s="132" t="str">
        <f t="shared" si="27"/>
        <v/>
      </c>
      <c r="AU33" s="132" t="str">
        <f t="shared" si="28"/>
        <v/>
      </c>
      <c r="AV33" s="132" t="str">
        <f t="shared" si="29"/>
        <v/>
      </c>
      <c r="AW33" s="132" t="str">
        <f t="shared" si="30"/>
        <v/>
      </c>
      <c r="AX33" s="143" t="str">
        <f t="shared" si="31"/>
        <v/>
      </c>
      <c r="AY33" s="144"/>
      <c r="AZ33" s="8" t="str">
        <f>IF(BA33="","",IF(各種設定金額!$B$7="","○○県",各種設定金額!$B$7))</f>
        <v/>
      </c>
      <c r="BA33" s="4"/>
      <c r="BB33" s="4"/>
      <c r="BC33" s="141" t="str">
        <f t="shared" si="32"/>
        <v/>
      </c>
      <c r="BD33" s="10"/>
      <c r="BE33" s="129"/>
      <c r="BF33" s="145" t="s">
        <v>63</v>
      </c>
      <c r="BG33" s="131" t="str">
        <f t="shared" si="33"/>
        <v/>
      </c>
      <c r="BH33" s="132" t="str">
        <f t="shared" si="34"/>
        <v/>
      </c>
      <c r="BI33" s="132" t="str">
        <f t="shared" si="35"/>
        <v/>
      </c>
      <c r="BJ33" s="132" t="str">
        <f t="shared" si="36"/>
        <v/>
      </c>
      <c r="BK33" s="132" t="str">
        <f t="shared" si="37"/>
        <v/>
      </c>
      <c r="BL33" s="132" t="str">
        <f t="shared" si="38"/>
        <v/>
      </c>
      <c r="BM33" s="146"/>
      <c r="BN33" s="8" t="str">
        <f>IF(BO33="","",IF(各種設定金額!$B$7="","○○県",各種設定金額!$B$7))</f>
        <v/>
      </c>
      <c r="BO33" s="4"/>
      <c r="BP33" s="4"/>
      <c r="BQ33" s="141" t="str">
        <f t="shared" si="39"/>
        <v/>
      </c>
      <c r="BR33" s="10"/>
      <c r="BS33" s="129"/>
      <c r="BT33" s="145" t="s">
        <v>63</v>
      </c>
      <c r="BU33" s="131" t="str">
        <f t="shared" si="40"/>
        <v/>
      </c>
      <c r="BV33" s="132" t="str">
        <f t="shared" si="41"/>
        <v/>
      </c>
      <c r="BW33" s="132" t="str">
        <f t="shared" si="42"/>
        <v/>
      </c>
      <c r="BX33" s="132" t="str">
        <f t="shared" si="43"/>
        <v/>
      </c>
      <c r="BY33" s="132" t="str">
        <f t="shared" si="44"/>
        <v/>
      </c>
      <c r="BZ33" s="132" t="str">
        <f t="shared" si="45"/>
        <v/>
      </c>
      <c r="CA33" s="146"/>
      <c r="CB33" s="10" t="str">
        <f t="shared" si="46"/>
        <v/>
      </c>
      <c r="CC33" s="7" t="str">
        <f t="shared" si="47"/>
        <v/>
      </c>
      <c r="CD33" s="147"/>
      <c r="CE33" s="147"/>
      <c r="CF33" s="4"/>
      <c r="CG33" s="4"/>
      <c r="CH33" s="148">
        <f t="shared" ca="1" si="48"/>
        <v>2026</v>
      </c>
      <c r="CI33" s="121" t="str">
        <f t="shared" ca="1" si="49"/>
        <v>令和</v>
      </c>
      <c r="CJ33" s="122" t="str">
        <f t="shared" ca="1" si="50"/>
        <v>R</v>
      </c>
      <c r="CK33" s="122" t="str">
        <f t="shared" ca="1" si="51"/>
        <v>8</v>
      </c>
      <c r="CL33" s="122">
        <f t="shared" ca="1" si="52"/>
        <v>10</v>
      </c>
      <c r="CM33" s="149">
        <f t="shared" ca="1" si="53"/>
        <v>24</v>
      </c>
      <c r="CN33" s="1"/>
      <c r="CO33" s="150">
        <f t="shared" ca="1" si="54"/>
        <v>46319</v>
      </c>
    </row>
    <row r="34" spans="1:93" ht="20.100000000000001" customHeight="1" x14ac:dyDescent="0.15">
      <c r="A34" s="7" t="str">
        <f>IF(B34="","",ROW()-ROW(会員表[#Headers]))</f>
        <v/>
      </c>
      <c r="B34" s="4" ph="1"/>
      <c r="C34" s="4" t="str" cm="1">
        <f t="array" ref="C34">_xlfn.LET(_xlpm.s,PHONETIC(B34),_xlpm.c,_xlfn.UNICODE(MID(_xlpm.s,_xlfn.SEQUENCE(LEN(_xlpm.s)),1)),IF(_xlpm.s="","",_xlfn.CONCAT(_xlfn.UNICHAR(_xlpm.c-96*(_xlpm.c&gt;=12449)*(_xlpm.c&lt;=12534)))))</f>
        <v/>
      </c>
      <c r="D34" s="4" t="str" cm="1">
        <f t="array" ref="D34">_xlfn.LET(_xlpm.s,PHONETIC(B34),_xlpm.c,_xlfn.UNICODE(MID(_xlpm.s,_xlfn.SEQUENCE(LEN(_xlpm.s)),1)),IF(_xlpm.s="","",_xlfn.CONCAT(_xlfn.UNICHAR(_xlpm.c+96*(_xlpm.c&gt;=12353)*(_xlpm.c&lt;=12438)))))</f>
        <v/>
      </c>
      <c r="E34" s="129" t="str">
        <f t="shared" ref="E34:E65" ca="1" si="55">IF(N34="","",DATEDIF(N34,TODAY(),"Y"))</f>
        <v/>
      </c>
      <c r="F34" s="130" t="str">
        <f t="shared" ref="F34:F65" si="56">IF(I34="昭","〇","")</f>
        <v/>
      </c>
      <c r="G34" s="130" t="str">
        <f t="shared" ref="G34:G65" si="57">IF(I34="平","〇","")</f>
        <v/>
      </c>
      <c r="H34" s="130" t="str">
        <f t="shared" ref="H34:H65" si="58">IF(I34="令","〇","")</f>
        <v/>
      </c>
      <c r="I34" s="131" t="str">
        <f t="shared" ref="I34:I65" si="59">IF($N34="","",TEXT($N34,"gg"))</f>
        <v/>
      </c>
      <c r="J34" s="132" t="str">
        <f t="shared" ref="J34:J65" si="60">IF($N34="","",TEXT($N34,"ggg"))</f>
        <v/>
      </c>
      <c r="K34" s="121" t="str">
        <f t="shared" ref="K34:K65" si="61">IF($N34="","",TEXT($N34,"e"))</f>
        <v/>
      </c>
      <c r="L34" s="129" t="str">
        <f t="shared" ref="L34:L65" si="62">IF($N34="","",TEXT($N34,"m"))</f>
        <v/>
      </c>
      <c r="M34" s="7" t="str">
        <f t="shared" ref="M34:M65" si="63">IF($N34="","",TEXT($N34,"d"))</f>
        <v/>
      </c>
      <c r="N34" s="133"/>
      <c r="O34" s="133"/>
      <c r="P34" s="5" t="str">
        <f t="shared" ref="P34:P65" si="64">IFERROR(LEFT(O34,FIND("-",O34)-1),"")</f>
        <v/>
      </c>
      <c r="Q34" s="121" t="str">
        <f t="shared" ref="Q34:Q65" si="65">IFERROR(RIGHT(O34,LEN(O34)-FIND("-",O34)),"")</f>
        <v/>
      </c>
      <c r="R34" s="121" t="str">
        <f t="shared" ref="R34:R65" si="66">IFERROR(LEFT(Q34,FIND("-",Q34)-1),"")</f>
        <v/>
      </c>
      <c r="S34" s="7" t="str">
        <f t="shared" ref="S34:S65" si="67">IFERROR(RIGHT(Q34,LEN(Q34)-FIND("-",Q34)),"")</f>
        <v/>
      </c>
      <c r="T34" s="4"/>
      <c r="U34" s="5" t="str">
        <f t="shared" ref="U34:U65" si="68">IFERROR(LEFT(T34,FIND("-",T34)-1),"")</f>
        <v/>
      </c>
      <c r="V34" s="121" t="str">
        <f t="shared" ref="V34:V65" si="69">IFERROR(RIGHT(T34,LEN(T34)-FIND("-",T34)),"")</f>
        <v/>
      </c>
      <c r="W34" s="121" t="str">
        <f t="shared" ref="W34:W65" si="70">IFERROR(LEFT(V34,FIND("-",V34)-1),"")</f>
        <v/>
      </c>
      <c r="X34" s="7" t="str">
        <f t="shared" ref="X34:X65" si="71">IFERROR(RIGHT(V34,LEN(V34)-FIND("-",V34)),"")</f>
        <v/>
      </c>
      <c r="Y34" s="136"/>
      <c r="Z34" s="5" t="str">
        <f t="shared" ref="Z34:Z65" si="72">IF(Y34="","",LEFT(SUBSTITUTE(ASC(Y34),"-",""),3))</f>
        <v/>
      </c>
      <c r="AA34" s="137" t="s">
        <v>183</v>
      </c>
      <c r="AB34" s="7" t="str">
        <f t="shared" ref="AB34:AB65" si="73">IF(Y34="","",MID(SUBSTITUTE(ASC(Y34),"-",""),4,4))</f>
        <v/>
      </c>
      <c r="AC34" s="9"/>
      <c r="AD34" s="4"/>
      <c r="AE34" s="138" t="str">
        <f t="shared" ref="AE34:AE65" si="74">IF(AK34="","",TEXT($AK34,"ggg"))</f>
        <v/>
      </c>
      <c r="AF34" s="139" t="str">
        <f t="shared" ref="AF34:AF65" si="75">IF(AK34="","",TEXT($AK34,"gg"))</f>
        <v/>
      </c>
      <c r="AG34" s="139" t="str">
        <f t="shared" ref="AG34:AG65" si="76">IF(AK34="","",TEXT($AK34,"g"))</f>
        <v/>
      </c>
      <c r="AH34" s="139" t="str">
        <f t="shared" ref="AH34:AH65" si="77">IF(AK34="","",TEXT($AK34,"e"))</f>
        <v/>
      </c>
      <c r="AI34" s="139" t="str">
        <f t="shared" ref="AI34:AI65" si="78">IF(AK34="","",TEXT($AK34,"m"))</f>
        <v/>
      </c>
      <c r="AJ34" s="140" t="str">
        <f t="shared" ref="AJ34:AJ65" si="79">IF(AK34="","",TEXT($AK34,"d"))</f>
        <v/>
      </c>
      <c r="AK34" s="8"/>
      <c r="AL34" s="8" t="str">
        <f>IF(AM34="","",IF(各種設定金額!$B$7="","○○県",各種設定金額!$B$7))</f>
        <v/>
      </c>
      <c r="AM34" s="4"/>
      <c r="AN34" s="4"/>
      <c r="AO34" s="141" t="str">
        <f t="shared" ref="AO34:AO65" si="80">IF(TRIM(AQ34)="","",AP34&amp;AQ34&amp;AR34)</f>
        <v/>
      </c>
      <c r="AP34" s="10"/>
      <c r="AQ34" s="129"/>
      <c r="AR34" s="142" t="s">
        <v>182</v>
      </c>
      <c r="AS34" s="131" t="str">
        <f t="shared" ref="AS34:AS65" si="81">IF(AY34="","",TEXT($AY34,"ggg"))</f>
        <v/>
      </c>
      <c r="AT34" s="132" t="str">
        <f t="shared" ref="AT34:AT65" si="82">IF(AY34="","",TEXT($AY34,"gg"))</f>
        <v/>
      </c>
      <c r="AU34" s="132" t="str">
        <f t="shared" ref="AU34:AU65" si="83">IF(AY34="","",TEXT($AY34,"g"))</f>
        <v/>
      </c>
      <c r="AV34" s="132" t="str">
        <f t="shared" ref="AV34:AV65" si="84">IF(AY34="","",TEXT($AY34,"e"))</f>
        <v/>
      </c>
      <c r="AW34" s="132" t="str">
        <f t="shared" ref="AW34:AW65" si="85">IF(AY34="","",TEXT($AY34,"m"))</f>
        <v/>
      </c>
      <c r="AX34" s="143" t="str">
        <f t="shared" ref="AX34:AX65" si="86">IF(AY34="","",TEXT($AY34,"d"))</f>
        <v/>
      </c>
      <c r="AY34" s="144"/>
      <c r="AZ34" s="8" t="str">
        <f>IF(BA34="","",IF(各種設定金額!$B$7="","○○県",各種設定金額!$B$7))</f>
        <v/>
      </c>
      <c r="BA34" s="4"/>
      <c r="BB34" s="4"/>
      <c r="BC34" s="141" t="str">
        <f t="shared" ref="BC34:BC65" si="87">IF(TRIM(BE34)="","",BD34&amp;BE34&amp;BF34)</f>
        <v/>
      </c>
      <c r="BD34" s="10"/>
      <c r="BE34" s="129"/>
      <c r="BF34" s="145" t="s">
        <v>63</v>
      </c>
      <c r="BG34" s="131" t="str">
        <f t="shared" ref="BG34:BG65" si="88">IF(BM34="","",TEXT($BM34,"ggg"))</f>
        <v/>
      </c>
      <c r="BH34" s="132" t="str">
        <f t="shared" ref="BH34:BH65" si="89">IF(BM34="","",TEXT($BM34,"gg"))</f>
        <v/>
      </c>
      <c r="BI34" s="132" t="str">
        <f t="shared" ref="BI34:BI65" si="90">IF(BM34="","",TEXT($BM34,"g"))</f>
        <v/>
      </c>
      <c r="BJ34" s="132" t="str">
        <f t="shared" ref="BJ34:BJ65" si="91">IF(BM34="","",TEXT($BM34,"e"))</f>
        <v/>
      </c>
      <c r="BK34" s="132" t="str">
        <f t="shared" ref="BK34:BK65" si="92">IF(BM34="","",TEXT($BM34,"m"))</f>
        <v/>
      </c>
      <c r="BL34" s="132" t="str">
        <f t="shared" ref="BL34:BL65" si="93">IF(BM34="","",TEXT($BM34,"d"))</f>
        <v/>
      </c>
      <c r="BM34" s="146"/>
      <c r="BN34" s="8" t="str">
        <f>IF(BO34="","",IF(各種設定金額!$B$7="","○○県",各種設定金額!$B$7))</f>
        <v/>
      </c>
      <c r="BO34" s="4"/>
      <c r="BP34" s="4"/>
      <c r="BQ34" s="141" t="str">
        <f t="shared" ref="BQ34:BQ65" si="94">IF(TRIM(BS34)="","",BR34&amp;BS34&amp;BT34)</f>
        <v/>
      </c>
      <c r="BR34" s="10"/>
      <c r="BS34" s="129"/>
      <c r="BT34" s="145" t="s">
        <v>63</v>
      </c>
      <c r="BU34" s="131" t="str">
        <f t="shared" ref="BU34:BU65" si="95">IF(CA34="","",TEXT($CA34,"ggg"))</f>
        <v/>
      </c>
      <c r="BV34" s="132" t="str">
        <f t="shared" ref="BV34:BV65" si="96">IF(CA34="","",TEXT($CA34,"gg"))</f>
        <v/>
      </c>
      <c r="BW34" s="132" t="str">
        <f t="shared" ref="BW34:BW65" si="97">IF(CA34="","",TEXT($CA34,"g"))</f>
        <v/>
      </c>
      <c r="BX34" s="132" t="str">
        <f t="shared" ref="BX34:BX65" si="98">IF(CA34="","",TEXT($CA34,"e"))</f>
        <v/>
      </c>
      <c r="BY34" s="132" t="str">
        <f t="shared" ref="BY34:BY65" si="99">IF(CA34="","",TEXT($CA34,"m"))</f>
        <v/>
      </c>
      <c r="BZ34" s="132" t="str">
        <f t="shared" ref="BZ34:BZ65" si="100">IF(CA34="","",TEXT($CA34,"d"))</f>
        <v/>
      </c>
      <c r="CA34" s="146"/>
      <c r="CB34" s="10" t="str">
        <f t="shared" ref="CB34:CB65" si="101">IF(COUNT(AY34,BM34,CA34)=0,"",TEXT(DATE(YEAR(MIN(AY34,BM34,CA34))+3,9,14),"g"))</f>
        <v/>
      </c>
      <c r="CC34" s="7" t="str">
        <f t="shared" ref="CC34:CC65" si="102">IF(COUNT(AY34,BM34,CA34)=0,"",VALUE(TEXT(DATE(YEAR(MIN(AY34,BM34,CA34))+3,9,14),"e")))</f>
        <v/>
      </c>
      <c r="CD34" s="147"/>
      <c r="CE34" s="147"/>
      <c r="CF34" s="4"/>
      <c r="CG34" s="4"/>
      <c r="CH34" s="148">
        <f t="shared" ref="CH34:CH65" ca="1" si="103">YEAR(TODAY())</f>
        <v>2026</v>
      </c>
      <c r="CI34" s="121" t="str">
        <f t="shared" ref="CI34:CI65" ca="1" si="104">TEXT($CO34,"ggg")</f>
        <v>令和</v>
      </c>
      <c r="CJ34" s="122" t="str">
        <f t="shared" ref="CJ34:CJ65" ca="1" si="105">TEXT($CO34,"g")</f>
        <v>R</v>
      </c>
      <c r="CK34" s="122" t="str">
        <f t="shared" ref="CK34:CK65" ca="1" si="106">TEXT($CO34,"e")</f>
        <v>8</v>
      </c>
      <c r="CL34" s="122">
        <f t="shared" ref="CL34:CL65" ca="1" si="107">MONTH(TODAY())</f>
        <v>10</v>
      </c>
      <c r="CM34" s="149">
        <f t="shared" ref="CM34:CM65" ca="1" si="108">DAY(TODAY())</f>
        <v>24</v>
      </c>
      <c r="CN34" s="1"/>
      <c r="CO34" s="150">
        <f t="shared" ref="CO34:CO65" ca="1" si="109">TODAY()</f>
        <v>46319</v>
      </c>
    </row>
    <row r="35" spans="1:93" ht="20.100000000000001" customHeight="1" x14ac:dyDescent="0.15">
      <c r="A35" s="7" t="str">
        <f>IF(B35="","",ROW()-ROW(会員表[#Headers]))</f>
        <v/>
      </c>
      <c r="B35" s="4" ph="1"/>
      <c r="C35" s="4" t="str" cm="1">
        <f t="array" ref="C35">_xlfn.LET(_xlpm.s,PHONETIC(B35),_xlpm.c,_xlfn.UNICODE(MID(_xlpm.s,_xlfn.SEQUENCE(LEN(_xlpm.s)),1)),IF(_xlpm.s="","",_xlfn.CONCAT(_xlfn.UNICHAR(_xlpm.c-96*(_xlpm.c&gt;=12449)*(_xlpm.c&lt;=12534)))))</f>
        <v/>
      </c>
      <c r="D35" s="4" t="str" cm="1">
        <f t="array" ref="D35">_xlfn.LET(_xlpm.s,PHONETIC(B35),_xlpm.c,_xlfn.UNICODE(MID(_xlpm.s,_xlfn.SEQUENCE(LEN(_xlpm.s)),1)),IF(_xlpm.s="","",_xlfn.CONCAT(_xlfn.UNICHAR(_xlpm.c+96*(_xlpm.c&gt;=12353)*(_xlpm.c&lt;=12438)))))</f>
        <v/>
      </c>
      <c r="E35" s="129" t="str">
        <f t="shared" ca="1" si="55"/>
        <v/>
      </c>
      <c r="F35" s="130" t="str">
        <f t="shared" si="56"/>
        <v/>
      </c>
      <c r="G35" s="130" t="str">
        <f t="shared" si="57"/>
        <v/>
      </c>
      <c r="H35" s="130" t="str">
        <f t="shared" si="58"/>
        <v/>
      </c>
      <c r="I35" s="131" t="str">
        <f t="shared" si="59"/>
        <v/>
      </c>
      <c r="J35" s="132" t="str">
        <f t="shared" si="60"/>
        <v/>
      </c>
      <c r="K35" s="121" t="str">
        <f t="shared" si="61"/>
        <v/>
      </c>
      <c r="L35" s="129" t="str">
        <f t="shared" si="62"/>
        <v/>
      </c>
      <c r="M35" s="7" t="str">
        <f t="shared" si="63"/>
        <v/>
      </c>
      <c r="N35" s="133"/>
      <c r="O35" s="133"/>
      <c r="P35" s="5" t="str">
        <f t="shared" si="64"/>
        <v/>
      </c>
      <c r="Q35" s="121" t="str">
        <f t="shared" si="65"/>
        <v/>
      </c>
      <c r="R35" s="121" t="str">
        <f t="shared" si="66"/>
        <v/>
      </c>
      <c r="S35" s="7" t="str">
        <f t="shared" si="67"/>
        <v/>
      </c>
      <c r="T35" s="4"/>
      <c r="U35" s="5" t="str">
        <f t="shared" si="68"/>
        <v/>
      </c>
      <c r="V35" s="121" t="str">
        <f t="shared" si="69"/>
        <v/>
      </c>
      <c r="W35" s="121" t="str">
        <f t="shared" si="70"/>
        <v/>
      </c>
      <c r="X35" s="7" t="str">
        <f t="shared" si="71"/>
        <v/>
      </c>
      <c r="Y35" s="136"/>
      <c r="Z35" s="5" t="str">
        <f t="shared" si="72"/>
        <v/>
      </c>
      <c r="AA35" s="137" t="s">
        <v>183</v>
      </c>
      <c r="AB35" s="7" t="str">
        <f t="shared" si="73"/>
        <v/>
      </c>
      <c r="AC35" s="9"/>
      <c r="AD35" s="4"/>
      <c r="AE35" s="138" t="str">
        <f t="shared" si="74"/>
        <v/>
      </c>
      <c r="AF35" s="139" t="str">
        <f t="shared" si="75"/>
        <v/>
      </c>
      <c r="AG35" s="139" t="str">
        <f t="shared" si="76"/>
        <v/>
      </c>
      <c r="AH35" s="139" t="str">
        <f t="shared" si="77"/>
        <v/>
      </c>
      <c r="AI35" s="139" t="str">
        <f t="shared" si="78"/>
        <v/>
      </c>
      <c r="AJ35" s="140" t="str">
        <f t="shared" si="79"/>
        <v/>
      </c>
      <c r="AK35" s="8"/>
      <c r="AL35" s="8" t="str">
        <f>IF(AM35="","",IF(各種設定金額!$B$7="","○○県",各種設定金額!$B$7))</f>
        <v/>
      </c>
      <c r="AM35" s="4"/>
      <c r="AN35" s="4"/>
      <c r="AO35" s="141" t="str">
        <f t="shared" si="80"/>
        <v/>
      </c>
      <c r="AP35" s="10"/>
      <c r="AQ35" s="129"/>
      <c r="AR35" s="142" t="s">
        <v>182</v>
      </c>
      <c r="AS35" s="131" t="str">
        <f t="shared" si="81"/>
        <v/>
      </c>
      <c r="AT35" s="132" t="str">
        <f t="shared" si="82"/>
        <v/>
      </c>
      <c r="AU35" s="132" t="str">
        <f t="shared" si="83"/>
        <v/>
      </c>
      <c r="AV35" s="132" t="str">
        <f t="shared" si="84"/>
        <v/>
      </c>
      <c r="AW35" s="132" t="str">
        <f t="shared" si="85"/>
        <v/>
      </c>
      <c r="AX35" s="143" t="str">
        <f t="shared" si="86"/>
        <v/>
      </c>
      <c r="AY35" s="144"/>
      <c r="AZ35" s="8" t="str">
        <f>IF(BA35="","",IF(各種設定金額!$B$7="","○○県",各種設定金額!$B$7))</f>
        <v/>
      </c>
      <c r="BA35" s="4"/>
      <c r="BB35" s="4"/>
      <c r="BC35" s="141" t="str">
        <f t="shared" si="87"/>
        <v/>
      </c>
      <c r="BD35" s="10"/>
      <c r="BE35" s="129"/>
      <c r="BF35" s="145" t="s">
        <v>63</v>
      </c>
      <c r="BG35" s="131" t="str">
        <f t="shared" si="88"/>
        <v/>
      </c>
      <c r="BH35" s="132" t="str">
        <f t="shared" si="89"/>
        <v/>
      </c>
      <c r="BI35" s="132" t="str">
        <f t="shared" si="90"/>
        <v/>
      </c>
      <c r="BJ35" s="132" t="str">
        <f t="shared" si="91"/>
        <v/>
      </c>
      <c r="BK35" s="132" t="str">
        <f t="shared" si="92"/>
        <v/>
      </c>
      <c r="BL35" s="132" t="str">
        <f t="shared" si="93"/>
        <v/>
      </c>
      <c r="BM35" s="146"/>
      <c r="BN35" s="8" t="str">
        <f>IF(BO35="","",IF(各種設定金額!$B$7="","○○県",各種設定金額!$B$7))</f>
        <v/>
      </c>
      <c r="BO35" s="4"/>
      <c r="BP35" s="4"/>
      <c r="BQ35" s="141" t="str">
        <f t="shared" si="94"/>
        <v/>
      </c>
      <c r="BR35" s="10"/>
      <c r="BS35" s="129"/>
      <c r="BT35" s="145" t="s">
        <v>63</v>
      </c>
      <c r="BU35" s="131" t="str">
        <f t="shared" si="95"/>
        <v/>
      </c>
      <c r="BV35" s="132" t="str">
        <f t="shared" si="96"/>
        <v/>
      </c>
      <c r="BW35" s="132" t="str">
        <f t="shared" si="97"/>
        <v/>
      </c>
      <c r="BX35" s="132" t="str">
        <f t="shared" si="98"/>
        <v/>
      </c>
      <c r="BY35" s="132" t="str">
        <f t="shared" si="99"/>
        <v/>
      </c>
      <c r="BZ35" s="132" t="str">
        <f t="shared" si="100"/>
        <v/>
      </c>
      <c r="CA35" s="146"/>
      <c r="CB35" s="10" t="str">
        <f t="shared" si="101"/>
        <v/>
      </c>
      <c r="CC35" s="7" t="str">
        <f t="shared" si="102"/>
        <v/>
      </c>
      <c r="CD35" s="147"/>
      <c r="CE35" s="147"/>
      <c r="CF35" s="4"/>
      <c r="CG35" s="4"/>
      <c r="CH35" s="148">
        <f t="shared" ca="1" si="103"/>
        <v>2026</v>
      </c>
      <c r="CI35" s="121" t="str">
        <f t="shared" ca="1" si="104"/>
        <v>令和</v>
      </c>
      <c r="CJ35" s="122" t="str">
        <f t="shared" ca="1" si="105"/>
        <v>R</v>
      </c>
      <c r="CK35" s="122" t="str">
        <f t="shared" ca="1" si="106"/>
        <v>8</v>
      </c>
      <c r="CL35" s="122">
        <f t="shared" ca="1" si="107"/>
        <v>10</v>
      </c>
      <c r="CM35" s="149">
        <f t="shared" ca="1" si="108"/>
        <v>24</v>
      </c>
      <c r="CN35" s="1"/>
      <c r="CO35" s="150">
        <f t="shared" ca="1" si="109"/>
        <v>46319</v>
      </c>
    </row>
    <row r="36" spans="1:93" ht="20.100000000000001" customHeight="1" x14ac:dyDescent="0.15">
      <c r="A36" s="7" t="str">
        <f>IF(B36="","",ROW()-ROW(会員表[#Headers]))</f>
        <v/>
      </c>
      <c r="B36" s="4" ph="1"/>
      <c r="C36" s="4" t="str" cm="1">
        <f t="array" ref="C36">_xlfn.LET(_xlpm.s,PHONETIC(B36),_xlpm.c,_xlfn.UNICODE(MID(_xlpm.s,_xlfn.SEQUENCE(LEN(_xlpm.s)),1)),IF(_xlpm.s="","",_xlfn.CONCAT(_xlfn.UNICHAR(_xlpm.c-96*(_xlpm.c&gt;=12449)*(_xlpm.c&lt;=12534)))))</f>
        <v/>
      </c>
      <c r="D36" s="4" t="str" cm="1">
        <f t="array" ref="D36">_xlfn.LET(_xlpm.s,PHONETIC(B36),_xlpm.c,_xlfn.UNICODE(MID(_xlpm.s,_xlfn.SEQUENCE(LEN(_xlpm.s)),1)),IF(_xlpm.s="","",_xlfn.CONCAT(_xlfn.UNICHAR(_xlpm.c+96*(_xlpm.c&gt;=12353)*(_xlpm.c&lt;=12438)))))</f>
        <v/>
      </c>
      <c r="E36" s="129" t="str">
        <f t="shared" ca="1" si="55"/>
        <v/>
      </c>
      <c r="F36" s="130" t="str">
        <f t="shared" si="56"/>
        <v/>
      </c>
      <c r="G36" s="130" t="str">
        <f t="shared" si="57"/>
        <v/>
      </c>
      <c r="H36" s="130" t="str">
        <f t="shared" si="58"/>
        <v/>
      </c>
      <c r="I36" s="131" t="str">
        <f t="shared" si="59"/>
        <v/>
      </c>
      <c r="J36" s="132" t="str">
        <f t="shared" si="60"/>
        <v/>
      </c>
      <c r="K36" s="121" t="str">
        <f t="shared" si="61"/>
        <v/>
      </c>
      <c r="L36" s="129" t="str">
        <f t="shared" si="62"/>
        <v/>
      </c>
      <c r="M36" s="7" t="str">
        <f t="shared" si="63"/>
        <v/>
      </c>
      <c r="N36" s="133"/>
      <c r="O36" s="8"/>
      <c r="P36" s="5" t="str">
        <f t="shared" si="64"/>
        <v/>
      </c>
      <c r="Q36" s="121" t="str">
        <f t="shared" si="65"/>
        <v/>
      </c>
      <c r="R36" s="121" t="str">
        <f t="shared" si="66"/>
        <v/>
      </c>
      <c r="S36" s="7" t="str">
        <f t="shared" si="67"/>
        <v/>
      </c>
      <c r="T36" s="5"/>
      <c r="U36" s="5" t="str">
        <f t="shared" si="68"/>
        <v/>
      </c>
      <c r="V36" s="121" t="str">
        <f t="shared" si="69"/>
        <v/>
      </c>
      <c r="W36" s="121" t="str">
        <f t="shared" si="70"/>
        <v/>
      </c>
      <c r="X36" s="7" t="str">
        <f t="shared" si="71"/>
        <v/>
      </c>
      <c r="Y36" s="136"/>
      <c r="Z36" s="5" t="str">
        <f t="shared" si="72"/>
        <v/>
      </c>
      <c r="AA36" s="137" t="s">
        <v>183</v>
      </c>
      <c r="AB36" s="7" t="str">
        <f t="shared" si="73"/>
        <v/>
      </c>
      <c r="AC36" s="9"/>
      <c r="AD36" s="4"/>
      <c r="AE36" s="138" t="str">
        <f t="shared" si="74"/>
        <v/>
      </c>
      <c r="AF36" s="139" t="str">
        <f t="shared" si="75"/>
        <v/>
      </c>
      <c r="AG36" s="139" t="str">
        <f t="shared" si="76"/>
        <v/>
      </c>
      <c r="AH36" s="139" t="str">
        <f t="shared" si="77"/>
        <v/>
      </c>
      <c r="AI36" s="139" t="str">
        <f t="shared" si="78"/>
        <v/>
      </c>
      <c r="AJ36" s="140" t="str">
        <f t="shared" si="79"/>
        <v/>
      </c>
      <c r="AK36" s="8"/>
      <c r="AL36" s="8" t="str">
        <f>IF(AM36="","",IF(各種設定金額!$B$7="","○○県",各種設定金額!$B$7))</f>
        <v/>
      </c>
      <c r="AM36" s="4"/>
      <c r="AN36" s="4"/>
      <c r="AO36" s="141" t="str">
        <f t="shared" si="80"/>
        <v/>
      </c>
      <c r="AP36" s="10"/>
      <c r="AQ36" s="129"/>
      <c r="AR36" s="142" t="s">
        <v>182</v>
      </c>
      <c r="AS36" s="131" t="str">
        <f t="shared" si="81"/>
        <v/>
      </c>
      <c r="AT36" s="132" t="str">
        <f t="shared" si="82"/>
        <v/>
      </c>
      <c r="AU36" s="132" t="str">
        <f t="shared" si="83"/>
        <v/>
      </c>
      <c r="AV36" s="132" t="str">
        <f t="shared" si="84"/>
        <v/>
      </c>
      <c r="AW36" s="132" t="str">
        <f t="shared" si="85"/>
        <v/>
      </c>
      <c r="AX36" s="143" t="str">
        <f t="shared" si="86"/>
        <v/>
      </c>
      <c r="AY36" s="144"/>
      <c r="AZ36" s="8" t="str">
        <f>IF(BA36="","",IF(各種設定金額!$B$7="","○○県",各種設定金額!$B$7))</f>
        <v/>
      </c>
      <c r="BA36" s="4"/>
      <c r="BB36" s="4"/>
      <c r="BC36" s="141" t="str">
        <f t="shared" si="87"/>
        <v/>
      </c>
      <c r="BD36" s="10"/>
      <c r="BE36" s="129"/>
      <c r="BF36" s="145" t="s">
        <v>63</v>
      </c>
      <c r="BG36" s="131" t="str">
        <f t="shared" si="88"/>
        <v/>
      </c>
      <c r="BH36" s="132" t="str">
        <f t="shared" si="89"/>
        <v/>
      </c>
      <c r="BI36" s="132" t="str">
        <f t="shared" si="90"/>
        <v/>
      </c>
      <c r="BJ36" s="132" t="str">
        <f t="shared" si="91"/>
        <v/>
      </c>
      <c r="BK36" s="132" t="str">
        <f t="shared" si="92"/>
        <v/>
      </c>
      <c r="BL36" s="132" t="str">
        <f t="shared" si="93"/>
        <v/>
      </c>
      <c r="BM36" s="146"/>
      <c r="BN36" s="8" t="str">
        <f>IF(BO36="","",IF(各種設定金額!$B$7="","○○県",各種設定金額!$B$7))</f>
        <v/>
      </c>
      <c r="BO36" s="4"/>
      <c r="BP36" s="4"/>
      <c r="BQ36" s="141" t="str">
        <f t="shared" si="94"/>
        <v/>
      </c>
      <c r="BR36" s="10"/>
      <c r="BS36" s="129"/>
      <c r="BT36" s="145" t="s">
        <v>63</v>
      </c>
      <c r="BU36" s="131" t="str">
        <f t="shared" si="95"/>
        <v/>
      </c>
      <c r="BV36" s="132" t="str">
        <f t="shared" si="96"/>
        <v/>
      </c>
      <c r="BW36" s="132" t="str">
        <f t="shared" si="97"/>
        <v/>
      </c>
      <c r="BX36" s="132" t="str">
        <f t="shared" si="98"/>
        <v/>
      </c>
      <c r="BY36" s="132" t="str">
        <f t="shared" si="99"/>
        <v/>
      </c>
      <c r="BZ36" s="132" t="str">
        <f t="shared" si="100"/>
        <v/>
      </c>
      <c r="CA36" s="146"/>
      <c r="CB36" s="10" t="str">
        <f t="shared" si="101"/>
        <v/>
      </c>
      <c r="CC36" s="7" t="str">
        <f t="shared" si="102"/>
        <v/>
      </c>
      <c r="CD36" s="147"/>
      <c r="CE36" s="147"/>
      <c r="CF36" s="4"/>
      <c r="CG36" s="4"/>
      <c r="CH36" s="148">
        <f t="shared" ca="1" si="103"/>
        <v>2026</v>
      </c>
      <c r="CI36" s="121" t="str">
        <f t="shared" ca="1" si="104"/>
        <v>令和</v>
      </c>
      <c r="CJ36" s="122" t="str">
        <f t="shared" ca="1" si="105"/>
        <v>R</v>
      </c>
      <c r="CK36" s="122" t="str">
        <f t="shared" ca="1" si="106"/>
        <v>8</v>
      </c>
      <c r="CL36" s="122">
        <f t="shared" ca="1" si="107"/>
        <v>10</v>
      </c>
      <c r="CM36" s="149">
        <f t="shared" ca="1" si="108"/>
        <v>24</v>
      </c>
      <c r="CN36" s="1"/>
      <c r="CO36" s="150">
        <f t="shared" ca="1" si="109"/>
        <v>46319</v>
      </c>
    </row>
    <row r="37" spans="1:93" ht="20.100000000000001" customHeight="1" x14ac:dyDescent="0.15">
      <c r="A37" s="7" t="str">
        <f>IF(B37="","",ROW()-ROW(会員表[#Headers]))</f>
        <v/>
      </c>
      <c r="B37" s="4" ph="1"/>
      <c r="C37" s="4" t="str" cm="1">
        <f t="array" ref="C37">_xlfn.LET(_xlpm.s,PHONETIC(B37),_xlpm.c,_xlfn.UNICODE(MID(_xlpm.s,_xlfn.SEQUENCE(LEN(_xlpm.s)),1)),IF(_xlpm.s="","",_xlfn.CONCAT(_xlfn.UNICHAR(_xlpm.c-96*(_xlpm.c&gt;=12449)*(_xlpm.c&lt;=12534)))))</f>
        <v/>
      </c>
      <c r="D37" s="4" t="str" cm="1">
        <f t="array" ref="D37">_xlfn.LET(_xlpm.s,PHONETIC(B37),_xlpm.c,_xlfn.UNICODE(MID(_xlpm.s,_xlfn.SEQUENCE(LEN(_xlpm.s)),1)),IF(_xlpm.s="","",_xlfn.CONCAT(_xlfn.UNICHAR(_xlpm.c+96*(_xlpm.c&gt;=12353)*(_xlpm.c&lt;=12438)))))</f>
        <v/>
      </c>
      <c r="E37" s="129" t="str">
        <f t="shared" ca="1" si="55"/>
        <v/>
      </c>
      <c r="F37" s="130" t="str">
        <f t="shared" si="56"/>
        <v/>
      </c>
      <c r="G37" s="130" t="str">
        <f t="shared" si="57"/>
        <v/>
      </c>
      <c r="H37" s="130" t="str">
        <f t="shared" si="58"/>
        <v/>
      </c>
      <c r="I37" s="131" t="str">
        <f t="shared" si="59"/>
        <v/>
      </c>
      <c r="J37" s="132" t="str">
        <f t="shared" si="60"/>
        <v/>
      </c>
      <c r="K37" s="121" t="str">
        <f t="shared" si="61"/>
        <v/>
      </c>
      <c r="L37" s="129" t="str">
        <f t="shared" si="62"/>
        <v/>
      </c>
      <c r="M37" s="7" t="str">
        <f t="shared" si="63"/>
        <v/>
      </c>
      <c r="N37" s="133"/>
      <c r="O37" s="8"/>
      <c r="P37" s="5" t="str">
        <f t="shared" si="64"/>
        <v/>
      </c>
      <c r="Q37" s="121" t="str">
        <f t="shared" si="65"/>
        <v/>
      </c>
      <c r="R37" s="121" t="str">
        <f t="shared" si="66"/>
        <v/>
      </c>
      <c r="S37" s="7" t="str">
        <f t="shared" si="67"/>
        <v/>
      </c>
      <c r="T37" s="5"/>
      <c r="U37" s="5" t="str">
        <f t="shared" si="68"/>
        <v/>
      </c>
      <c r="V37" s="121" t="str">
        <f t="shared" si="69"/>
        <v/>
      </c>
      <c r="W37" s="121" t="str">
        <f t="shared" si="70"/>
        <v/>
      </c>
      <c r="X37" s="7" t="str">
        <f t="shared" si="71"/>
        <v/>
      </c>
      <c r="Y37" s="136"/>
      <c r="Z37" s="5" t="str">
        <f t="shared" si="72"/>
        <v/>
      </c>
      <c r="AA37" s="137" t="s">
        <v>183</v>
      </c>
      <c r="AB37" s="7" t="str">
        <f t="shared" si="73"/>
        <v/>
      </c>
      <c r="AC37" s="9"/>
      <c r="AD37" s="4"/>
      <c r="AE37" s="138" t="str">
        <f t="shared" si="74"/>
        <v/>
      </c>
      <c r="AF37" s="139" t="str">
        <f t="shared" si="75"/>
        <v/>
      </c>
      <c r="AG37" s="139" t="str">
        <f t="shared" si="76"/>
        <v/>
      </c>
      <c r="AH37" s="139" t="str">
        <f t="shared" si="77"/>
        <v/>
      </c>
      <c r="AI37" s="139" t="str">
        <f t="shared" si="78"/>
        <v/>
      </c>
      <c r="AJ37" s="140" t="str">
        <f t="shared" si="79"/>
        <v/>
      </c>
      <c r="AK37" s="8"/>
      <c r="AL37" s="8" t="str">
        <f>IF(AM37="","",IF(各種設定金額!$B$7="","○○県",各種設定金額!$B$7))</f>
        <v/>
      </c>
      <c r="AM37" s="4"/>
      <c r="AN37" s="4"/>
      <c r="AO37" s="141" t="str">
        <f t="shared" si="80"/>
        <v/>
      </c>
      <c r="AP37" s="10"/>
      <c r="AQ37" s="129"/>
      <c r="AR37" s="142" t="s">
        <v>182</v>
      </c>
      <c r="AS37" s="131" t="str">
        <f t="shared" si="81"/>
        <v/>
      </c>
      <c r="AT37" s="132" t="str">
        <f t="shared" si="82"/>
        <v/>
      </c>
      <c r="AU37" s="132" t="str">
        <f t="shared" si="83"/>
        <v/>
      </c>
      <c r="AV37" s="132" t="str">
        <f t="shared" si="84"/>
        <v/>
      </c>
      <c r="AW37" s="132" t="str">
        <f t="shared" si="85"/>
        <v/>
      </c>
      <c r="AX37" s="143" t="str">
        <f t="shared" si="86"/>
        <v/>
      </c>
      <c r="AY37" s="144"/>
      <c r="AZ37" s="8" t="str">
        <f>IF(BA37="","",IF(各種設定金額!$B$7="","○○県",各種設定金額!$B$7))</f>
        <v/>
      </c>
      <c r="BA37" s="4"/>
      <c r="BB37" s="4"/>
      <c r="BC37" s="141" t="str">
        <f t="shared" si="87"/>
        <v/>
      </c>
      <c r="BD37" s="10"/>
      <c r="BE37" s="129"/>
      <c r="BF37" s="145" t="s">
        <v>63</v>
      </c>
      <c r="BG37" s="131" t="str">
        <f t="shared" si="88"/>
        <v/>
      </c>
      <c r="BH37" s="132" t="str">
        <f t="shared" si="89"/>
        <v/>
      </c>
      <c r="BI37" s="132" t="str">
        <f t="shared" si="90"/>
        <v/>
      </c>
      <c r="BJ37" s="132" t="str">
        <f t="shared" si="91"/>
        <v/>
      </c>
      <c r="BK37" s="132" t="str">
        <f t="shared" si="92"/>
        <v/>
      </c>
      <c r="BL37" s="132" t="str">
        <f t="shared" si="93"/>
        <v/>
      </c>
      <c r="BM37" s="146"/>
      <c r="BN37" s="8" t="str">
        <f>IF(BO37="","",IF(各種設定金額!$B$7="","○○県",各種設定金額!$B$7))</f>
        <v/>
      </c>
      <c r="BO37" s="4"/>
      <c r="BP37" s="4"/>
      <c r="BQ37" s="141" t="str">
        <f t="shared" si="94"/>
        <v/>
      </c>
      <c r="BR37" s="10"/>
      <c r="BS37" s="129"/>
      <c r="BT37" s="145" t="s">
        <v>63</v>
      </c>
      <c r="BU37" s="131" t="str">
        <f t="shared" si="95"/>
        <v/>
      </c>
      <c r="BV37" s="132" t="str">
        <f t="shared" si="96"/>
        <v/>
      </c>
      <c r="BW37" s="132" t="str">
        <f t="shared" si="97"/>
        <v/>
      </c>
      <c r="BX37" s="132" t="str">
        <f t="shared" si="98"/>
        <v/>
      </c>
      <c r="BY37" s="132" t="str">
        <f t="shared" si="99"/>
        <v/>
      </c>
      <c r="BZ37" s="132" t="str">
        <f t="shared" si="100"/>
        <v/>
      </c>
      <c r="CA37" s="146"/>
      <c r="CB37" s="10" t="str">
        <f t="shared" si="101"/>
        <v/>
      </c>
      <c r="CC37" s="7" t="str">
        <f t="shared" si="102"/>
        <v/>
      </c>
      <c r="CD37" s="147"/>
      <c r="CE37" s="147"/>
      <c r="CF37" s="4"/>
      <c r="CG37" s="4"/>
      <c r="CH37" s="148">
        <f t="shared" ca="1" si="103"/>
        <v>2026</v>
      </c>
      <c r="CI37" s="121" t="str">
        <f t="shared" ca="1" si="104"/>
        <v>令和</v>
      </c>
      <c r="CJ37" s="122" t="str">
        <f t="shared" ca="1" si="105"/>
        <v>R</v>
      </c>
      <c r="CK37" s="122" t="str">
        <f t="shared" ca="1" si="106"/>
        <v>8</v>
      </c>
      <c r="CL37" s="122">
        <f t="shared" ca="1" si="107"/>
        <v>10</v>
      </c>
      <c r="CM37" s="149">
        <f t="shared" ca="1" si="108"/>
        <v>24</v>
      </c>
      <c r="CN37" s="1"/>
      <c r="CO37" s="150">
        <f t="shared" ca="1" si="109"/>
        <v>46319</v>
      </c>
    </row>
    <row r="38" spans="1:93" ht="20.100000000000001" customHeight="1" x14ac:dyDescent="0.15">
      <c r="A38" s="7" t="str">
        <f>IF(B38="","",ROW()-ROW(会員表[#Headers]))</f>
        <v/>
      </c>
      <c r="B38" s="4" ph="1"/>
      <c r="C38" s="4" t="str" cm="1">
        <f t="array" ref="C38">_xlfn.LET(_xlpm.s,PHONETIC(B38),_xlpm.c,_xlfn.UNICODE(MID(_xlpm.s,_xlfn.SEQUENCE(LEN(_xlpm.s)),1)),IF(_xlpm.s="","",_xlfn.CONCAT(_xlfn.UNICHAR(_xlpm.c-96*(_xlpm.c&gt;=12449)*(_xlpm.c&lt;=12534)))))</f>
        <v/>
      </c>
      <c r="D38" s="4" t="str" cm="1">
        <f t="array" ref="D38">_xlfn.LET(_xlpm.s,PHONETIC(B38),_xlpm.c,_xlfn.UNICODE(MID(_xlpm.s,_xlfn.SEQUENCE(LEN(_xlpm.s)),1)),IF(_xlpm.s="","",_xlfn.CONCAT(_xlfn.UNICHAR(_xlpm.c+96*(_xlpm.c&gt;=12353)*(_xlpm.c&lt;=12438)))))</f>
        <v/>
      </c>
      <c r="E38" s="129" t="str">
        <f t="shared" ca="1" si="55"/>
        <v/>
      </c>
      <c r="F38" s="130" t="str">
        <f t="shared" si="56"/>
        <v/>
      </c>
      <c r="G38" s="130" t="str">
        <f t="shared" si="57"/>
        <v/>
      </c>
      <c r="H38" s="130" t="str">
        <f t="shared" si="58"/>
        <v/>
      </c>
      <c r="I38" s="131" t="str">
        <f t="shared" si="59"/>
        <v/>
      </c>
      <c r="J38" s="132" t="str">
        <f t="shared" si="60"/>
        <v/>
      </c>
      <c r="K38" s="121" t="str">
        <f t="shared" si="61"/>
        <v/>
      </c>
      <c r="L38" s="129" t="str">
        <f t="shared" si="62"/>
        <v/>
      </c>
      <c r="M38" s="7" t="str">
        <f t="shared" si="63"/>
        <v/>
      </c>
      <c r="N38" s="133"/>
      <c r="O38" s="8"/>
      <c r="P38" s="5" t="str">
        <f t="shared" si="64"/>
        <v/>
      </c>
      <c r="Q38" s="121" t="str">
        <f t="shared" si="65"/>
        <v/>
      </c>
      <c r="R38" s="121" t="str">
        <f t="shared" si="66"/>
        <v/>
      </c>
      <c r="S38" s="7" t="str">
        <f t="shared" si="67"/>
        <v/>
      </c>
      <c r="T38" s="5"/>
      <c r="U38" s="5" t="str">
        <f t="shared" si="68"/>
        <v/>
      </c>
      <c r="V38" s="121" t="str">
        <f t="shared" si="69"/>
        <v/>
      </c>
      <c r="W38" s="121" t="str">
        <f t="shared" si="70"/>
        <v/>
      </c>
      <c r="X38" s="7" t="str">
        <f t="shared" si="71"/>
        <v/>
      </c>
      <c r="Y38" s="136"/>
      <c r="Z38" s="5" t="str">
        <f t="shared" si="72"/>
        <v/>
      </c>
      <c r="AA38" s="137" t="s">
        <v>183</v>
      </c>
      <c r="AB38" s="7" t="str">
        <f t="shared" si="73"/>
        <v/>
      </c>
      <c r="AC38" s="9"/>
      <c r="AD38" s="4"/>
      <c r="AE38" s="138" t="str">
        <f t="shared" si="74"/>
        <v/>
      </c>
      <c r="AF38" s="139" t="str">
        <f t="shared" si="75"/>
        <v/>
      </c>
      <c r="AG38" s="139" t="str">
        <f t="shared" si="76"/>
        <v/>
      </c>
      <c r="AH38" s="139" t="str">
        <f t="shared" si="77"/>
        <v/>
      </c>
      <c r="AI38" s="139" t="str">
        <f t="shared" si="78"/>
        <v/>
      </c>
      <c r="AJ38" s="140" t="str">
        <f t="shared" si="79"/>
        <v/>
      </c>
      <c r="AK38" s="8"/>
      <c r="AL38" s="8" t="str">
        <f>IF(AM38="","",IF(各種設定金額!$B$7="","○○県",各種設定金額!$B$7))</f>
        <v/>
      </c>
      <c r="AM38" s="4"/>
      <c r="AN38" s="4"/>
      <c r="AO38" s="141" t="str">
        <f t="shared" si="80"/>
        <v/>
      </c>
      <c r="AP38" s="10"/>
      <c r="AQ38" s="129"/>
      <c r="AR38" s="142" t="s">
        <v>182</v>
      </c>
      <c r="AS38" s="131" t="str">
        <f t="shared" si="81"/>
        <v/>
      </c>
      <c r="AT38" s="132" t="str">
        <f t="shared" si="82"/>
        <v/>
      </c>
      <c r="AU38" s="132" t="str">
        <f t="shared" si="83"/>
        <v/>
      </c>
      <c r="AV38" s="132" t="str">
        <f t="shared" si="84"/>
        <v/>
      </c>
      <c r="AW38" s="132" t="str">
        <f t="shared" si="85"/>
        <v/>
      </c>
      <c r="AX38" s="143" t="str">
        <f t="shared" si="86"/>
        <v/>
      </c>
      <c r="AY38" s="144"/>
      <c r="AZ38" s="8" t="str">
        <f>IF(BA38="","",IF(各種設定金額!$B$7="","○○県",各種設定金額!$B$7))</f>
        <v/>
      </c>
      <c r="BA38" s="6"/>
      <c r="BB38" s="4"/>
      <c r="BC38" s="141" t="str">
        <f t="shared" si="87"/>
        <v/>
      </c>
      <c r="BD38" s="10"/>
      <c r="BE38" s="129"/>
      <c r="BF38" s="145" t="s">
        <v>63</v>
      </c>
      <c r="BG38" s="131" t="str">
        <f t="shared" si="88"/>
        <v/>
      </c>
      <c r="BH38" s="132" t="str">
        <f t="shared" si="89"/>
        <v/>
      </c>
      <c r="BI38" s="132" t="str">
        <f t="shared" si="90"/>
        <v/>
      </c>
      <c r="BJ38" s="132" t="str">
        <f t="shared" si="91"/>
        <v/>
      </c>
      <c r="BK38" s="132" t="str">
        <f t="shared" si="92"/>
        <v/>
      </c>
      <c r="BL38" s="132" t="str">
        <f t="shared" si="93"/>
        <v/>
      </c>
      <c r="BM38" s="146"/>
      <c r="BN38" s="8" t="str">
        <f>IF(BO38="","",IF(各種設定金額!$B$7="","○○県",各種設定金額!$B$7))</f>
        <v/>
      </c>
      <c r="BO38" s="6"/>
      <c r="BP38" s="4"/>
      <c r="BQ38" s="141" t="str">
        <f t="shared" si="94"/>
        <v/>
      </c>
      <c r="BR38" s="10"/>
      <c r="BS38" s="129"/>
      <c r="BT38" s="145" t="s">
        <v>63</v>
      </c>
      <c r="BU38" s="131" t="str">
        <f t="shared" si="95"/>
        <v/>
      </c>
      <c r="BV38" s="132" t="str">
        <f t="shared" si="96"/>
        <v/>
      </c>
      <c r="BW38" s="132" t="str">
        <f t="shared" si="97"/>
        <v/>
      </c>
      <c r="BX38" s="132" t="str">
        <f t="shared" si="98"/>
        <v/>
      </c>
      <c r="BY38" s="132" t="str">
        <f t="shared" si="99"/>
        <v/>
      </c>
      <c r="BZ38" s="132" t="str">
        <f t="shared" si="100"/>
        <v/>
      </c>
      <c r="CA38" s="146"/>
      <c r="CB38" s="10" t="str">
        <f t="shared" si="101"/>
        <v/>
      </c>
      <c r="CC38" s="7" t="str">
        <f t="shared" si="102"/>
        <v/>
      </c>
      <c r="CD38" s="147"/>
      <c r="CE38" s="147"/>
      <c r="CF38" s="6"/>
      <c r="CG38" s="4"/>
      <c r="CH38" s="148">
        <f t="shared" ca="1" si="103"/>
        <v>2026</v>
      </c>
      <c r="CI38" s="121" t="str">
        <f t="shared" ca="1" si="104"/>
        <v>令和</v>
      </c>
      <c r="CJ38" s="122" t="str">
        <f t="shared" ca="1" si="105"/>
        <v>R</v>
      </c>
      <c r="CK38" s="122" t="str">
        <f t="shared" ca="1" si="106"/>
        <v>8</v>
      </c>
      <c r="CL38" s="122">
        <f t="shared" ca="1" si="107"/>
        <v>10</v>
      </c>
      <c r="CM38" s="149">
        <f t="shared" ca="1" si="108"/>
        <v>24</v>
      </c>
      <c r="CN38" s="1"/>
      <c r="CO38" s="150">
        <f t="shared" ca="1" si="109"/>
        <v>46319</v>
      </c>
    </row>
    <row r="39" spans="1:93" ht="20.100000000000001" customHeight="1" x14ac:dyDescent="0.15">
      <c r="A39" s="7" t="str">
        <f>IF(B39="","",ROW()-ROW(会員表[#Headers]))</f>
        <v/>
      </c>
      <c r="B39" s="4" ph="1"/>
      <c r="C39" s="4" t="str" cm="1">
        <f t="array" ref="C39">_xlfn.LET(_xlpm.s,PHONETIC(B39),_xlpm.c,_xlfn.UNICODE(MID(_xlpm.s,_xlfn.SEQUENCE(LEN(_xlpm.s)),1)),IF(_xlpm.s="","",_xlfn.CONCAT(_xlfn.UNICHAR(_xlpm.c-96*(_xlpm.c&gt;=12449)*(_xlpm.c&lt;=12534)))))</f>
        <v/>
      </c>
      <c r="D39" s="4" t="str" cm="1">
        <f t="array" ref="D39">_xlfn.LET(_xlpm.s,PHONETIC(B39),_xlpm.c,_xlfn.UNICODE(MID(_xlpm.s,_xlfn.SEQUENCE(LEN(_xlpm.s)),1)),IF(_xlpm.s="","",_xlfn.CONCAT(_xlfn.UNICHAR(_xlpm.c+96*(_xlpm.c&gt;=12353)*(_xlpm.c&lt;=12438)))))</f>
        <v/>
      </c>
      <c r="E39" s="129" t="str">
        <f t="shared" ca="1" si="55"/>
        <v/>
      </c>
      <c r="F39" s="130" t="str">
        <f t="shared" si="56"/>
        <v/>
      </c>
      <c r="G39" s="130" t="str">
        <f t="shared" si="57"/>
        <v/>
      </c>
      <c r="H39" s="130" t="str">
        <f t="shared" si="58"/>
        <v/>
      </c>
      <c r="I39" s="131" t="str">
        <f t="shared" si="59"/>
        <v/>
      </c>
      <c r="J39" s="132" t="str">
        <f t="shared" si="60"/>
        <v/>
      </c>
      <c r="K39" s="121" t="str">
        <f t="shared" si="61"/>
        <v/>
      </c>
      <c r="L39" s="129" t="str">
        <f t="shared" si="62"/>
        <v/>
      </c>
      <c r="M39" s="7" t="str">
        <f t="shared" si="63"/>
        <v/>
      </c>
      <c r="N39" s="133"/>
      <c r="O39" s="8"/>
      <c r="P39" s="5" t="str">
        <f t="shared" si="64"/>
        <v/>
      </c>
      <c r="Q39" s="121" t="str">
        <f t="shared" si="65"/>
        <v/>
      </c>
      <c r="R39" s="121" t="str">
        <f t="shared" si="66"/>
        <v/>
      </c>
      <c r="S39" s="7" t="str">
        <f t="shared" si="67"/>
        <v/>
      </c>
      <c r="T39" s="5"/>
      <c r="U39" s="5" t="str">
        <f t="shared" si="68"/>
        <v/>
      </c>
      <c r="V39" s="121" t="str">
        <f t="shared" si="69"/>
        <v/>
      </c>
      <c r="W39" s="121" t="str">
        <f t="shared" si="70"/>
        <v/>
      </c>
      <c r="X39" s="7" t="str">
        <f t="shared" si="71"/>
        <v/>
      </c>
      <c r="Y39" s="136"/>
      <c r="Z39" s="5" t="str">
        <f t="shared" si="72"/>
        <v/>
      </c>
      <c r="AA39" s="137" t="s">
        <v>183</v>
      </c>
      <c r="AB39" s="7" t="str">
        <f t="shared" si="73"/>
        <v/>
      </c>
      <c r="AC39" s="9"/>
      <c r="AD39" s="4"/>
      <c r="AE39" s="138" t="str">
        <f t="shared" si="74"/>
        <v/>
      </c>
      <c r="AF39" s="139" t="str">
        <f t="shared" si="75"/>
        <v/>
      </c>
      <c r="AG39" s="139" t="str">
        <f t="shared" si="76"/>
        <v/>
      </c>
      <c r="AH39" s="139" t="str">
        <f t="shared" si="77"/>
        <v/>
      </c>
      <c r="AI39" s="139" t="str">
        <f t="shared" si="78"/>
        <v/>
      </c>
      <c r="AJ39" s="140" t="str">
        <f t="shared" si="79"/>
        <v/>
      </c>
      <c r="AK39" s="8"/>
      <c r="AL39" s="8" t="str">
        <f>IF(AM39="","",IF(各種設定金額!$B$7="","○○県",各種設定金額!$B$7))</f>
        <v/>
      </c>
      <c r="AM39" s="4"/>
      <c r="AN39" s="4"/>
      <c r="AO39" s="141" t="str">
        <f t="shared" si="80"/>
        <v/>
      </c>
      <c r="AP39" s="10"/>
      <c r="AQ39" s="129"/>
      <c r="AR39" s="142" t="s">
        <v>182</v>
      </c>
      <c r="AS39" s="131" t="str">
        <f t="shared" si="81"/>
        <v/>
      </c>
      <c r="AT39" s="132" t="str">
        <f t="shared" si="82"/>
        <v/>
      </c>
      <c r="AU39" s="132" t="str">
        <f t="shared" si="83"/>
        <v/>
      </c>
      <c r="AV39" s="132" t="str">
        <f t="shared" si="84"/>
        <v/>
      </c>
      <c r="AW39" s="132" t="str">
        <f t="shared" si="85"/>
        <v/>
      </c>
      <c r="AX39" s="143" t="str">
        <f t="shared" si="86"/>
        <v/>
      </c>
      <c r="AY39" s="144"/>
      <c r="AZ39" s="8" t="str">
        <f>IF(BA39="","",IF(各種設定金額!$B$7="","○○県",各種設定金額!$B$7))</f>
        <v/>
      </c>
      <c r="BA39" s="4"/>
      <c r="BB39" s="4"/>
      <c r="BC39" s="141" t="str">
        <f t="shared" si="87"/>
        <v/>
      </c>
      <c r="BD39" s="10"/>
      <c r="BE39" s="129"/>
      <c r="BF39" s="145" t="s">
        <v>63</v>
      </c>
      <c r="BG39" s="131" t="str">
        <f t="shared" si="88"/>
        <v/>
      </c>
      <c r="BH39" s="132" t="str">
        <f t="shared" si="89"/>
        <v/>
      </c>
      <c r="BI39" s="132" t="str">
        <f t="shared" si="90"/>
        <v/>
      </c>
      <c r="BJ39" s="132" t="str">
        <f t="shared" si="91"/>
        <v/>
      </c>
      <c r="BK39" s="132" t="str">
        <f t="shared" si="92"/>
        <v/>
      </c>
      <c r="BL39" s="132" t="str">
        <f t="shared" si="93"/>
        <v/>
      </c>
      <c r="BM39" s="146"/>
      <c r="BN39" s="8" t="str">
        <f>IF(BO39="","",IF(各種設定金額!$B$7="","○○県",各種設定金額!$B$7))</f>
        <v/>
      </c>
      <c r="BO39" s="4"/>
      <c r="BP39" s="4"/>
      <c r="BQ39" s="141" t="str">
        <f t="shared" si="94"/>
        <v/>
      </c>
      <c r="BR39" s="10"/>
      <c r="BS39" s="129"/>
      <c r="BT39" s="145" t="s">
        <v>63</v>
      </c>
      <c r="BU39" s="131" t="str">
        <f t="shared" si="95"/>
        <v/>
      </c>
      <c r="BV39" s="132" t="str">
        <f t="shared" si="96"/>
        <v/>
      </c>
      <c r="BW39" s="132" t="str">
        <f t="shared" si="97"/>
        <v/>
      </c>
      <c r="BX39" s="132" t="str">
        <f t="shared" si="98"/>
        <v/>
      </c>
      <c r="BY39" s="132" t="str">
        <f t="shared" si="99"/>
        <v/>
      </c>
      <c r="BZ39" s="132" t="str">
        <f t="shared" si="100"/>
        <v/>
      </c>
      <c r="CA39" s="146"/>
      <c r="CB39" s="10" t="str">
        <f t="shared" si="101"/>
        <v/>
      </c>
      <c r="CC39" s="7" t="str">
        <f t="shared" si="102"/>
        <v/>
      </c>
      <c r="CD39" s="147"/>
      <c r="CE39" s="147"/>
      <c r="CF39" s="4"/>
      <c r="CG39" s="4"/>
      <c r="CH39" s="148">
        <f t="shared" ca="1" si="103"/>
        <v>2026</v>
      </c>
      <c r="CI39" s="121" t="str">
        <f t="shared" ca="1" si="104"/>
        <v>令和</v>
      </c>
      <c r="CJ39" s="122" t="str">
        <f t="shared" ca="1" si="105"/>
        <v>R</v>
      </c>
      <c r="CK39" s="122" t="str">
        <f t="shared" ca="1" si="106"/>
        <v>8</v>
      </c>
      <c r="CL39" s="122">
        <f t="shared" ca="1" si="107"/>
        <v>10</v>
      </c>
      <c r="CM39" s="149">
        <f t="shared" ca="1" si="108"/>
        <v>24</v>
      </c>
      <c r="CN39" s="1"/>
      <c r="CO39" s="150">
        <f t="shared" ca="1" si="109"/>
        <v>46319</v>
      </c>
    </row>
    <row r="40" spans="1:93" ht="20.100000000000001" customHeight="1" x14ac:dyDescent="0.15">
      <c r="A40" s="7" t="str">
        <f>IF(B40="","",ROW()-ROW(会員表[#Headers]))</f>
        <v/>
      </c>
      <c r="B40" s="4" ph="1"/>
      <c r="C40" s="4" t="str" cm="1">
        <f t="array" ref="C40">_xlfn.LET(_xlpm.s,PHONETIC(B40),_xlpm.c,_xlfn.UNICODE(MID(_xlpm.s,_xlfn.SEQUENCE(LEN(_xlpm.s)),1)),IF(_xlpm.s="","",_xlfn.CONCAT(_xlfn.UNICHAR(_xlpm.c-96*(_xlpm.c&gt;=12449)*(_xlpm.c&lt;=12534)))))</f>
        <v/>
      </c>
      <c r="D40" s="4" t="str" cm="1">
        <f t="array" ref="D40">_xlfn.LET(_xlpm.s,PHONETIC(B40),_xlpm.c,_xlfn.UNICODE(MID(_xlpm.s,_xlfn.SEQUENCE(LEN(_xlpm.s)),1)),IF(_xlpm.s="","",_xlfn.CONCAT(_xlfn.UNICHAR(_xlpm.c+96*(_xlpm.c&gt;=12353)*(_xlpm.c&lt;=12438)))))</f>
        <v/>
      </c>
      <c r="E40" s="129" t="str">
        <f t="shared" ca="1" si="55"/>
        <v/>
      </c>
      <c r="F40" s="130" t="str">
        <f t="shared" si="56"/>
        <v/>
      </c>
      <c r="G40" s="130" t="str">
        <f t="shared" si="57"/>
        <v/>
      </c>
      <c r="H40" s="130" t="str">
        <f t="shared" si="58"/>
        <v/>
      </c>
      <c r="I40" s="131" t="str">
        <f t="shared" si="59"/>
        <v/>
      </c>
      <c r="J40" s="132" t="str">
        <f t="shared" si="60"/>
        <v/>
      </c>
      <c r="K40" s="121" t="str">
        <f t="shared" si="61"/>
        <v/>
      </c>
      <c r="L40" s="129" t="str">
        <f t="shared" si="62"/>
        <v/>
      </c>
      <c r="M40" s="7" t="str">
        <f t="shared" si="63"/>
        <v/>
      </c>
      <c r="N40" s="133"/>
      <c r="O40" s="8"/>
      <c r="P40" s="5" t="str">
        <f t="shared" si="64"/>
        <v/>
      </c>
      <c r="Q40" s="121" t="str">
        <f t="shared" si="65"/>
        <v/>
      </c>
      <c r="R40" s="121" t="str">
        <f t="shared" si="66"/>
        <v/>
      </c>
      <c r="S40" s="7" t="str">
        <f t="shared" si="67"/>
        <v/>
      </c>
      <c r="T40" s="5"/>
      <c r="U40" s="5" t="str">
        <f t="shared" si="68"/>
        <v/>
      </c>
      <c r="V40" s="121" t="str">
        <f t="shared" si="69"/>
        <v/>
      </c>
      <c r="W40" s="121" t="str">
        <f t="shared" si="70"/>
        <v/>
      </c>
      <c r="X40" s="7" t="str">
        <f t="shared" si="71"/>
        <v/>
      </c>
      <c r="Y40" s="136"/>
      <c r="Z40" s="5" t="str">
        <f t="shared" si="72"/>
        <v/>
      </c>
      <c r="AA40" s="137" t="s">
        <v>183</v>
      </c>
      <c r="AB40" s="7" t="str">
        <f t="shared" si="73"/>
        <v/>
      </c>
      <c r="AC40" s="9"/>
      <c r="AD40" s="4"/>
      <c r="AE40" s="138" t="str">
        <f t="shared" si="74"/>
        <v/>
      </c>
      <c r="AF40" s="139" t="str">
        <f t="shared" si="75"/>
        <v/>
      </c>
      <c r="AG40" s="139" t="str">
        <f t="shared" si="76"/>
        <v/>
      </c>
      <c r="AH40" s="139" t="str">
        <f t="shared" si="77"/>
        <v/>
      </c>
      <c r="AI40" s="139" t="str">
        <f t="shared" si="78"/>
        <v/>
      </c>
      <c r="AJ40" s="140" t="str">
        <f t="shared" si="79"/>
        <v/>
      </c>
      <c r="AK40" s="8"/>
      <c r="AL40" s="8" t="str">
        <f>IF(AM40="","",IF(各種設定金額!$B$7="","○○県",各種設定金額!$B$7))</f>
        <v/>
      </c>
      <c r="AM40" s="4"/>
      <c r="AN40" s="4"/>
      <c r="AO40" s="141" t="str">
        <f t="shared" si="80"/>
        <v/>
      </c>
      <c r="AP40" s="10"/>
      <c r="AQ40" s="129"/>
      <c r="AR40" s="142" t="s">
        <v>182</v>
      </c>
      <c r="AS40" s="131" t="str">
        <f t="shared" si="81"/>
        <v/>
      </c>
      <c r="AT40" s="132" t="str">
        <f t="shared" si="82"/>
        <v/>
      </c>
      <c r="AU40" s="132" t="str">
        <f t="shared" si="83"/>
        <v/>
      </c>
      <c r="AV40" s="132" t="str">
        <f t="shared" si="84"/>
        <v/>
      </c>
      <c r="AW40" s="132" t="str">
        <f t="shared" si="85"/>
        <v/>
      </c>
      <c r="AX40" s="143" t="str">
        <f t="shared" si="86"/>
        <v/>
      </c>
      <c r="AY40" s="144"/>
      <c r="AZ40" s="8" t="str">
        <f>IF(BA40="","",IF(各種設定金額!$B$7="","○○県",各種設定金額!$B$7))</f>
        <v/>
      </c>
      <c r="BA40" s="6"/>
      <c r="BB40" s="4"/>
      <c r="BC40" s="141" t="str">
        <f t="shared" si="87"/>
        <v/>
      </c>
      <c r="BD40" s="10"/>
      <c r="BE40" s="129"/>
      <c r="BF40" s="145" t="s">
        <v>63</v>
      </c>
      <c r="BG40" s="131" t="str">
        <f t="shared" si="88"/>
        <v/>
      </c>
      <c r="BH40" s="132" t="str">
        <f t="shared" si="89"/>
        <v/>
      </c>
      <c r="BI40" s="132" t="str">
        <f t="shared" si="90"/>
        <v/>
      </c>
      <c r="BJ40" s="132" t="str">
        <f t="shared" si="91"/>
        <v/>
      </c>
      <c r="BK40" s="132" t="str">
        <f t="shared" si="92"/>
        <v/>
      </c>
      <c r="BL40" s="132" t="str">
        <f t="shared" si="93"/>
        <v/>
      </c>
      <c r="BM40" s="146"/>
      <c r="BN40" s="8" t="str">
        <f>IF(BO40="","",IF(各種設定金額!$B$7="","○○県",各種設定金額!$B$7))</f>
        <v/>
      </c>
      <c r="BO40" s="6"/>
      <c r="BP40" s="4"/>
      <c r="BQ40" s="141" t="str">
        <f t="shared" si="94"/>
        <v/>
      </c>
      <c r="BR40" s="10"/>
      <c r="BS40" s="129"/>
      <c r="BT40" s="145" t="s">
        <v>63</v>
      </c>
      <c r="BU40" s="131" t="str">
        <f t="shared" si="95"/>
        <v/>
      </c>
      <c r="BV40" s="132" t="str">
        <f t="shared" si="96"/>
        <v/>
      </c>
      <c r="BW40" s="132" t="str">
        <f t="shared" si="97"/>
        <v/>
      </c>
      <c r="BX40" s="132" t="str">
        <f t="shared" si="98"/>
        <v/>
      </c>
      <c r="BY40" s="132" t="str">
        <f t="shared" si="99"/>
        <v/>
      </c>
      <c r="BZ40" s="132" t="str">
        <f t="shared" si="100"/>
        <v/>
      </c>
      <c r="CA40" s="146"/>
      <c r="CB40" s="10" t="str">
        <f t="shared" si="101"/>
        <v/>
      </c>
      <c r="CC40" s="7" t="str">
        <f t="shared" si="102"/>
        <v/>
      </c>
      <c r="CD40" s="147"/>
      <c r="CE40" s="147"/>
      <c r="CF40" s="6"/>
      <c r="CG40" s="4"/>
      <c r="CH40" s="148">
        <f t="shared" ca="1" si="103"/>
        <v>2026</v>
      </c>
      <c r="CI40" s="121" t="str">
        <f t="shared" ca="1" si="104"/>
        <v>令和</v>
      </c>
      <c r="CJ40" s="122" t="str">
        <f t="shared" ca="1" si="105"/>
        <v>R</v>
      </c>
      <c r="CK40" s="122" t="str">
        <f t="shared" ca="1" si="106"/>
        <v>8</v>
      </c>
      <c r="CL40" s="122">
        <f t="shared" ca="1" si="107"/>
        <v>10</v>
      </c>
      <c r="CM40" s="149">
        <f t="shared" ca="1" si="108"/>
        <v>24</v>
      </c>
      <c r="CN40" s="1"/>
      <c r="CO40" s="150">
        <f t="shared" ca="1" si="109"/>
        <v>46319</v>
      </c>
    </row>
    <row r="41" spans="1:93" ht="20.100000000000001" customHeight="1" x14ac:dyDescent="0.15">
      <c r="A41" s="7" t="str">
        <f>IF(B41="","",ROW()-ROW(会員表[#Headers]))</f>
        <v/>
      </c>
      <c r="B41" s="4" ph="1"/>
      <c r="C41" s="4" t="str" cm="1">
        <f t="array" ref="C41">_xlfn.LET(_xlpm.s,PHONETIC(B41),_xlpm.c,_xlfn.UNICODE(MID(_xlpm.s,_xlfn.SEQUENCE(LEN(_xlpm.s)),1)),IF(_xlpm.s="","",_xlfn.CONCAT(_xlfn.UNICHAR(_xlpm.c-96*(_xlpm.c&gt;=12449)*(_xlpm.c&lt;=12534)))))</f>
        <v/>
      </c>
      <c r="D41" s="4" t="str" cm="1">
        <f t="array" ref="D41">_xlfn.LET(_xlpm.s,PHONETIC(B41),_xlpm.c,_xlfn.UNICODE(MID(_xlpm.s,_xlfn.SEQUENCE(LEN(_xlpm.s)),1)),IF(_xlpm.s="","",_xlfn.CONCAT(_xlfn.UNICHAR(_xlpm.c+96*(_xlpm.c&gt;=12353)*(_xlpm.c&lt;=12438)))))</f>
        <v/>
      </c>
      <c r="E41" s="129" t="str">
        <f t="shared" ca="1" si="55"/>
        <v/>
      </c>
      <c r="F41" s="130" t="str">
        <f t="shared" si="56"/>
        <v/>
      </c>
      <c r="G41" s="130" t="str">
        <f t="shared" si="57"/>
        <v/>
      </c>
      <c r="H41" s="130" t="str">
        <f t="shared" si="58"/>
        <v/>
      </c>
      <c r="I41" s="131" t="str">
        <f t="shared" si="59"/>
        <v/>
      </c>
      <c r="J41" s="132" t="str">
        <f t="shared" si="60"/>
        <v/>
      </c>
      <c r="K41" s="121" t="str">
        <f t="shared" si="61"/>
        <v/>
      </c>
      <c r="L41" s="129" t="str">
        <f t="shared" si="62"/>
        <v/>
      </c>
      <c r="M41" s="7" t="str">
        <f t="shared" si="63"/>
        <v/>
      </c>
      <c r="N41" s="133"/>
      <c r="O41" s="8"/>
      <c r="P41" s="5" t="str">
        <f t="shared" si="64"/>
        <v/>
      </c>
      <c r="Q41" s="121" t="str">
        <f t="shared" si="65"/>
        <v/>
      </c>
      <c r="R41" s="121" t="str">
        <f t="shared" si="66"/>
        <v/>
      </c>
      <c r="S41" s="7" t="str">
        <f t="shared" si="67"/>
        <v/>
      </c>
      <c r="T41" s="4"/>
      <c r="U41" s="5" t="str">
        <f t="shared" si="68"/>
        <v/>
      </c>
      <c r="V41" s="121" t="str">
        <f t="shared" si="69"/>
        <v/>
      </c>
      <c r="W41" s="121" t="str">
        <f t="shared" si="70"/>
        <v/>
      </c>
      <c r="X41" s="7" t="str">
        <f t="shared" si="71"/>
        <v/>
      </c>
      <c r="Y41" s="136"/>
      <c r="Z41" s="5" t="str">
        <f t="shared" si="72"/>
        <v/>
      </c>
      <c r="AA41" s="137" t="s">
        <v>183</v>
      </c>
      <c r="AB41" s="7" t="str">
        <f t="shared" si="73"/>
        <v/>
      </c>
      <c r="AC41" s="157"/>
      <c r="AD41" s="4"/>
      <c r="AE41" s="138" t="str">
        <f t="shared" si="74"/>
        <v/>
      </c>
      <c r="AF41" s="139" t="str">
        <f t="shared" si="75"/>
        <v/>
      </c>
      <c r="AG41" s="139" t="str">
        <f t="shared" si="76"/>
        <v/>
      </c>
      <c r="AH41" s="139" t="str">
        <f t="shared" si="77"/>
        <v/>
      </c>
      <c r="AI41" s="139" t="str">
        <f t="shared" si="78"/>
        <v/>
      </c>
      <c r="AJ41" s="140" t="str">
        <f t="shared" si="79"/>
        <v/>
      </c>
      <c r="AK41" s="8"/>
      <c r="AL41" s="8" t="str">
        <f>IF(AM41="","",IF(各種設定金額!$B$7="","○○県",各種設定金額!$B$7))</f>
        <v/>
      </c>
      <c r="AM41" s="4"/>
      <c r="AN41" s="4"/>
      <c r="AO41" s="141" t="str">
        <f t="shared" si="80"/>
        <v/>
      </c>
      <c r="AP41" s="10"/>
      <c r="AQ41" s="129"/>
      <c r="AR41" s="142" t="s">
        <v>182</v>
      </c>
      <c r="AS41" s="131" t="str">
        <f t="shared" si="81"/>
        <v/>
      </c>
      <c r="AT41" s="132" t="str">
        <f t="shared" si="82"/>
        <v/>
      </c>
      <c r="AU41" s="132" t="str">
        <f t="shared" si="83"/>
        <v/>
      </c>
      <c r="AV41" s="132" t="str">
        <f t="shared" si="84"/>
        <v/>
      </c>
      <c r="AW41" s="132" t="str">
        <f t="shared" si="85"/>
        <v/>
      </c>
      <c r="AX41" s="143" t="str">
        <f t="shared" si="86"/>
        <v/>
      </c>
      <c r="AY41" s="144"/>
      <c r="AZ41" s="8" t="str">
        <f>IF(BA41="","",IF(各種設定金額!$B$7="","○○県",各種設定金額!$B$7))</f>
        <v/>
      </c>
      <c r="BA41" s="4"/>
      <c r="BB41" s="4"/>
      <c r="BC41" s="141" t="str">
        <f t="shared" si="87"/>
        <v/>
      </c>
      <c r="BD41" s="10"/>
      <c r="BE41" s="129"/>
      <c r="BF41" s="145" t="s">
        <v>63</v>
      </c>
      <c r="BG41" s="131" t="str">
        <f t="shared" si="88"/>
        <v/>
      </c>
      <c r="BH41" s="132" t="str">
        <f t="shared" si="89"/>
        <v/>
      </c>
      <c r="BI41" s="132" t="str">
        <f t="shared" si="90"/>
        <v/>
      </c>
      <c r="BJ41" s="132" t="str">
        <f t="shared" si="91"/>
        <v/>
      </c>
      <c r="BK41" s="132" t="str">
        <f t="shared" si="92"/>
        <v/>
      </c>
      <c r="BL41" s="132" t="str">
        <f t="shared" si="93"/>
        <v/>
      </c>
      <c r="BM41" s="146"/>
      <c r="BN41" s="8" t="str">
        <f>IF(BO41="","",IF(各種設定金額!$B$7="","○○県",各種設定金額!$B$7))</f>
        <v/>
      </c>
      <c r="BO41" s="4"/>
      <c r="BP41" s="4"/>
      <c r="BQ41" s="141" t="str">
        <f t="shared" si="94"/>
        <v/>
      </c>
      <c r="BR41" s="10"/>
      <c r="BS41" s="129"/>
      <c r="BT41" s="145" t="s">
        <v>63</v>
      </c>
      <c r="BU41" s="131" t="str">
        <f t="shared" si="95"/>
        <v/>
      </c>
      <c r="BV41" s="132" t="str">
        <f t="shared" si="96"/>
        <v/>
      </c>
      <c r="BW41" s="132" t="str">
        <f t="shared" si="97"/>
        <v/>
      </c>
      <c r="BX41" s="132" t="str">
        <f t="shared" si="98"/>
        <v/>
      </c>
      <c r="BY41" s="132" t="str">
        <f t="shared" si="99"/>
        <v/>
      </c>
      <c r="BZ41" s="132" t="str">
        <f t="shared" si="100"/>
        <v/>
      </c>
      <c r="CA41" s="146"/>
      <c r="CB41" s="10" t="str">
        <f t="shared" si="101"/>
        <v/>
      </c>
      <c r="CC41" s="7" t="str">
        <f t="shared" si="102"/>
        <v/>
      </c>
      <c r="CD41" s="147"/>
      <c r="CE41" s="147"/>
      <c r="CF41" s="4"/>
      <c r="CG41" s="4"/>
      <c r="CH41" s="148">
        <f t="shared" ca="1" si="103"/>
        <v>2026</v>
      </c>
      <c r="CI41" s="121" t="str">
        <f t="shared" ca="1" si="104"/>
        <v>令和</v>
      </c>
      <c r="CJ41" s="122" t="str">
        <f t="shared" ca="1" si="105"/>
        <v>R</v>
      </c>
      <c r="CK41" s="122" t="str">
        <f t="shared" ca="1" si="106"/>
        <v>8</v>
      </c>
      <c r="CL41" s="122">
        <f t="shared" ca="1" si="107"/>
        <v>10</v>
      </c>
      <c r="CM41" s="149">
        <f t="shared" ca="1" si="108"/>
        <v>24</v>
      </c>
      <c r="CN41" s="1"/>
      <c r="CO41" s="150">
        <f t="shared" ca="1" si="109"/>
        <v>46319</v>
      </c>
    </row>
    <row r="42" spans="1:93" ht="20.100000000000001" customHeight="1" x14ac:dyDescent="0.15">
      <c r="A42" s="7" t="str">
        <f>IF(B42="","",ROW()-ROW(会員表[#Headers]))</f>
        <v/>
      </c>
      <c r="B42" s="4" ph="1"/>
      <c r="C42" s="4" t="str" cm="1">
        <f t="array" ref="C42">_xlfn.LET(_xlpm.s,PHONETIC(B42),_xlpm.c,_xlfn.UNICODE(MID(_xlpm.s,_xlfn.SEQUENCE(LEN(_xlpm.s)),1)),IF(_xlpm.s="","",_xlfn.CONCAT(_xlfn.UNICHAR(_xlpm.c-96*(_xlpm.c&gt;=12449)*(_xlpm.c&lt;=12534)))))</f>
        <v/>
      </c>
      <c r="D42" s="4" t="str" cm="1">
        <f t="array" ref="D42">_xlfn.LET(_xlpm.s,PHONETIC(B42),_xlpm.c,_xlfn.UNICODE(MID(_xlpm.s,_xlfn.SEQUENCE(LEN(_xlpm.s)),1)),IF(_xlpm.s="","",_xlfn.CONCAT(_xlfn.UNICHAR(_xlpm.c+96*(_xlpm.c&gt;=12353)*(_xlpm.c&lt;=12438)))))</f>
        <v/>
      </c>
      <c r="E42" s="129" t="str">
        <f t="shared" ca="1" si="55"/>
        <v/>
      </c>
      <c r="F42" s="130" t="str">
        <f t="shared" si="56"/>
        <v/>
      </c>
      <c r="G42" s="130" t="str">
        <f t="shared" si="57"/>
        <v/>
      </c>
      <c r="H42" s="130" t="str">
        <f t="shared" si="58"/>
        <v/>
      </c>
      <c r="I42" s="131" t="str">
        <f t="shared" si="59"/>
        <v/>
      </c>
      <c r="J42" s="132" t="str">
        <f t="shared" si="60"/>
        <v/>
      </c>
      <c r="K42" s="121" t="str">
        <f t="shared" si="61"/>
        <v/>
      </c>
      <c r="L42" s="129" t="str">
        <f t="shared" si="62"/>
        <v/>
      </c>
      <c r="M42" s="7" t="str">
        <f t="shared" si="63"/>
        <v/>
      </c>
      <c r="N42" s="133"/>
      <c r="O42" s="8"/>
      <c r="P42" s="5" t="str">
        <f t="shared" si="64"/>
        <v/>
      </c>
      <c r="Q42" s="121" t="str">
        <f t="shared" si="65"/>
        <v/>
      </c>
      <c r="R42" s="121" t="str">
        <f t="shared" si="66"/>
        <v/>
      </c>
      <c r="S42" s="7" t="str">
        <f t="shared" si="67"/>
        <v/>
      </c>
      <c r="T42" s="5"/>
      <c r="U42" s="5" t="str">
        <f t="shared" si="68"/>
        <v/>
      </c>
      <c r="V42" s="121" t="str">
        <f t="shared" si="69"/>
        <v/>
      </c>
      <c r="W42" s="121" t="str">
        <f t="shared" si="70"/>
        <v/>
      </c>
      <c r="X42" s="7" t="str">
        <f t="shared" si="71"/>
        <v/>
      </c>
      <c r="Y42" s="136"/>
      <c r="Z42" s="5" t="str">
        <f t="shared" si="72"/>
        <v/>
      </c>
      <c r="AA42" s="137" t="s">
        <v>183</v>
      </c>
      <c r="AB42" s="7" t="str">
        <f t="shared" si="73"/>
        <v/>
      </c>
      <c r="AC42" s="9"/>
      <c r="AD42" s="4"/>
      <c r="AE42" s="138" t="str">
        <f t="shared" si="74"/>
        <v/>
      </c>
      <c r="AF42" s="139" t="str">
        <f t="shared" si="75"/>
        <v/>
      </c>
      <c r="AG42" s="139" t="str">
        <f t="shared" si="76"/>
        <v/>
      </c>
      <c r="AH42" s="139" t="str">
        <f t="shared" si="77"/>
        <v/>
      </c>
      <c r="AI42" s="139" t="str">
        <f t="shared" si="78"/>
        <v/>
      </c>
      <c r="AJ42" s="140" t="str">
        <f t="shared" si="79"/>
        <v/>
      </c>
      <c r="AK42" s="8"/>
      <c r="AL42" s="8" t="str">
        <f>IF(AM42="","",IF(各種設定金額!$B$7="","○○県",各種設定金額!$B$7))</f>
        <v/>
      </c>
      <c r="AM42" s="4"/>
      <c r="AN42" s="4"/>
      <c r="AO42" s="141" t="str">
        <f t="shared" si="80"/>
        <v/>
      </c>
      <c r="AP42" s="10"/>
      <c r="AQ42" s="129"/>
      <c r="AR42" s="142" t="s">
        <v>182</v>
      </c>
      <c r="AS42" s="131" t="str">
        <f t="shared" si="81"/>
        <v/>
      </c>
      <c r="AT42" s="132" t="str">
        <f t="shared" si="82"/>
        <v/>
      </c>
      <c r="AU42" s="132" t="str">
        <f t="shared" si="83"/>
        <v/>
      </c>
      <c r="AV42" s="132" t="str">
        <f t="shared" si="84"/>
        <v/>
      </c>
      <c r="AW42" s="132" t="str">
        <f t="shared" si="85"/>
        <v/>
      </c>
      <c r="AX42" s="143" t="str">
        <f t="shared" si="86"/>
        <v/>
      </c>
      <c r="AY42" s="144"/>
      <c r="AZ42" s="8" t="str">
        <f>IF(BA42="","",IF(各種設定金額!$B$7="","○○県",各種設定金額!$B$7))</f>
        <v/>
      </c>
      <c r="BA42" s="4"/>
      <c r="BB42" s="4"/>
      <c r="BC42" s="141" t="str">
        <f t="shared" si="87"/>
        <v/>
      </c>
      <c r="BD42" s="10"/>
      <c r="BE42" s="129"/>
      <c r="BF42" s="145" t="s">
        <v>63</v>
      </c>
      <c r="BG42" s="131" t="str">
        <f t="shared" si="88"/>
        <v/>
      </c>
      <c r="BH42" s="132" t="str">
        <f t="shared" si="89"/>
        <v/>
      </c>
      <c r="BI42" s="132" t="str">
        <f t="shared" si="90"/>
        <v/>
      </c>
      <c r="BJ42" s="132" t="str">
        <f t="shared" si="91"/>
        <v/>
      </c>
      <c r="BK42" s="132" t="str">
        <f t="shared" si="92"/>
        <v/>
      </c>
      <c r="BL42" s="132" t="str">
        <f t="shared" si="93"/>
        <v/>
      </c>
      <c r="BM42" s="146"/>
      <c r="BN42" s="8" t="str">
        <f>IF(BO42="","",IF(各種設定金額!$B$7="","○○県",各種設定金額!$B$7))</f>
        <v/>
      </c>
      <c r="BO42" s="4"/>
      <c r="BP42" s="4"/>
      <c r="BQ42" s="141" t="str">
        <f t="shared" si="94"/>
        <v/>
      </c>
      <c r="BR42" s="10"/>
      <c r="BS42" s="129"/>
      <c r="BT42" s="145" t="s">
        <v>63</v>
      </c>
      <c r="BU42" s="131" t="str">
        <f t="shared" si="95"/>
        <v/>
      </c>
      <c r="BV42" s="132" t="str">
        <f t="shared" si="96"/>
        <v/>
      </c>
      <c r="BW42" s="132" t="str">
        <f t="shared" si="97"/>
        <v/>
      </c>
      <c r="BX42" s="132" t="str">
        <f t="shared" si="98"/>
        <v/>
      </c>
      <c r="BY42" s="132" t="str">
        <f t="shared" si="99"/>
        <v/>
      </c>
      <c r="BZ42" s="132" t="str">
        <f t="shared" si="100"/>
        <v/>
      </c>
      <c r="CA42" s="146"/>
      <c r="CB42" s="10" t="str">
        <f t="shared" si="101"/>
        <v/>
      </c>
      <c r="CC42" s="7" t="str">
        <f t="shared" si="102"/>
        <v/>
      </c>
      <c r="CD42" s="147"/>
      <c r="CE42" s="147"/>
      <c r="CF42" s="4"/>
      <c r="CG42" s="4"/>
      <c r="CH42" s="148">
        <f t="shared" ca="1" si="103"/>
        <v>2026</v>
      </c>
      <c r="CI42" s="121" t="str">
        <f t="shared" ca="1" si="104"/>
        <v>令和</v>
      </c>
      <c r="CJ42" s="122" t="str">
        <f t="shared" ca="1" si="105"/>
        <v>R</v>
      </c>
      <c r="CK42" s="122" t="str">
        <f t="shared" ca="1" si="106"/>
        <v>8</v>
      </c>
      <c r="CL42" s="122">
        <f t="shared" ca="1" si="107"/>
        <v>10</v>
      </c>
      <c r="CM42" s="149">
        <f t="shared" ca="1" si="108"/>
        <v>24</v>
      </c>
      <c r="CN42" s="1"/>
      <c r="CO42" s="150">
        <f t="shared" ca="1" si="109"/>
        <v>46319</v>
      </c>
    </row>
    <row r="43" spans="1:93" ht="20.100000000000001" customHeight="1" x14ac:dyDescent="0.15">
      <c r="A43" s="7" t="str">
        <f>IF(B43="","",ROW()-ROW(会員表[#Headers]))</f>
        <v/>
      </c>
      <c r="B43" s="4" ph="1"/>
      <c r="C43" s="4" t="str" cm="1">
        <f t="array" ref="C43">_xlfn.LET(_xlpm.s,PHONETIC(B43),_xlpm.c,_xlfn.UNICODE(MID(_xlpm.s,_xlfn.SEQUENCE(LEN(_xlpm.s)),1)),IF(_xlpm.s="","",_xlfn.CONCAT(_xlfn.UNICHAR(_xlpm.c-96*(_xlpm.c&gt;=12449)*(_xlpm.c&lt;=12534)))))</f>
        <v/>
      </c>
      <c r="D43" s="4" t="str" cm="1">
        <f t="array" ref="D43">_xlfn.LET(_xlpm.s,PHONETIC(B43),_xlpm.c,_xlfn.UNICODE(MID(_xlpm.s,_xlfn.SEQUENCE(LEN(_xlpm.s)),1)),IF(_xlpm.s="","",_xlfn.CONCAT(_xlfn.UNICHAR(_xlpm.c+96*(_xlpm.c&gt;=12353)*(_xlpm.c&lt;=12438)))))</f>
        <v/>
      </c>
      <c r="E43" s="129" t="str">
        <f t="shared" ca="1" si="55"/>
        <v/>
      </c>
      <c r="F43" s="130" t="str">
        <f t="shared" si="56"/>
        <v/>
      </c>
      <c r="G43" s="130" t="str">
        <f t="shared" si="57"/>
        <v/>
      </c>
      <c r="H43" s="130" t="str">
        <f t="shared" si="58"/>
        <v/>
      </c>
      <c r="I43" s="131" t="str">
        <f t="shared" si="59"/>
        <v/>
      </c>
      <c r="J43" s="132" t="str">
        <f t="shared" si="60"/>
        <v/>
      </c>
      <c r="K43" s="121" t="str">
        <f t="shared" si="61"/>
        <v/>
      </c>
      <c r="L43" s="129" t="str">
        <f t="shared" si="62"/>
        <v/>
      </c>
      <c r="M43" s="7" t="str">
        <f t="shared" si="63"/>
        <v/>
      </c>
      <c r="N43" s="133"/>
      <c r="O43" s="8"/>
      <c r="P43" s="5" t="str">
        <f t="shared" si="64"/>
        <v/>
      </c>
      <c r="Q43" s="121" t="str">
        <f t="shared" si="65"/>
        <v/>
      </c>
      <c r="R43" s="121" t="str">
        <f t="shared" si="66"/>
        <v/>
      </c>
      <c r="S43" s="7" t="str">
        <f t="shared" si="67"/>
        <v/>
      </c>
      <c r="T43" s="4"/>
      <c r="U43" s="5" t="str">
        <f t="shared" si="68"/>
        <v/>
      </c>
      <c r="V43" s="121" t="str">
        <f t="shared" si="69"/>
        <v/>
      </c>
      <c r="W43" s="121" t="str">
        <f t="shared" si="70"/>
        <v/>
      </c>
      <c r="X43" s="7" t="str">
        <f t="shared" si="71"/>
        <v/>
      </c>
      <c r="Y43" s="136"/>
      <c r="Z43" s="5" t="str">
        <f t="shared" si="72"/>
        <v/>
      </c>
      <c r="AA43" s="137" t="s">
        <v>183</v>
      </c>
      <c r="AB43" s="7" t="str">
        <f t="shared" si="73"/>
        <v/>
      </c>
      <c r="AC43" s="9"/>
      <c r="AD43" s="4"/>
      <c r="AE43" s="138" t="str">
        <f t="shared" si="74"/>
        <v/>
      </c>
      <c r="AF43" s="139" t="str">
        <f t="shared" si="75"/>
        <v/>
      </c>
      <c r="AG43" s="139" t="str">
        <f t="shared" si="76"/>
        <v/>
      </c>
      <c r="AH43" s="139" t="str">
        <f t="shared" si="77"/>
        <v/>
      </c>
      <c r="AI43" s="139" t="str">
        <f t="shared" si="78"/>
        <v/>
      </c>
      <c r="AJ43" s="140" t="str">
        <f t="shared" si="79"/>
        <v/>
      </c>
      <c r="AK43" s="8"/>
      <c r="AL43" s="8" t="str">
        <f>IF(AM43="","",IF(各種設定金額!$B$7="","○○県",各種設定金額!$B$7))</f>
        <v/>
      </c>
      <c r="AM43" s="4"/>
      <c r="AN43" s="4"/>
      <c r="AO43" s="141" t="str">
        <f t="shared" si="80"/>
        <v/>
      </c>
      <c r="AP43" s="10"/>
      <c r="AQ43" s="129"/>
      <c r="AR43" s="142" t="s">
        <v>182</v>
      </c>
      <c r="AS43" s="131" t="str">
        <f t="shared" si="81"/>
        <v/>
      </c>
      <c r="AT43" s="132" t="str">
        <f t="shared" si="82"/>
        <v/>
      </c>
      <c r="AU43" s="132" t="str">
        <f t="shared" si="83"/>
        <v/>
      </c>
      <c r="AV43" s="132" t="str">
        <f t="shared" si="84"/>
        <v/>
      </c>
      <c r="AW43" s="132" t="str">
        <f t="shared" si="85"/>
        <v/>
      </c>
      <c r="AX43" s="143" t="str">
        <f t="shared" si="86"/>
        <v/>
      </c>
      <c r="AY43" s="144"/>
      <c r="AZ43" s="8" t="str">
        <f>IF(BA43="","",IF(各種設定金額!$B$7="","○○県",各種設定金額!$B$7))</f>
        <v/>
      </c>
      <c r="BA43" s="6"/>
      <c r="BB43" s="4"/>
      <c r="BC43" s="141" t="str">
        <f t="shared" si="87"/>
        <v/>
      </c>
      <c r="BD43" s="10"/>
      <c r="BE43" s="129"/>
      <c r="BF43" s="145" t="s">
        <v>63</v>
      </c>
      <c r="BG43" s="131" t="str">
        <f t="shared" si="88"/>
        <v/>
      </c>
      <c r="BH43" s="132" t="str">
        <f t="shared" si="89"/>
        <v/>
      </c>
      <c r="BI43" s="132" t="str">
        <f t="shared" si="90"/>
        <v/>
      </c>
      <c r="BJ43" s="132" t="str">
        <f t="shared" si="91"/>
        <v/>
      </c>
      <c r="BK43" s="132" t="str">
        <f t="shared" si="92"/>
        <v/>
      </c>
      <c r="BL43" s="132" t="str">
        <f t="shared" si="93"/>
        <v/>
      </c>
      <c r="BM43" s="146"/>
      <c r="BN43" s="8" t="str">
        <f>IF(BO43="","",IF(各種設定金額!$B$7="","○○県",各種設定金額!$B$7))</f>
        <v/>
      </c>
      <c r="BO43" s="6"/>
      <c r="BP43" s="4"/>
      <c r="BQ43" s="141" t="str">
        <f t="shared" si="94"/>
        <v/>
      </c>
      <c r="BR43" s="10"/>
      <c r="BS43" s="129"/>
      <c r="BT43" s="145" t="s">
        <v>63</v>
      </c>
      <c r="BU43" s="131" t="str">
        <f t="shared" si="95"/>
        <v/>
      </c>
      <c r="BV43" s="132" t="str">
        <f t="shared" si="96"/>
        <v/>
      </c>
      <c r="BW43" s="132" t="str">
        <f t="shared" si="97"/>
        <v/>
      </c>
      <c r="BX43" s="132" t="str">
        <f t="shared" si="98"/>
        <v/>
      </c>
      <c r="BY43" s="132" t="str">
        <f t="shared" si="99"/>
        <v/>
      </c>
      <c r="BZ43" s="132" t="str">
        <f t="shared" si="100"/>
        <v/>
      </c>
      <c r="CA43" s="146"/>
      <c r="CB43" s="10" t="str">
        <f t="shared" si="101"/>
        <v/>
      </c>
      <c r="CC43" s="7" t="str">
        <f t="shared" si="102"/>
        <v/>
      </c>
      <c r="CD43" s="147"/>
      <c r="CE43" s="147"/>
      <c r="CF43" s="6"/>
      <c r="CG43" s="4"/>
      <c r="CH43" s="148">
        <f t="shared" ca="1" si="103"/>
        <v>2026</v>
      </c>
      <c r="CI43" s="121" t="str">
        <f t="shared" ca="1" si="104"/>
        <v>令和</v>
      </c>
      <c r="CJ43" s="122" t="str">
        <f t="shared" ca="1" si="105"/>
        <v>R</v>
      </c>
      <c r="CK43" s="122" t="str">
        <f t="shared" ca="1" si="106"/>
        <v>8</v>
      </c>
      <c r="CL43" s="122">
        <f t="shared" ca="1" si="107"/>
        <v>10</v>
      </c>
      <c r="CM43" s="149">
        <f t="shared" ca="1" si="108"/>
        <v>24</v>
      </c>
      <c r="CN43" s="1"/>
      <c r="CO43" s="150">
        <f t="shared" ca="1" si="109"/>
        <v>46319</v>
      </c>
    </row>
    <row r="44" spans="1:93" ht="20.100000000000001" customHeight="1" x14ac:dyDescent="0.15">
      <c r="A44" s="7" t="str">
        <f>IF(B44="","",ROW()-ROW(会員表[#Headers]))</f>
        <v/>
      </c>
      <c r="B44" s="4" ph="1"/>
      <c r="C44" s="4" t="str" cm="1">
        <f t="array" ref="C44">_xlfn.LET(_xlpm.s,PHONETIC(B44),_xlpm.c,_xlfn.UNICODE(MID(_xlpm.s,_xlfn.SEQUENCE(LEN(_xlpm.s)),1)),IF(_xlpm.s="","",_xlfn.CONCAT(_xlfn.UNICHAR(_xlpm.c-96*(_xlpm.c&gt;=12449)*(_xlpm.c&lt;=12534)))))</f>
        <v/>
      </c>
      <c r="D44" s="4" t="str" cm="1">
        <f t="array" ref="D44">_xlfn.LET(_xlpm.s,PHONETIC(B44),_xlpm.c,_xlfn.UNICODE(MID(_xlpm.s,_xlfn.SEQUENCE(LEN(_xlpm.s)),1)),IF(_xlpm.s="","",_xlfn.CONCAT(_xlfn.UNICHAR(_xlpm.c+96*(_xlpm.c&gt;=12353)*(_xlpm.c&lt;=12438)))))</f>
        <v/>
      </c>
      <c r="E44" s="129" t="str">
        <f t="shared" ca="1" si="55"/>
        <v/>
      </c>
      <c r="F44" s="130" t="str">
        <f t="shared" si="56"/>
        <v/>
      </c>
      <c r="G44" s="130" t="str">
        <f t="shared" si="57"/>
        <v/>
      </c>
      <c r="H44" s="130" t="str">
        <f t="shared" si="58"/>
        <v/>
      </c>
      <c r="I44" s="131" t="str">
        <f t="shared" si="59"/>
        <v/>
      </c>
      <c r="J44" s="132" t="str">
        <f t="shared" si="60"/>
        <v/>
      </c>
      <c r="K44" s="121" t="str">
        <f t="shared" si="61"/>
        <v/>
      </c>
      <c r="L44" s="129" t="str">
        <f t="shared" si="62"/>
        <v/>
      </c>
      <c r="M44" s="7" t="str">
        <f t="shared" si="63"/>
        <v/>
      </c>
      <c r="N44" s="133"/>
      <c r="O44" s="8"/>
      <c r="P44" s="5" t="str">
        <f t="shared" si="64"/>
        <v/>
      </c>
      <c r="Q44" s="121" t="str">
        <f t="shared" si="65"/>
        <v/>
      </c>
      <c r="R44" s="121" t="str">
        <f t="shared" si="66"/>
        <v/>
      </c>
      <c r="S44" s="7" t="str">
        <f t="shared" si="67"/>
        <v/>
      </c>
      <c r="T44" s="4"/>
      <c r="U44" s="5" t="str">
        <f t="shared" si="68"/>
        <v/>
      </c>
      <c r="V44" s="121" t="str">
        <f t="shared" si="69"/>
        <v/>
      </c>
      <c r="W44" s="121" t="str">
        <f t="shared" si="70"/>
        <v/>
      </c>
      <c r="X44" s="7" t="str">
        <f t="shared" si="71"/>
        <v/>
      </c>
      <c r="Y44" s="136"/>
      <c r="Z44" s="5" t="str">
        <f t="shared" si="72"/>
        <v/>
      </c>
      <c r="AA44" s="137" t="s">
        <v>183</v>
      </c>
      <c r="AB44" s="7" t="str">
        <f t="shared" si="73"/>
        <v/>
      </c>
      <c r="AC44" s="9"/>
      <c r="AD44" s="4"/>
      <c r="AE44" s="138" t="str">
        <f t="shared" si="74"/>
        <v/>
      </c>
      <c r="AF44" s="139" t="str">
        <f t="shared" si="75"/>
        <v/>
      </c>
      <c r="AG44" s="139" t="str">
        <f t="shared" si="76"/>
        <v/>
      </c>
      <c r="AH44" s="139" t="str">
        <f t="shared" si="77"/>
        <v/>
      </c>
      <c r="AI44" s="139" t="str">
        <f t="shared" si="78"/>
        <v/>
      </c>
      <c r="AJ44" s="140" t="str">
        <f t="shared" si="79"/>
        <v/>
      </c>
      <c r="AK44" s="8"/>
      <c r="AL44" s="8" t="str">
        <f>IF(AM44="","",IF(各種設定金額!$B$7="","○○県",各種設定金額!$B$7))</f>
        <v/>
      </c>
      <c r="AM44" s="4"/>
      <c r="AN44" s="4"/>
      <c r="AO44" s="141" t="str">
        <f t="shared" si="80"/>
        <v/>
      </c>
      <c r="AP44" s="10"/>
      <c r="AQ44" s="129"/>
      <c r="AR44" s="142" t="s">
        <v>182</v>
      </c>
      <c r="AS44" s="131" t="str">
        <f t="shared" si="81"/>
        <v/>
      </c>
      <c r="AT44" s="132" t="str">
        <f t="shared" si="82"/>
        <v/>
      </c>
      <c r="AU44" s="132" t="str">
        <f t="shared" si="83"/>
        <v/>
      </c>
      <c r="AV44" s="132" t="str">
        <f t="shared" si="84"/>
        <v/>
      </c>
      <c r="AW44" s="132" t="str">
        <f t="shared" si="85"/>
        <v/>
      </c>
      <c r="AX44" s="143" t="str">
        <f t="shared" si="86"/>
        <v/>
      </c>
      <c r="AY44" s="144"/>
      <c r="AZ44" s="8" t="str">
        <f>IF(BA44="","",IF(各種設定金額!$B$7="","○○県",各種設定金額!$B$7))</f>
        <v/>
      </c>
      <c r="BA44" s="4"/>
      <c r="BB44" s="4"/>
      <c r="BC44" s="141" t="str">
        <f t="shared" si="87"/>
        <v/>
      </c>
      <c r="BD44" s="10"/>
      <c r="BE44" s="129"/>
      <c r="BF44" s="145" t="s">
        <v>63</v>
      </c>
      <c r="BG44" s="131" t="str">
        <f t="shared" si="88"/>
        <v/>
      </c>
      <c r="BH44" s="132" t="str">
        <f t="shared" si="89"/>
        <v/>
      </c>
      <c r="BI44" s="132" t="str">
        <f t="shared" si="90"/>
        <v/>
      </c>
      <c r="BJ44" s="132" t="str">
        <f t="shared" si="91"/>
        <v/>
      </c>
      <c r="BK44" s="132" t="str">
        <f t="shared" si="92"/>
        <v/>
      </c>
      <c r="BL44" s="132" t="str">
        <f t="shared" si="93"/>
        <v/>
      </c>
      <c r="BM44" s="146"/>
      <c r="BN44" s="8" t="str">
        <f>IF(BO44="","",IF(各種設定金額!$B$7="","○○県",各種設定金額!$B$7))</f>
        <v/>
      </c>
      <c r="BO44" s="4"/>
      <c r="BP44" s="4"/>
      <c r="BQ44" s="141" t="str">
        <f t="shared" si="94"/>
        <v/>
      </c>
      <c r="BR44" s="10"/>
      <c r="BS44" s="129"/>
      <c r="BT44" s="145" t="s">
        <v>63</v>
      </c>
      <c r="BU44" s="131" t="str">
        <f t="shared" si="95"/>
        <v/>
      </c>
      <c r="BV44" s="132" t="str">
        <f t="shared" si="96"/>
        <v/>
      </c>
      <c r="BW44" s="132" t="str">
        <f t="shared" si="97"/>
        <v/>
      </c>
      <c r="BX44" s="132" t="str">
        <f t="shared" si="98"/>
        <v/>
      </c>
      <c r="BY44" s="132" t="str">
        <f t="shared" si="99"/>
        <v/>
      </c>
      <c r="BZ44" s="132" t="str">
        <f t="shared" si="100"/>
        <v/>
      </c>
      <c r="CA44" s="146"/>
      <c r="CB44" s="10" t="str">
        <f t="shared" si="101"/>
        <v/>
      </c>
      <c r="CC44" s="7" t="str">
        <f t="shared" si="102"/>
        <v/>
      </c>
      <c r="CD44" s="147"/>
      <c r="CE44" s="147"/>
      <c r="CF44" s="4"/>
      <c r="CG44" s="4"/>
      <c r="CH44" s="148">
        <f t="shared" ca="1" si="103"/>
        <v>2026</v>
      </c>
      <c r="CI44" s="121" t="str">
        <f t="shared" ca="1" si="104"/>
        <v>令和</v>
      </c>
      <c r="CJ44" s="122" t="str">
        <f t="shared" ca="1" si="105"/>
        <v>R</v>
      </c>
      <c r="CK44" s="122" t="str">
        <f t="shared" ca="1" si="106"/>
        <v>8</v>
      </c>
      <c r="CL44" s="122">
        <f t="shared" ca="1" si="107"/>
        <v>10</v>
      </c>
      <c r="CM44" s="149">
        <f t="shared" ca="1" si="108"/>
        <v>24</v>
      </c>
      <c r="CN44" s="1"/>
      <c r="CO44" s="150">
        <f t="shared" ca="1" si="109"/>
        <v>46319</v>
      </c>
    </row>
    <row r="45" spans="1:93" ht="20.100000000000001" customHeight="1" x14ac:dyDescent="0.15">
      <c r="A45" s="7" t="str">
        <f>IF(B45="","",ROW()-ROW(会員表[#Headers]))</f>
        <v/>
      </c>
      <c r="B45" s="4" ph="1"/>
      <c r="C45" s="4" t="str" cm="1">
        <f t="array" ref="C45">_xlfn.LET(_xlpm.s,PHONETIC(B45),_xlpm.c,_xlfn.UNICODE(MID(_xlpm.s,_xlfn.SEQUENCE(LEN(_xlpm.s)),1)),IF(_xlpm.s="","",_xlfn.CONCAT(_xlfn.UNICHAR(_xlpm.c-96*(_xlpm.c&gt;=12449)*(_xlpm.c&lt;=12534)))))</f>
        <v/>
      </c>
      <c r="D45" s="4" t="str" cm="1">
        <f t="array" ref="D45">_xlfn.LET(_xlpm.s,PHONETIC(B45),_xlpm.c,_xlfn.UNICODE(MID(_xlpm.s,_xlfn.SEQUENCE(LEN(_xlpm.s)),1)),IF(_xlpm.s="","",_xlfn.CONCAT(_xlfn.UNICHAR(_xlpm.c+96*(_xlpm.c&gt;=12353)*(_xlpm.c&lt;=12438)))))</f>
        <v/>
      </c>
      <c r="E45" s="129" t="str">
        <f t="shared" ca="1" si="55"/>
        <v/>
      </c>
      <c r="F45" s="130" t="str">
        <f t="shared" si="56"/>
        <v/>
      </c>
      <c r="G45" s="130" t="str">
        <f t="shared" si="57"/>
        <v/>
      </c>
      <c r="H45" s="130" t="str">
        <f t="shared" si="58"/>
        <v/>
      </c>
      <c r="I45" s="131" t="str">
        <f t="shared" si="59"/>
        <v/>
      </c>
      <c r="J45" s="132" t="str">
        <f t="shared" si="60"/>
        <v/>
      </c>
      <c r="K45" s="121" t="str">
        <f t="shared" si="61"/>
        <v/>
      </c>
      <c r="L45" s="129" t="str">
        <f t="shared" si="62"/>
        <v/>
      </c>
      <c r="M45" s="7" t="str">
        <f t="shared" si="63"/>
        <v/>
      </c>
      <c r="N45" s="133"/>
      <c r="O45" s="133"/>
      <c r="P45" s="5" t="str">
        <f t="shared" si="64"/>
        <v/>
      </c>
      <c r="Q45" s="121" t="str">
        <f t="shared" si="65"/>
        <v/>
      </c>
      <c r="R45" s="121" t="str">
        <f t="shared" si="66"/>
        <v/>
      </c>
      <c r="S45" s="7" t="str">
        <f t="shared" si="67"/>
        <v/>
      </c>
      <c r="T45" s="4"/>
      <c r="U45" s="5" t="str">
        <f t="shared" si="68"/>
        <v/>
      </c>
      <c r="V45" s="121" t="str">
        <f t="shared" si="69"/>
        <v/>
      </c>
      <c r="W45" s="121" t="str">
        <f t="shared" si="70"/>
        <v/>
      </c>
      <c r="X45" s="7" t="str">
        <f t="shared" si="71"/>
        <v/>
      </c>
      <c r="Y45" s="136"/>
      <c r="Z45" s="5" t="str">
        <f t="shared" si="72"/>
        <v/>
      </c>
      <c r="AA45" s="137" t="s">
        <v>183</v>
      </c>
      <c r="AB45" s="7" t="str">
        <f t="shared" si="73"/>
        <v/>
      </c>
      <c r="AC45" s="9"/>
      <c r="AD45" s="4"/>
      <c r="AE45" s="138" t="str">
        <f t="shared" si="74"/>
        <v/>
      </c>
      <c r="AF45" s="139" t="str">
        <f t="shared" si="75"/>
        <v/>
      </c>
      <c r="AG45" s="139" t="str">
        <f t="shared" si="76"/>
        <v/>
      </c>
      <c r="AH45" s="139" t="str">
        <f t="shared" si="77"/>
        <v/>
      </c>
      <c r="AI45" s="139" t="str">
        <f t="shared" si="78"/>
        <v/>
      </c>
      <c r="AJ45" s="140" t="str">
        <f t="shared" si="79"/>
        <v/>
      </c>
      <c r="AK45" s="8"/>
      <c r="AL45" s="8" t="str">
        <f>IF(AM45="","",IF(各種設定金額!$B$7="","○○県",各種設定金額!$B$7))</f>
        <v/>
      </c>
      <c r="AM45" s="4"/>
      <c r="AN45" s="4"/>
      <c r="AO45" s="141" t="str">
        <f t="shared" si="80"/>
        <v/>
      </c>
      <c r="AP45" s="10"/>
      <c r="AQ45" s="129"/>
      <c r="AR45" s="142" t="s">
        <v>182</v>
      </c>
      <c r="AS45" s="131" t="str">
        <f t="shared" si="81"/>
        <v/>
      </c>
      <c r="AT45" s="132" t="str">
        <f t="shared" si="82"/>
        <v/>
      </c>
      <c r="AU45" s="132" t="str">
        <f t="shared" si="83"/>
        <v/>
      </c>
      <c r="AV45" s="132" t="str">
        <f t="shared" si="84"/>
        <v/>
      </c>
      <c r="AW45" s="132" t="str">
        <f t="shared" si="85"/>
        <v/>
      </c>
      <c r="AX45" s="143" t="str">
        <f t="shared" si="86"/>
        <v/>
      </c>
      <c r="AY45" s="144"/>
      <c r="AZ45" s="8" t="str">
        <f>IF(BA45="","",IF(各種設定金額!$B$7="","○○県",各種設定金額!$B$7))</f>
        <v/>
      </c>
      <c r="BA45" s="4"/>
      <c r="BB45" s="4"/>
      <c r="BC45" s="141" t="str">
        <f t="shared" si="87"/>
        <v/>
      </c>
      <c r="BD45" s="10"/>
      <c r="BE45" s="129"/>
      <c r="BF45" s="145" t="s">
        <v>63</v>
      </c>
      <c r="BG45" s="131" t="str">
        <f t="shared" si="88"/>
        <v/>
      </c>
      <c r="BH45" s="132" t="str">
        <f t="shared" si="89"/>
        <v/>
      </c>
      <c r="BI45" s="132" t="str">
        <f t="shared" si="90"/>
        <v/>
      </c>
      <c r="BJ45" s="132" t="str">
        <f t="shared" si="91"/>
        <v/>
      </c>
      <c r="BK45" s="132" t="str">
        <f t="shared" si="92"/>
        <v/>
      </c>
      <c r="BL45" s="132" t="str">
        <f t="shared" si="93"/>
        <v/>
      </c>
      <c r="BM45" s="146"/>
      <c r="BN45" s="8" t="str">
        <f>IF(BO45="","",IF(各種設定金額!$B$7="","○○県",各種設定金額!$B$7))</f>
        <v/>
      </c>
      <c r="BO45" s="4"/>
      <c r="BP45" s="4"/>
      <c r="BQ45" s="141" t="str">
        <f t="shared" si="94"/>
        <v/>
      </c>
      <c r="BR45" s="10"/>
      <c r="BS45" s="129"/>
      <c r="BT45" s="145" t="s">
        <v>63</v>
      </c>
      <c r="BU45" s="131" t="str">
        <f t="shared" si="95"/>
        <v/>
      </c>
      <c r="BV45" s="132" t="str">
        <f t="shared" si="96"/>
        <v/>
      </c>
      <c r="BW45" s="132" t="str">
        <f t="shared" si="97"/>
        <v/>
      </c>
      <c r="BX45" s="132" t="str">
        <f t="shared" si="98"/>
        <v/>
      </c>
      <c r="BY45" s="132" t="str">
        <f t="shared" si="99"/>
        <v/>
      </c>
      <c r="BZ45" s="132" t="str">
        <f t="shared" si="100"/>
        <v/>
      </c>
      <c r="CA45" s="146"/>
      <c r="CB45" s="10" t="str">
        <f t="shared" si="101"/>
        <v/>
      </c>
      <c r="CC45" s="7" t="str">
        <f t="shared" si="102"/>
        <v/>
      </c>
      <c r="CD45" s="147"/>
      <c r="CE45" s="147"/>
      <c r="CF45" s="4"/>
      <c r="CG45" s="4"/>
      <c r="CH45" s="148">
        <f t="shared" ca="1" si="103"/>
        <v>2026</v>
      </c>
      <c r="CI45" s="121" t="str">
        <f t="shared" ca="1" si="104"/>
        <v>令和</v>
      </c>
      <c r="CJ45" s="122" t="str">
        <f t="shared" ca="1" si="105"/>
        <v>R</v>
      </c>
      <c r="CK45" s="122" t="str">
        <f t="shared" ca="1" si="106"/>
        <v>8</v>
      </c>
      <c r="CL45" s="122">
        <f t="shared" ca="1" si="107"/>
        <v>10</v>
      </c>
      <c r="CM45" s="149">
        <f t="shared" ca="1" si="108"/>
        <v>24</v>
      </c>
      <c r="CN45" s="1"/>
      <c r="CO45" s="150">
        <f t="shared" ca="1" si="109"/>
        <v>46319</v>
      </c>
    </row>
    <row r="46" spans="1:93" ht="20.100000000000001" customHeight="1" x14ac:dyDescent="0.15">
      <c r="A46" s="7" t="str">
        <f>IF(B46="","",ROW()-ROW(会員表[#Headers]))</f>
        <v/>
      </c>
      <c r="B46" s="4" ph="1"/>
      <c r="C46" s="4" t="str" cm="1">
        <f t="array" ref="C46">_xlfn.LET(_xlpm.s,PHONETIC(B46),_xlpm.c,_xlfn.UNICODE(MID(_xlpm.s,_xlfn.SEQUENCE(LEN(_xlpm.s)),1)),IF(_xlpm.s="","",_xlfn.CONCAT(_xlfn.UNICHAR(_xlpm.c-96*(_xlpm.c&gt;=12449)*(_xlpm.c&lt;=12534)))))</f>
        <v/>
      </c>
      <c r="D46" s="4" t="str" cm="1">
        <f t="array" ref="D46">_xlfn.LET(_xlpm.s,PHONETIC(B46),_xlpm.c,_xlfn.UNICODE(MID(_xlpm.s,_xlfn.SEQUENCE(LEN(_xlpm.s)),1)),IF(_xlpm.s="","",_xlfn.CONCAT(_xlfn.UNICHAR(_xlpm.c+96*(_xlpm.c&gt;=12353)*(_xlpm.c&lt;=12438)))))</f>
        <v/>
      </c>
      <c r="E46" s="129" t="str">
        <f t="shared" ca="1" si="55"/>
        <v/>
      </c>
      <c r="F46" s="130" t="str">
        <f t="shared" si="56"/>
        <v/>
      </c>
      <c r="G46" s="130" t="str">
        <f t="shared" si="57"/>
        <v/>
      </c>
      <c r="H46" s="130" t="str">
        <f t="shared" si="58"/>
        <v/>
      </c>
      <c r="I46" s="131" t="str">
        <f t="shared" si="59"/>
        <v/>
      </c>
      <c r="J46" s="132" t="str">
        <f t="shared" si="60"/>
        <v/>
      </c>
      <c r="K46" s="121" t="str">
        <f t="shared" si="61"/>
        <v/>
      </c>
      <c r="L46" s="129" t="str">
        <f t="shared" si="62"/>
        <v/>
      </c>
      <c r="M46" s="7" t="str">
        <f t="shared" si="63"/>
        <v/>
      </c>
      <c r="N46" s="133"/>
      <c r="O46" s="133"/>
      <c r="P46" s="5" t="str">
        <f t="shared" si="64"/>
        <v/>
      </c>
      <c r="Q46" s="121" t="str">
        <f t="shared" si="65"/>
        <v/>
      </c>
      <c r="R46" s="121" t="str">
        <f t="shared" si="66"/>
        <v/>
      </c>
      <c r="S46" s="7" t="str">
        <f t="shared" si="67"/>
        <v/>
      </c>
      <c r="T46" s="4"/>
      <c r="U46" s="5" t="str">
        <f t="shared" si="68"/>
        <v/>
      </c>
      <c r="V46" s="121" t="str">
        <f t="shared" si="69"/>
        <v/>
      </c>
      <c r="W46" s="121" t="str">
        <f t="shared" si="70"/>
        <v/>
      </c>
      <c r="X46" s="7" t="str">
        <f t="shared" si="71"/>
        <v/>
      </c>
      <c r="Y46" s="136"/>
      <c r="Z46" s="5" t="str">
        <f t="shared" si="72"/>
        <v/>
      </c>
      <c r="AA46" s="137" t="s">
        <v>183</v>
      </c>
      <c r="AB46" s="7" t="str">
        <f t="shared" si="73"/>
        <v/>
      </c>
      <c r="AC46" s="9"/>
      <c r="AD46" s="4"/>
      <c r="AE46" s="138" t="str">
        <f t="shared" si="74"/>
        <v/>
      </c>
      <c r="AF46" s="139" t="str">
        <f t="shared" si="75"/>
        <v/>
      </c>
      <c r="AG46" s="139" t="str">
        <f t="shared" si="76"/>
        <v/>
      </c>
      <c r="AH46" s="139" t="str">
        <f t="shared" si="77"/>
        <v/>
      </c>
      <c r="AI46" s="139" t="str">
        <f t="shared" si="78"/>
        <v/>
      </c>
      <c r="AJ46" s="140" t="str">
        <f t="shared" si="79"/>
        <v/>
      </c>
      <c r="AK46" s="8"/>
      <c r="AL46" s="8" t="str">
        <f>IF(AM46="","",IF(各種設定金額!$B$7="","○○県",各種設定金額!$B$7))</f>
        <v/>
      </c>
      <c r="AM46" s="4"/>
      <c r="AN46" s="4"/>
      <c r="AO46" s="141" t="str">
        <f t="shared" si="80"/>
        <v/>
      </c>
      <c r="AP46" s="10"/>
      <c r="AQ46" s="129"/>
      <c r="AR46" s="142" t="s">
        <v>182</v>
      </c>
      <c r="AS46" s="131" t="str">
        <f t="shared" si="81"/>
        <v/>
      </c>
      <c r="AT46" s="132" t="str">
        <f t="shared" si="82"/>
        <v/>
      </c>
      <c r="AU46" s="132" t="str">
        <f t="shared" si="83"/>
        <v/>
      </c>
      <c r="AV46" s="132" t="str">
        <f t="shared" si="84"/>
        <v/>
      </c>
      <c r="AW46" s="132" t="str">
        <f t="shared" si="85"/>
        <v/>
      </c>
      <c r="AX46" s="143" t="str">
        <f t="shared" si="86"/>
        <v/>
      </c>
      <c r="AY46" s="144"/>
      <c r="AZ46" s="8" t="str">
        <f>IF(BA46="","",IF(各種設定金額!$B$7="","○○県",各種設定金額!$B$7))</f>
        <v/>
      </c>
      <c r="BA46" s="4"/>
      <c r="BB46" s="4"/>
      <c r="BC46" s="141" t="str">
        <f t="shared" si="87"/>
        <v/>
      </c>
      <c r="BD46" s="10"/>
      <c r="BE46" s="129"/>
      <c r="BF46" s="145" t="s">
        <v>63</v>
      </c>
      <c r="BG46" s="131" t="str">
        <f t="shared" si="88"/>
        <v/>
      </c>
      <c r="BH46" s="132" t="str">
        <f t="shared" si="89"/>
        <v/>
      </c>
      <c r="BI46" s="132" t="str">
        <f t="shared" si="90"/>
        <v/>
      </c>
      <c r="BJ46" s="132" t="str">
        <f t="shared" si="91"/>
        <v/>
      </c>
      <c r="BK46" s="132" t="str">
        <f t="shared" si="92"/>
        <v/>
      </c>
      <c r="BL46" s="132" t="str">
        <f t="shared" si="93"/>
        <v/>
      </c>
      <c r="BM46" s="146"/>
      <c r="BN46" s="8" t="str">
        <f>IF(BO46="","",IF(各種設定金額!$B$7="","○○県",各種設定金額!$B$7))</f>
        <v/>
      </c>
      <c r="BO46" s="4"/>
      <c r="BP46" s="4"/>
      <c r="BQ46" s="141" t="str">
        <f t="shared" si="94"/>
        <v/>
      </c>
      <c r="BR46" s="10"/>
      <c r="BS46" s="129"/>
      <c r="BT46" s="145" t="s">
        <v>63</v>
      </c>
      <c r="BU46" s="131" t="str">
        <f t="shared" si="95"/>
        <v/>
      </c>
      <c r="BV46" s="132" t="str">
        <f t="shared" si="96"/>
        <v/>
      </c>
      <c r="BW46" s="132" t="str">
        <f t="shared" si="97"/>
        <v/>
      </c>
      <c r="BX46" s="132" t="str">
        <f t="shared" si="98"/>
        <v/>
      </c>
      <c r="BY46" s="132" t="str">
        <f t="shared" si="99"/>
        <v/>
      </c>
      <c r="BZ46" s="132" t="str">
        <f t="shared" si="100"/>
        <v/>
      </c>
      <c r="CA46" s="146"/>
      <c r="CB46" s="10" t="str">
        <f t="shared" si="101"/>
        <v/>
      </c>
      <c r="CC46" s="7" t="str">
        <f t="shared" si="102"/>
        <v/>
      </c>
      <c r="CD46" s="147"/>
      <c r="CE46" s="147"/>
      <c r="CF46" s="4"/>
      <c r="CG46" s="4"/>
      <c r="CH46" s="148">
        <f t="shared" ca="1" si="103"/>
        <v>2026</v>
      </c>
      <c r="CI46" s="121" t="str">
        <f t="shared" ca="1" si="104"/>
        <v>令和</v>
      </c>
      <c r="CJ46" s="122" t="str">
        <f t="shared" ca="1" si="105"/>
        <v>R</v>
      </c>
      <c r="CK46" s="122" t="str">
        <f t="shared" ca="1" si="106"/>
        <v>8</v>
      </c>
      <c r="CL46" s="122">
        <f t="shared" ca="1" si="107"/>
        <v>10</v>
      </c>
      <c r="CM46" s="149">
        <f t="shared" ca="1" si="108"/>
        <v>24</v>
      </c>
      <c r="CN46" s="1"/>
      <c r="CO46" s="150">
        <f t="shared" ca="1" si="109"/>
        <v>46319</v>
      </c>
    </row>
    <row r="47" spans="1:93" ht="20.100000000000001" customHeight="1" x14ac:dyDescent="0.15">
      <c r="A47" s="7" t="str">
        <f>IF(B47="","",ROW()-ROW(会員表[#Headers]))</f>
        <v/>
      </c>
      <c r="B47" s="4" ph="1"/>
      <c r="C47" s="4" t="str" cm="1">
        <f t="array" ref="C47">_xlfn.LET(_xlpm.s,PHONETIC(B47),_xlpm.c,_xlfn.UNICODE(MID(_xlpm.s,_xlfn.SEQUENCE(LEN(_xlpm.s)),1)),IF(_xlpm.s="","",_xlfn.CONCAT(_xlfn.UNICHAR(_xlpm.c-96*(_xlpm.c&gt;=12449)*(_xlpm.c&lt;=12534)))))</f>
        <v/>
      </c>
      <c r="D47" s="4" t="str" cm="1">
        <f t="array" ref="D47">_xlfn.LET(_xlpm.s,PHONETIC(B47),_xlpm.c,_xlfn.UNICODE(MID(_xlpm.s,_xlfn.SEQUENCE(LEN(_xlpm.s)),1)),IF(_xlpm.s="","",_xlfn.CONCAT(_xlfn.UNICHAR(_xlpm.c+96*(_xlpm.c&gt;=12353)*(_xlpm.c&lt;=12438)))))</f>
        <v/>
      </c>
      <c r="E47" s="129" t="str">
        <f t="shared" ca="1" si="55"/>
        <v/>
      </c>
      <c r="F47" s="130" t="str">
        <f t="shared" si="56"/>
        <v/>
      </c>
      <c r="G47" s="130" t="str">
        <f t="shared" si="57"/>
        <v/>
      </c>
      <c r="H47" s="130" t="str">
        <f t="shared" si="58"/>
        <v/>
      </c>
      <c r="I47" s="131" t="str">
        <f t="shared" si="59"/>
        <v/>
      </c>
      <c r="J47" s="132" t="str">
        <f t="shared" si="60"/>
        <v/>
      </c>
      <c r="K47" s="121" t="str">
        <f t="shared" si="61"/>
        <v/>
      </c>
      <c r="L47" s="129" t="str">
        <f t="shared" si="62"/>
        <v/>
      </c>
      <c r="M47" s="7" t="str">
        <f t="shared" si="63"/>
        <v/>
      </c>
      <c r="N47" s="133"/>
      <c r="O47" s="8"/>
      <c r="P47" s="5" t="str">
        <f t="shared" si="64"/>
        <v/>
      </c>
      <c r="Q47" s="121" t="str">
        <f t="shared" si="65"/>
        <v/>
      </c>
      <c r="R47" s="121" t="str">
        <f t="shared" si="66"/>
        <v/>
      </c>
      <c r="S47" s="7" t="str">
        <f t="shared" si="67"/>
        <v/>
      </c>
      <c r="T47" s="5"/>
      <c r="U47" s="5" t="str">
        <f t="shared" si="68"/>
        <v/>
      </c>
      <c r="V47" s="121" t="str">
        <f t="shared" si="69"/>
        <v/>
      </c>
      <c r="W47" s="121" t="str">
        <f t="shared" si="70"/>
        <v/>
      </c>
      <c r="X47" s="7" t="str">
        <f t="shared" si="71"/>
        <v/>
      </c>
      <c r="Y47" s="136"/>
      <c r="Z47" s="5" t="str">
        <f t="shared" si="72"/>
        <v/>
      </c>
      <c r="AA47" s="137" t="s">
        <v>183</v>
      </c>
      <c r="AB47" s="7" t="str">
        <f t="shared" si="73"/>
        <v/>
      </c>
      <c r="AC47" s="9"/>
      <c r="AD47" s="4"/>
      <c r="AE47" s="138" t="str">
        <f t="shared" si="74"/>
        <v/>
      </c>
      <c r="AF47" s="139" t="str">
        <f t="shared" si="75"/>
        <v/>
      </c>
      <c r="AG47" s="139" t="str">
        <f t="shared" si="76"/>
        <v/>
      </c>
      <c r="AH47" s="139" t="str">
        <f t="shared" si="77"/>
        <v/>
      </c>
      <c r="AI47" s="139" t="str">
        <f t="shared" si="78"/>
        <v/>
      </c>
      <c r="AJ47" s="140" t="str">
        <f t="shared" si="79"/>
        <v/>
      </c>
      <c r="AK47" s="8"/>
      <c r="AL47" s="8" t="str">
        <f>IF(AM47="","",IF(各種設定金額!$B$7="","○○県",各種設定金額!$B$7))</f>
        <v/>
      </c>
      <c r="AM47" s="4"/>
      <c r="AN47" s="4"/>
      <c r="AO47" s="141" t="str">
        <f t="shared" si="80"/>
        <v/>
      </c>
      <c r="AP47" s="10"/>
      <c r="AQ47" s="129"/>
      <c r="AR47" s="142" t="s">
        <v>182</v>
      </c>
      <c r="AS47" s="131" t="str">
        <f t="shared" si="81"/>
        <v/>
      </c>
      <c r="AT47" s="132" t="str">
        <f t="shared" si="82"/>
        <v/>
      </c>
      <c r="AU47" s="132" t="str">
        <f t="shared" si="83"/>
        <v/>
      </c>
      <c r="AV47" s="132" t="str">
        <f t="shared" si="84"/>
        <v/>
      </c>
      <c r="AW47" s="132" t="str">
        <f t="shared" si="85"/>
        <v/>
      </c>
      <c r="AX47" s="143" t="str">
        <f t="shared" si="86"/>
        <v/>
      </c>
      <c r="AY47" s="144"/>
      <c r="AZ47" s="8" t="str">
        <f>IF(BA47="","",IF(各種設定金額!$B$7="","○○県",各種設定金額!$B$7))</f>
        <v/>
      </c>
      <c r="BA47" s="4"/>
      <c r="BB47" s="4"/>
      <c r="BC47" s="141" t="str">
        <f t="shared" si="87"/>
        <v/>
      </c>
      <c r="BD47" s="10"/>
      <c r="BE47" s="129"/>
      <c r="BF47" s="145" t="s">
        <v>63</v>
      </c>
      <c r="BG47" s="131" t="str">
        <f t="shared" si="88"/>
        <v/>
      </c>
      <c r="BH47" s="132" t="str">
        <f t="shared" si="89"/>
        <v/>
      </c>
      <c r="BI47" s="132" t="str">
        <f t="shared" si="90"/>
        <v/>
      </c>
      <c r="BJ47" s="132" t="str">
        <f t="shared" si="91"/>
        <v/>
      </c>
      <c r="BK47" s="132" t="str">
        <f t="shared" si="92"/>
        <v/>
      </c>
      <c r="BL47" s="132" t="str">
        <f t="shared" si="93"/>
        <v/>
      </c>
      <c r="BM47" s="146"/>
      <c r="BN47" s="8" t="str">
        <f>IF(BO47="","",IF(各種設定金額!$B$7="","○○県",各種設定金額!$B$7))</f>
        <v/>
      </c>
      <c r="BO47" s="4"/>
      <c r="BP47" s="4"/>
      <c r="BQ47" s="141" t="str">
        <f t="shared" si="94"/>
        <v/>
      </c>
      <c r="BR47" s="10"/>
      <c r="BS47" s="129"/>
      <c r="BT47" s="145" t="s">
        <v>63</v>
      </c>
      <c r="BU47" s="131" t="str">
        <f t="shared" si="95"/>
        <v/>
      </c>
      <c r="BV47" s="132" t="str">
        <f t="shared" si="96"/>
        <v/>
      </c>
      <c r="BW47" s="132" t="str">
        <f t="shared" si="97"/>
        <v/>
      </c>
      <c r="BX47" s="132" t="str">
        <f t="shared" si="98"/>
        <v/>
      </c>
      <c r="BY47" s="132" t="str">
        <f t="shared" si="99"/>
        <v/>
      </c>
      <c r="BZ47" s="132" t="str">
        <f t="shared" si="100"/>
        <v/>
      </c>
      <c r="CA47" s="146"/>
      <c r="CB47" s="10" t="str">
        <f t="shared" si="101"/>
        <v/>
      </c>
      <c r="CC47" s="7" t="str">
        <f t="shared" si="102"/>
        <v/>
      </c>
      <c r="CD47" s="147"/>
      <c r="CE47" s="147"/>
      <c r="CF47" s="4"/>
      <c r="CG47" s="4"/>
      <c r="CH47" s="148">
        <f t="shared" ca="1" si="103"/>
        <v>2026</v>
      </c>
      <c r="CI47" s="121" t="str">
        <f t="shared" ca="1" si="104"/>
        <v>令和</v>
      </c>
      <c r="CJ47" s="122" t="str">
        <f t="shared" ca="1" si="105"/>
        <v>R</v>
      </c>
      <c r="CK47" s="122" t="str">
        <f t="shared" ca="1" si="106"/>
        <v>8</v>
      </c>
      <c r="CL47" s="122">
        <f t="shared" ca="1" si="107"/>
        <v>10</v>
      </c>
      <c r="CM47" s="149">
        <f t="shared" ca="1" si="108"/>
        <v>24</v>
      </c>
      <c r="CN47" s="1"/>
      <c r="CO47" s="150">
        <f t="shared" ca="1" si="109"/>
        <v>46319</v>
      </c>
    </row>
    <row r="48" spans="1:93" ht="20.100000000000001" customHeight="1" x14ac:dyDescent="0.15">
      <c r="A48" s="7" t="str">
        <f>IF(B48="","",ROW()-ROW(会員表[#Headers]))</f>
        <v/>
      </c>
      <c r="B48" s="4" ph="1"/>
      <c r="C48" s="4" t="str" cm="1">
        <f t="array" ref="C48">_xlfn.LET(_xlpm.s,PHONETIC(B48),_xlpm.c,_xlfn.UNICODE(MID(_xlpm.s,_xlfn.SEQUENCE(LEN(_xlpm.s)),1)),IF(_xlpm.s="","",_xlfn.CONCAT(_xlfn.UNICHAR(_xlpm.c-96*(_xlpm.c&gt;=12449)*(_xlpm.c&lt;=12534)))))</f>
        <v/>
      </c>
      <c r="D48" s="4" t="str" cm="1">
        <f t="array" ref="D48">_xlfn.LET(_xlpm.s,PHONETIC(B48),_xlpm.c,_xlfn.UNICODE(MID(_xlpm.s,_xlfn.SEQUENCE(LEN(_xlpm.s)),1)),IF(_xlpm.s="","",_xlfn.CONCAT(_xlfn.UNICHAR(_xlpm.c+96*(_xlpm.c&gt;=12353)*(_xlpm.c&lt;=12438)))))</f>
        <v/>
      </c>
      <c r="E48" s="129" t="str">
        <f t="shared" ca="1" si="55"/>
        <v/>
      </c>
      <c r="F48" s="130" t="str">
        <f t="shared" si="56"/>
        <v/>
      </c>
      <c r="G48" s="130" t="str">
        <f t="shared" si="57"/>
        <v/>
      </c>
      <c r="H48" s="130" t="str">
        <f t="shared" si="58"/>
        <v/>
      </c>
      <c r="I48" s="131" t="str">
        <f t="shared" si="59"/>
        <v/>
      </c>
      <c r="J48" s="132" t="str">
        <f t="shared" si="60"/>
        <v/>
      </c>
      <c r="K48" s="121" t="str">
        <f t="shared" si="61"/>
        <v/>
      </c>
      <c r="L48" s="129" t="str">
        <f t="shared" si="62"/>
        <v/>
      </c>
      <c r="M48" s="7" t="str">
        <f t="shared" si="63"/>
        <v/>
      </c>
      <c r="N48" s="133"/>
      <c r="O48" s="8"/>
      <c r="P48" s="5" t="str">
        <f t="shared" si="64"/>
        <v/>
      </c>
      <c r="Q48" s="121" t="str">
        <f t="shared" si="65"/>
        <v/>
      </c>
      <c r="R48" s="121" t="str">
        <f t="shared" si="66"/>
        <v/>
      </c>
      <c r="S48" s="7" t="str">
        <f t="shared" si="67"/>
        <v/>
      </c>
      <c r="T48" s="5"/>
      <c r="U48" s="5" t="str">
        <f t="shared" si="68"/>
        <v/>
      </c>
      <c r="V48" s="121" t="str">
        <f t="shared" si="69"/>
        <v/>
      </c>
      <c r="W48" s="121" t="str">
        <f t="shared" si="70"/>
        <v/>
      </c>
      <c r="X48" s="7" t="str">
        <f t="shared" si="71"/>
        <v/>
      </c>
      <c r="Y48" s="136"/>
      <c r="Z48" s="5" t="str">
        <f t="shared" si="72"/>
        <v/>
      </c>
      <c r="AA48" s="137" t="s">
        <v>183</v>
      </c>
      <c r="AB48" s="7" t="str">
        <f t="shared" si="73"/>
        <v/>
      </c>
      <c r="AC48" s="9"/>
      <c r="AD48" s="4"/>
      <c r="AE48" s="138" t="str">
        <f t="shared" si="74"/>
        <v/>
      </c>
      <c r="AF48" s="139" t="str">
        <f t="shared" si="75"/>
        <v/>
      </c>
      <c r="AG48" s="139" t="str">
        <f t="shared" si="76"/>
        <v/>
      </c>
      <c r="AH48" s="139" t="str">
        <f t="shared" si="77"/>
        <v/>
      </c>
      <c r="AI48" s="139" t="str">
        <f t="shared" si="78"/>
        <v/>
      </c>
      <c r="AJ48" s="140" t="str">
        <f t="shared" si="79"/>
        <v/>
      </c>
      <c r="AK48" s="8"/>
      <c r="AL48" s="8" t="str">
        <f>IF(AM48="","",IF(各種設定金額!$B$7="","○○県",各種設定金額!$B$7))</f>
        <v/>
      </c>
      <c r="AM48" s="4"/>
      <c r="AN48" s="4"/>
      <c r="AO48" s="141" t="str">
        <f t="shared" si="80"/>
        <v/>
      </c>
      <c r="AP48" s="10"/>
      <c r="AQ48" s="129"/>
      <c r="AR48" s="142" t="s">
        <v>182</v>
      </c>
      <c r="AS48" s="131" t="str">
        <f t="shared" si="81"/>
        <v/>
      </c>
      <c r="AT48" s="132" t="str">
        <f t="shared" si="82"/>
        <v/>
      </c>
      <c r="AU48" s="132" t="str">
        <f t="shared" si="83"/>
        <v/>
      </c>
      <c r="AV48" s="132" t="str">
        <f t="shared" si="84"/>
        <v/>
      </c>
      <c r="AW48" s="132" t="str">
        <f t="shared" si="85"/>
        <v/>
      </c>
      <c r="AX48" s="143" t="str">
        <f t="shared" si="86"/>
        <v/>
      </c>
      <c r="AY48" s="144"/>
      <c r="AZ48" s="8" t="str">
        <f>IF(BA48="","",IF(各種設定金額!$B$7="","○○県",各種設定金額!$B$7))</f>
        <v/>
      </c>
      <c r="BA48" s="4"/>
      <c r="BB48" s="4"/>
      <c r="BC48" s="141" t="str">
        <f t="shared" si="87"/>
        <v/>
      </c>
      <c r="BD48" s="10"/>
      <c r="BE48" s="129"/>
      <c r="BF48" s="145" t="s">
        <v>63</v>
      </c>
      <c r="BG48" s="131" t="str">
        <f t="shared" si="88"/>
        <v/>
      </c>
      <c r="BH48" s="132" t="str">
        <f t="shared" si="89"/>
        <v/>
      </c>
      <c r="BI48" s="132" t="str">
        <f t="shared" si="90"/>
        <v/>
      </c>
      <c r="BJ48" s="132" t="str">
        <f t="shared" si="91"/>
        <v/>
      </c>
      <c r="BK48" s="132" t="str">
        <f t="shared" si="92"/>
        <v/>
      </c>
      <c r="BL48" s="132" t="str">
        <f t="shared" si="93"/>
        <v/>
      </c>
      <c r="BM48" s="146"/>
      <c r="BN48" s="8" t="str">
        <f>IF(BO48="","",IF(各種設定金額!$B$7="","○○県",各種設定金額!$B$7))</f>
        <v/>
      </c>
      <c r="BO48" s="4"/>
      <c r="BP48" s="4"/>
      <c r="BQ48" s="141" t="str">
        <f t="shared" si="94"/>
        <v/>
      </c>
      <c r="BR48" s="10"/>
      <c r="BS48" s="129"/>
      <c r="BT48" s="145" t="s">
        <v>63</v>
      </c>
      <c r="BU48" s="131" t="str">
        <f t="shared" si="95"/>
        <v/>
      </c>
      <c r="BV48" s="132" t="str">
        <f t="shared" si="96"/>
        <v/>
      </c>
      <c r="BW48" s="132" t="str">
        <f t="shared" si="97"/>
        <v/>
      </c>
      <c r="BX48" s="132" t="str">
        <f t="shared" si="98"/>
        <v/>
      </c>
      <c r="BY48" s="132" t="str">
        <f t="shared" si="99"/>
        <v/>
      </c>
      <c r="BZ48" s="132" t="str">
        <f t="shared" si="100"/>
        <v/>
      </c>
      <c r="CA48" s="146"/>
      <c r="CB48" s="10" t="str">
        <f t="shared" si="101"/>
        <v/>
      </c>
      <c r="CC48" s="7" t="str">
        <f t="shared" si="102"/>
        <v/>
      </c>
      <c r="CD48" s="147"/>
      <c r="CE48" s="147"/>
      <c r="CF48" s="4"/>
      <c r="CG48" s="4"/>
      <c r="CH48" s="148">
        <f t="shared" ca="1" si="103"/>
        <v>2026</v>
      </c>
      <c r="CI48" s="121" t="str">
        <f t="shared" ca="1" si="104"/>
        <v>令和</v>
      </c>
      <c r="CJ48" s="122" t="str">
        <f t="shared" ca="1" si="105"/>
        <v>R</v>
      </c>
      <c r="CK48" s="122" t="str">
        <f t="shared" ca="1" si="106"/>
        <v>8</v>
      </c>
      <c r="CL48" s="122">
        <f t="shared" ca="1" si="107"/>
        <v>10</v>
      </c>
      <c r="CM48" s="149">
        <f t="shared" ca="1" si="108"/>
        <v>24</v>
      </c>
      <c r="CN48" s="1"/>
      <c r="CO48" s="150">
        <f t="shared" ca="1" si="109"/>
        <v>46319</v>
      </c>
    </row>
    <row r="49" spans="1:93" ht="20.100000000000001" customHeight="1" x14ac:dyDescent="0.15">
      <c r="A49" s="7" t="str">
        <f>IF(B49="","",ROW()-ROW(会員表[#Headers]))</f>
        <v/>
      </c>
      <c r="B49" s="4" ph="1"/>
      <c r="C49" s="4" t="str" cm="1">
        <f t="array" ref="C49">_xlfn.LET(_xlpm.s,PHONETIC(B49),_xlpm.c,_xlfn.UNICODE(MID(_xlpm.s,_xlfn.SEQUENCE(LEN(_xlpm.s)),1)),IF(_xlpm.s="","",_xlfn.CONCAT(_xlfn.UNICHAR(_xlpm.c-96*(_xlpm.c&gt;=12449)*(_xlpm.c&lt;=12534)))))</f>
        <v/>
      </c>
      <c r="D49" s="4" t="str" cm="1">
        <f t="array" ref="D49">_xlfn.LET(_xlpm.s,PHONETIC(B49),_xlpm.c,_xlfn.UNICODE(MID(_xlpm.s,_xlfn.SEQUENCE(LEN(_xlpm.s)),1)),IF(_xlpm.s="","",_xlfn.CONCAT(_xlfn.UNICHAR(_xlpm.c+96*(_xlpm.c&gt;=12353)*(_xlpm.c&lt;=12438)))))</f>
        <v/>
      </c>
      <c r="E49" s="129" t="str">
        <f t="shared" ca="1" si="55"/>
        <v/>
      </c>
      <c r="F49" s="130" t="str">
        <f t="shared" si="56"/>
        <v/>
      </c>
      <c r="G49" s="130" t="str">
        <f t="shared" si="57"/>
        <v/>
      </c>
      <c r="H49" s="130" t="str">
        <f t="shared" si="58"/>
        <v/>
      </c>
      <c r="I49" s="131" t="str">
        <f t="shared" si="59"/>
        <v/>
      </c>
      <c r="J49" s="132" t="str">
        <f t="shared" si="60"/>
        <v/>
      </c>
      <c r="K49" s="121" t="str">
        <f t="shared" si="61"/>
        <v/>
      </c>
      <c r="L49" s="129" t="str">
        <f t="shared" si="62"/>
        <v/>
      </c>
      <c r="M49" s="7" t="str">
        <f t="shared" si="63"/>
        <v/>
      </c>
      <c r="N49" s="133"/>
      <c r="O49" s="8"/>
      <c r="P49" s="5" t="str">
        <f t="shared" si="64"/>
        <v/>
      </c>
      <c r="Q49" s="121" t="str">
        <f t="shared" si="65"/>
        <v/>
      </c>
      <c r="R49" s="121" t="str">
        <f t="shared" si="66"/>
        <v/>
      </c>
      <c r="S49" s="7" t="str">
        <f t="shared" si="67"/>
        <v/>
      </c>
      <c r="T49" s="5"/>
      <c r="U49" s="5" t="str">
        <f t="shared" si="68"/>
        <v/>
      </c>
      <c r="V49" s="121" t="str">
        <f t="shared" si="69"/>
        <v/>
      </c>
      <c r="W49" s="121" t="str">
        <f t="shared" si="70"/>
        <v/>
      </c>
      <c r="X49" s="7" t="str">
        <f t="shared" si="71"/>
        <v/>
      </c>
      <c r="Y49" s="136"/>
      <c r="Z49" s="5" t="str">
        <f t="shared" si="72"/>
        <v/>
      </c>
      <c r="AA49" s="137" t="s">
        <v>183</v>
      </c>
      <c r="AB49" s="7" t="str">
        <f t="shared" si="73"/>
        <v/>
      </c>
      <c r="AC49" s="9"/>
      <c r="AD49" s="4"/>
      <c r="AE49" s="138" t="str">
        <f t="shared" si="74"/>
        <v/>
      </c>
      <c r="AF49" s="139" t="str">
        <f t="shared" si="75"/>
        <v/>
      </c>
      <c r="AG49" s="139" t="str">
        <f t="shared" si="76"/>
        <v/>
      </c>
      <c r="AH49" s="139" t="str">
        <f t="shared" si="77"/>
        <v/>
      </c>
      <c r="AI49" s="139" t="str">
        <f t="shared" si="78"/>
        <v/>
      </c>
      <c r="AJ49" s="140" t="str">
        <f t="shared" si="79"/>
        <v/>
      </c>
      <c r="AK49" s="8"/>
      <c r="AL49" s="8" t="str">
        <f>IF(AM49="","",IF(各種設定金額!$B$7="","○○県",各種設定金額!$B$7))</f>
        <v/>
      </c>
      <c r="AM49" s="4"/>
      <c r="AN49" s="4"/>
      <c r="AO49" s="141" t="str">
        <f t="shared" si="80"/>
        <v/>
      </c>
      <c r="AP49" s="10"/>
      <c r="AQ49" s="129"/>
      <c r="AR49" s="142" t="s">
        <v>182</v>
      </c>
      <c r="AS49" s="131" t="str">
        <f t="shared" si="81"/>
        <v/>
      </c>
      <c r="AT49" s="132" t="str">
        <f t="shared" si="82"/>
        <v/>
      </c>
      <c r="AU49" s="132" t="str">
        <f t="shared" si="83"/>
        <v/>
      </c>
      <c r="AV49" s="132" t="str">
        <f t="shared" si="84"/>
        <v/>
      </c>
      <c r="AW49" s="132" t="str">
        <f t="shared" si="85"/>
        <v/>
      </c>
      <c r="AX49" s="143" t="str">
        <f t="shared" si="86"/>
        <v/>
      </c>
      <c r="AY49" s="144"/>
      <c r="AZ49" s="8" t="str">
        <f>IF(BA49="","",IF(各種設定金額!$B$7="","○○県",各種設定金額!$B$7))</f>
        <v/>
      </c>
      <c r="BA49" s="6"/>
      <c r="BB49" s="4"/>
      <c r="BC49" s="141" t="str">
        <f t="shared" si="87"/>
        <v/>
      </c>
      <c r="BD49" s="10"/>
      <c r="BE49" s="129"/>
      <c r="BF49" s="145" t="s">
        <v>63</v>
      </c>
      <c r="BG49" s="131" t="str">
        <f t="shared" si="88"/>
        <v/>
      </c>
      <c r="BH49" s="132" t="str">
        <f t="shared" si="89"/>
        <v/>
      </c>
      <c r="BI49" s="132" t="str">
        <f t="shared" si="90"/>
        <v/>
      </c>
      <c r="BJ49" s="132" t="str">
        <f t="shared" si="91"/>
        <v/>
      </c>
      <c r="BK49" s="132" t="str">
        <f t="shared" si="92"/>
        <v/>
      </c>
      <c r="BL49" s="132" t="str">
        <f t="shared" si="93"/>
        <v/>
      </c>
      <c r="BM49" s="146"/>
      <c r="BN49" s="8" t="str">
        <f>IF(BO49="","",IF(各種設定金額!$B$7="","○○県",各種設定金額!$B$7))</f>
        <v/>
      </c>
      <c r="BO49" s="6"/>
      <c r="BP49" s="4"/>
      <c r="BQ49" s="141" t="str">
        <f t="shared" si="94"/>
        <v/>
      </c>
      <c r="BR49" s="10"/>
      <c r="BS49" s="129"/>
      <c r="BT49" s="145" t="s">
        <v>63</v>
      </c>
      <c r="BU49" s="131" t="str">
        <f t="shared" si="95"/>
        <v/>
      </c>
      <c r="BV49" s="132" t="str">
        <f t="shared" si="96"/>
        <v/>
      </c>
      <c r="BW49" s="132" t="str">
        <f t="shared" si="97"/>
        <v/>
      </c>
      <c r="BX49" s="132" t="str">
        <f t="shared" si="98"/>
        <v/>
      </c>
      <c r="BY49" s="132" t="str">
        <f t="shared" si="99"/>
        <v/>
      </c>
      <c r="BZ49" s="132" t="str">
        <f t="shared" si="100"/>
        <v/>
      </c>
      <c r="CA49" s="146"/>
      <c r="CB49" s="10" t="str">
        <f t="shared" si="101"/>
        <v/>
      </c>
      <c r="CC49" s="7" t="str">
        <f t="shared" si="102"/>
        <v/>
      </c>
      <c r="CD49" s="147"/>
      <c r="CE49" s="147"/>
      <c r="CF49" s="6"/>
      <c r="CG49" s="4"/>
      <c r="CH49" s="148">
        <f t="shared" ca="1" si="103"/>
        <v>2026</v>
      </c>
      <c r="CI49" s="121" t="str">
        <f t="shared" ca="1" si="104"/>
        <v>令和</v>
      </c>
      <c r="CJ49" s="122" t="str">
        <f t="shared" ca="1" si="105"/>
        <v>R</v>
      </c>
      <c r="CK49" s="122" t="str">
        <f t="shared" ca="1" si="106"/>
        <v>8</v>
      </c>
      <c r="CL49" s="122">
        <f t="shared" ca="1" si="107"/>
        <v>10</v>
      </c>
      <c r="CM49" s="149">
        <f t="shared" ca="1" si="108"/>
        <v>24</v>
      </c>
      <c r="CN49" s="1"/>
      <c r="CO49" s="150">
        <f t="shared" ca="1" si="109"/>
        <v>46319</v>
      </c>
    </row>
    <row r="50" spans="1:93" ht="20.100000000000001" customHeight="1" x14ac:dyDescent="0.15">
      <c r="A50" s="7" t="str">
        <f>IF(B50="","",ROW()-ROW(会員表[#Headers]))</f>
        <v/>
      </c>
      <c r="B50" s="4" ph="1"/>
      <c r="C50" s="4" t="str" cm="1">
        <f t="array" ref="C50">_xlfn.LET(_xlpm.s,PHONETIC(B50),_xlpm.c,_xlfn.UNICODE(MID(_xlpm.s,_xlfn.SEQUENCE(LEN(_xlpm.s)),1)),IF(_xlpm.s="","",_xlfn.CONCAT(_xlfn.UNICHAR(_xlpm.c-96*(_xlpm.c&gt;=12449)*(_xlpm.c&lt;=12534)))))</f>
        <v/>
      </c>
      <c r="D50" s="4" t="str" cm="1">
        <f t="array" ref="D50">_xlfn.LET(_xlpm.s,PHONETIC(B50),_xlpm.c,_xlfn.UNICODE(MID(_xlpm.s,_xlfn.SEQUENCE(LEN(_xlpm.s)),1)),IF(_xlpm.s="","",_xlfn.CONCAT(_xlfn.UNICHAR(_xlpm.c+96*(_xlpm.c&gt;=12353)*(_xlpm.c&lt;=12438)))))</f>
        <v/>
      </c>
      <c r="E50" s="129" t="str">
        <f t="shared" ca="1" si="55"/>
        <v/>
      </c>
      <c r="F50" s="130" t="str">
        <f t="shared" si="56"/>
        <v/>
      </c>
      <c r="G50" s="130" t="str">
        <f t="shared" si="57"/>
        <v/>
      </c>
      <c r="H50" s="130" t="str">
        <f t="shared" si="58"/>
        <v/>
      </c>
      <c r="I50" s="131" t="str">
        <f t="shared" si="59"/>
        <v/>
      </c>
      <c r="J50" s="132" t="str">
        <f t="shared" si="60"/>
        <v/>
      </c>
      <c r="K50" s="121" t="str">
        <f t="shared" si="61"/>
        <v/>
      </c>
      <c r="L50" s="129" t="str">
        <f t="shared" si="62"/>
        <v/>
      </c>
      <c r="M50" s="7" t="str">
        <f t="shared" si="63"/>
        <v/>
      </c>
      <c r="N50" s="133"/>
      <c r="O50" s="8"/>
      <c r="P50" s="5" t="str">
        <f t="shared" si="64"/>
        <v/>
      </c>
      <c r="Q50" s="121" t="str">
        <f t="shared" si="65"/>
        <v/>
      </c>
      <c r="R50" s="121" t="str">
        <f t="shared" si="66"/>
        <v/>
      </c>
      <c r="S50" s="7" t="str">
        <f t="shared" si="67"/>
        <v/>
      </c>
      <c r="T50" s="5"/>
      <c r="U50" s="5" t="str">
        <f t="shared" si="68"/>
        <v/>
      </c>
      <c r="V50" s="121" t="str">
        <f t="shared" si="69"/>
        <v/>
      </c>
      <c r="W50" s="121" t="str">
        <f t="shared" si="70"/>
        <v/>
      </c>
      <c r="X50" s="7" t="str">
        <f t="shared" si="71"/>
        <v/>
      </c>
      <c r="Y50" s="136"/>
      <c r="Z50" s="5" t="str">
        <f t="shared" si="72"/>
        <v/>
      </c>
      <c r="AA50" s="137" t="s">
        <v>183</v>
      </c>
      <c r="AB50" s="7" t="str">
        <f t="shared" si="73"/>
        <v/>
      </c>
      <c r="AC50" s="9"/>
      <c r="AD50" s="4"/>
      <c r="AE50" s="138" t="str">
        <f t="shared" si="74"/>
        <v/>
      </c>
      <c r="AF50" s="139" t="str">
        <f t="shared" si="75"/>
        <v/>
      </c>
      <c r="AG50" s="139" t="str">
        <f t="shared" si="76"/>
        <v/>
      </c>
      <c r="AH50" s="139" t="str">
        <f t="shared" si="77"/>
        <v/>
      </c>
      <c r="AI50" s="139" t="str">
        <f t="shared" si="78"/>
        <v/>
      </c>
      <c r="AJ50" s="140" t="str">
        <f t="shared" si="79"/>
        <v/>
      </c>
      <c r="AK50" s="8"/>
      <c r="AL50" s="8" t="str">
        <f>IF(AM50="","",IF(各種設定金額!$B$7="","○○県",各種設定金額!$B$7))</f>
        <v/>
      </c>
      <c r="AM50" s="4"/>
      <c r="AN50" s="4"/>
      <c r="AO50" s="141" t="str">
        <f t="shared" si="80"/>
        <v/>
      </c>
      <c r="AP50" s="10"/>
      <c r="AQ50" s="129"/>
      <c r="AR50" s="142" t="s">
        <v>182</v>
      </c>
      <c r="AS50" s="131" t="str">
        <f t="shared" si="81"/>
        <v/>
      </c>
      <c r="AT50" s="132" t="str">
        <f t="shared" si="82"/>
        <v/>
      </c>
      <c r="AU50" s="132" t="str">
        <f t="shared" si="83"/>
        <v/>
      </c>
      <c r="AV50" s="132" t="str">
        <f t="shared" si="84"/>
        <v/>
      </c>
      <c r="AW50" s="132" t="str">
        <f t="shared" si="85"/>
        <v/>
      </c>
      <c r="AX50" s="143" t="str">
        <f t="shared" si="86"/>
        <v/>
      </c>
      <c r="AY50" s="144"/>
      <c r="AZ50" s="8" t="str">
        <f>IF(BA50="","",IF(各種設定金額!$B$7="","○○県",各種設定金額!$B$7))</f>
        <v/>
      </c>
      <c r="BA50" s="4"/>
      <c r="BB50" s="4"/>
      <c r="BC50" s="141" t="str">
        <f t="shared" si="87"/>
        <v/>
      </c>
      <c r="BD50" s="10"/>
      <c r="BE50" s="129"/>
      <c r="BF50" s="145" t="s">
        <v>63</v>
      </c>
      <c r="BG50" s="131" t="str">
        <f t="shared" si="88"/>
        <v/>
      </c>
      <c r="BH50" s="132" t="str">
        <f t="shared" si="89"/>
        <v/>
      </c>
      <c r="BI50" s="132" t="str">
        <f t="shared" si="90"/>
        <v/>
      </c>
      <c r="BJ50" s="132" t="str">
        <f t="shared" si="91"/>
        <v/>
      </c>
      <c r="BK50" s="132" t="str">
        <f t="shared" si="92"/>
        <v/>
      </c>
      <c r="BL50" s="132" t="str">
        <f t="shared" si="93"/>
        <v/>
      </c>
      <c r="BM50" s="146"/>
      <c r="BN50" s="8" t="str">
        <f>IF(BO50="","",IF(各種設定金額!$B$7="","○○県",各種設定金額!$B$7))</f>
        <v/>
      </c>
      <c r="BO50" s="4"/>
      <c r="BP50" s="4"/>
      <c r="BQ50" s="141" t="str">
        <f t="shared" si="94"/>
        <v/>
      </c>
      <c r="BR50" s="10"/>
      <c r="BS50" s="129"/>
      <c r="BT50" s="145" t="s">
        <v>63</v>
      </c>
      <c r="BU50" s="131" t="str">
        <f t="shared" si="95"/>
        <v/>
      </c>
      <c r="BV50" s="132" t="str">
        <f t="shared" si="96"/>
        <v/>
      </c>
      <c r="BW50" s="132" t="str">
        <f t="shared" si="97"/>
        <v/>
      </c>
      <c r="BX50" s="132" t="str">
        <f t="shared" si="98"/>
        <v/>
      </c>
      <c r="BY50" s="132" t="str">
        <f t="shared" si="99"/>
        <v/>
      </c>
      <c r="BZ50" s="132" t="str">
        <f t="shared" si="100"/>
        <v/>
      </c>
      <c r="CA50" s="146"/>
      <c r="CB50" s="10" t="str">
        <f t="shared" si="101"/>
        <v/>
      </c>
      <c r="CC50" s="7" t="str">
        <f t="shared" si="102"/>
        <v/>
      </c>
      <c r="CD50" s="147"/>
      <c r="CE50" s="147"/>
      <c r="CF50" s="4"/>
      <c r="CG50" s="4"/>
      <c r="CH50" s="148">
        <f t="shared" ca="1" si="103"/>
        <v>2026</v>
      </c>
      <c r="CI50" s="121" t="str">
        <f t="shared" ca="1" si="104"/>
        <v>令和</v>
      </c>
      <c r="CJ50" s="122" t="str">
        <f t="shared" ca="1" si="105"/>
        <v>R</v>
      </c>
      <c r="CK50" s="122" t="str">
        <f t="shared" ca="1" si="106"/>
        <v>8</v>
      </c>
      <c r="CL50" s="122">
        <f t="shared" ca="1" si="107"/>
        <v>10</v>
      </c>
      <c r="CM50" s="149">
        <f t="shared" ca="1" si="108"/>
        <v>24</v>
      </c>
      <c r="CN50" s="1"/>
      <c r="CO50" s="150">
        <f t="shared" ca="1" si="109"/>
        <v>46319</v>
      </c>
    </row>
    <row r="51" spans="1:93" ht="20.100000000000001" customHeight="1" x14ac:dyDescent="0.15">
      <c r="A51" s="7" t="str">
        <f>IF(B51="","",ROW()-ROW(会員表[#Headers]))</f>
        <v/>
      </c>
      <c r="B51" s="4" ph="1"/>
      <c r="C51" s="4" t="str" cm="1">
        <f t="array" ref="C51">_xlfn.LET(_xlpm.s,PHONETIC(B51),_xlpm.c,_xlfn.UNICODE(MID(_xlpm.s,_xlfn.SEQUENCE(LEN(_xlpm.s)),1)),IF(_xlpm.s="","",_xlfn.CONCAT(_xlfn.UNICHAR(_xlpm.c-96*(_xlpm.c&gt;=12449)*(_xlpm.c&lt;=12534)))))</f>
        <v/>
      </c>
      <c r="D51" s="4" t="str" cm="1">
        <f t="array" ref="D51">_xlfn.LET(_xlpm.s,PHONETIC(B51),_xlpm.c,_xlfn.UNICODE(MID(_xlpm.s,_xlfn.SEQUENCE(LEN(_xlpm.s)),1)),IF(_xlpm.s="","",_xlfn.CONCAT(_xlfn.UNICHAR(_xlpm.c+96*(_xlpm.c&gt;=12353)*(_xlpm.c&lt;=12438)))))</f>
        <v/>
      </c>
      <c r="E51" s="129" t="str">
        <f t="shared" ca="1" si="55"/>
        <v/>
      </c>
      <c r="F51" s="130" t="str">
        <f t="shared" si="56"/>
        <v/>
      </c>
      <c r="G51" s="130" t="str">
        <f t="shared" si="57"/>
        <v/>
      </c>
      <c r="H51" s="130" t="str">
        <f t="shared" si="58"/>
        <v/>
      </c>
      <c r="I51" s="131" t="str">
        <f t="shared" si="59"/>
        <v/>
      </c>
      <c r="J51" s="132" t="str">
        <f t="shared" si="60"/>
        <v/>
      </c>
      <c r="K51" s="121" t="str">
        <f t="shared" si="61"/>
        <v/>
      </c>
      <c r="L51" s="129" t="str">
        <f t="shared" si="62"/>
        <v/>
      </c>
      <c r="M51" s="7" t="str">
        <f t="shared" si="63"/>
        <v/>
      </c>
      <c r="N51" s="133"/>
      <c r="O51" s="8"/>
      <c r="P51" s="5" t="str">
        <f t="shared" si="64"/>
        <v/>
      </c>
      <c r="Q51" s="121" t="str">
        <f t="shared" si="65"/>
        <v/>
      </c>
      <c r="R51" s="121" t="str">
        <f t="shared" si="66"/>
        <v/>
      </c>
      <c r="S51" s="7" t="str">
        <f t="shared" si="67"/>
        <v/>
      </c>
      <c r="T51" s="5"/>
      <c r="U51" s="5" t="str">
        <f t="shared" si="68"/>
        <v/>
      </c>
      <c r="V51" s="121" t="str">
        <f t="shared" si="69"/>
        <v/>
      </c>
      <c r="W51" s="121" t="str">
        <f t="shared" si="70"/>
        <v/>
      </c>
      <c r="X51" s="7" t="str">
        <f t="shared" si="71"/>
        <v/>
      </c>
      <c r="Y51" s="136"/>
      <c r="Z51" s="5" t="str">
        <f t="shared" si="72"/>
        <v/>
      </c>
      <c r="AA51" s="137" t="s">
        <v>183</v>
      </c>
      <c r="AB51" s="7" t="str">
        <f t="shared" si="73"/>
        <v/>
      </c>
      <c r="AC51" s="9"/>
      <c r="AD51" s="4"/>
      <c r="AE51" s="138" t="str">
        <f t="shared" si="74"/>
        <v/>
      </c>
      <c r="AF51" s="139" t="str">
        <f t="shared" si="75"/>
        <v/>
      </c>
      <c r="AG51" s="139" t="str">
        <f t="shared" si="76"/>
        <v/>
      </c>
      <c r="AH51" s="139" t="str">
        <f t="shared" si="77"/>
        <v/>
      </c>
      <c r="AI51" s="139" t="str">
        <f t="shared" si="78"/>
        <v/>
      </c>
      <c r="AJ51" s="140" t="str">
        <f t="shared" si="79"/>
        <v/>
      </c>
      <c r="AK51" s="8"/>
      <c r="AL51" s="8" t="str">
        <f>IF(AM51="","",IF(各種設定金額!$B$7="","○○県",各種設定金額!$B$7))</f>
        <v/>
      </c>
      <c r="AM51" s="4"/>
      <c r="AN51" s="4"/>
      <c r="AO51" s="141" t="str">
        <f t="shared" si="80"/>
        <v/>
      </c>
      <c r="AP51" s="10"/>
      <c r="AQ51" s="129"/>
      <c r="AR51" s="142" t="s">
        <v>182</v>
      </c>
      <c r="AS51" s="131" t="str">
        <f t="shared" si="81"/>
        <v/>
      </c>
      <c r="AT51" s="132" t="str">
        <f t="shared" si="82"/>
        <v/>
      </c>
      <c r="AU51" s="132" t="str">
        <f t="shared" si="83"/>
        <v/>
      </c>
      <c r="AV51" s="132" t="str">
        <f t="shared" si="84"/>
        <v/>
      </c>
      <c r="AW51" s="132" t="str">
        <f t="shared" si="85"/>
        <v/>
      </c>
      <c r="AX51" s="143" t="str">
        <f t="shared" si="86"/>
        <v/>
      </c>
      <c r="AY51" s="144"/>
      <c r="AZ51" s="8" t="str">
        <f>IF(BA51="","",IF(各種設定金額!$B$7="","○○県",各種設定金額!$B$7))</f>
        <v/>
      </c>
      <c r="BA51" s="6"/>
      <c r="BB51" s="4"/>
      <c r="BC51" s="141" t="str">
        <f t="shared" si="87"/>
        <v/>
      </c>
      <c r="BD51" s="10"/>
      <c r="BE51" s="129"/>
      <c r="BF51" s="145" t="s">
        <v>63</v>
      </c>
      <c r="BG51" s="131" t="str">
        <f t="shared" si="88"/>
        <v/>
      </c>
      <c r="BH51" s="132" t="str">
        <f t="shared" si="89"/>
        <v/>
      </c>
      <c r="BI51" s="132" t="str">
        <f t="shared" si="90"/>
        <v/>
      </c>
      <c r="BJ51" s="132" t="str">
        <f t="shared" si="91"/>
        <v/>
      </c>
      <c r="BK51" s="132" t="str">
        <f t="shared" si="92"/>
        <v/>
      </c>
      <c r="BL51" s="132" t="str">
        <f t="shared" si="93"/>
        <v/>
      </c>
      <c r="BM51" s="146"/>
      <c r="BN51" s="8" t="str">
        <f>IF(BO51="","",IF(各種設定金額!$B$7="","○○県",各種設定金額!$B$7))</f>
        <v/>
      </c>
      <c r="BO51" s="6"/>
      <c r="BP51" s="4"/>
      <c r="BQ51" s="141" t="str">
        <f t="shared" si="94"/>
        <v/>
      </c>
      <c r="BR51" s="10"/>
      <c r="BS51" s="129"/>
      <c r="BT51" s="145" t="s">
        <v>63</v>
      </c>
      <c r="BU51" s="131" t="str">
        <f t="shared" si="95"/>
        <v/>
      </c>
      <c r="BV51" s="132" t="str">
        <f t="shared" si="96"/>
        <v/>
      </c>
      <c r="BW51" s="132" t="str">
        <f t="shared" si="97"/>
        <v/>
      </c>
      <c r="BX51" s="132" t="str">
        <f t="shared" si="98"/>
        <v/>
      </c>
      <c r="BY51" s="132" t="str">
        <f t="shared" si="99"/>
        <v/>
      </c>
      <c r="BZ51" s="132" t="str">
        <f t="shared" si="100"/>
        <v/>
      </c>
      <c r="CA51" s="146"/>
      <c r="CB51" s="10" t="str">
        <f t="shared" si="101"/>
        <v/>
      </c>
      <c r="CC51" s="7" t="str">
        <f t="shared" si="102"/>
        <v/>
      </c>
      <c r="CD51" s="147"/>
      <c r="CE51" s="147"/>
      <c r="CF51" s="6"/>
      <c r="CG51" s="4"/>
      <c r="CH51" s="148">
        <f t="shared" ca="1" si="103"/>
        <v>2026</v>
      </c>
      <c r="CI51" s="121" t="str">
        <f t="shared" ca="1" si="104"/>
        <v>令和</v>
      </c>
      <c r="CJ51" s="122" t="str">
        <f t="shared" ca="1" si="105"/>
        <v>R</v>
      </c>
      <c r="CK51" s="122" t="str">
        <f t="shared" ca="1" si="106"/>
        <v>8</v>
      </c>
      <c r="CL51" s="122">
        <f t="shared" ca="1" si="107"/>
        <v>10</v>
      </c>
      <c r="CM51" s="149">
        <f t="shared" ca="1" si="108"/>
        <v>24</v>
      </c>
      <c r="CN51" s="1"/>
      <c r="CO51" s="150">
        <f t="shared" ca="1" si="109"/>
        <v>46319</v>
      </c>
    </row>
    <row r="52" spans="1:93" ht="20.100000000000001" customHeight="1" x14ac:dyDescent="0.15">
      <c r="A52" s="7" t="str">
        <f>IF(B52="","",ROW()-ROW(会員表[#Headers]))</f>
        <v/>
      </c>
      <c r="B52" s="4" ph="1"/>
      <c r="C52" s="4" t="str" cm="1">
        <f t="array" ref="C52">_xlfn.LET(_xlpm.s,PHONETIC(B52),_xlpm.c,_xlfn.UNICODE(MID(_xlpm.s,_xlfn.SEQUENCE(LEN(_xlpm.s)),1)),IF(_xlpm.s="","",_xlfn.CONCAT(_xlfn.UNICHAR(_xlpm.c-96*(_xlpm.c&gt;=12449)*(_xlpm.c&lt;=12534)))))</f>
        <v/>
      </c>
      <c r="D52" s="4" t="str" cm="1">
        <f t="array" ref="D52">_xlfn.LET(_xlpm.s,PHONETIC(B52),_xlpm.c,_xlfn.UNICODE(MID(_xlpm.s,_xlfn.SEQUENCE(LEN(_xlpm.s)),1)),IF(_xlpm.s="","",_xlfn.CONCAT(_xlfn.UNICHAR(_xlpm.c+96*(_xlpm.c&gt;=12353)*(_xlpm.c&lt;=12438)))))</f>
        <v/>
      </c>
      <c r="E52" s="129" t="str">
        <f t="shared" ca="1" si="55"/>
        <v/>
      </c>
      <c r="F52" s="130" t="str">
        <f t="shared" si="56"/>
        <v/>
      </c>
      <c r="G52" s="130" t="str">
        <f t="shared" si="57"/>
        <v/>
      </c>
      <c r="H52" s="130" t="str">
        <f t="shared" si="58"/>
        <v/>
      </c>
      <c r="I52" s="131" t="str">
        <f t="shared" si="59"/>
        <v/>
      </c>
      <c r="J52" s="132" t="str">
        <f t="shared" si="60"/>
        <v/>
      </c>
      <c r="K52" s="121" t="str">
        <f t="shared" si="61"/>
        <v/>
      </c>
      <c r="L52" s="129" t="str">
        <f t="shared" si="62"/>
        <v/>
      </c>
      <c r="M52" s="7" t="str">
        <f t="shared" si="63"/>
        <v/>
      </c>
      <c r="N52" s="133"/>
      <c r="O52" s="8"/>
      <c r="P52" s="5" t="str">
        <f t="shared" si="64"/>
        <v/>
      </c>
      <c r="Q52" s="121" t="str">
        <f t="shared" si="65"/>
        <v/>
      </c>
      <c r="R52" s="121" t="str">
        <f t="shared" si="66"/>
        <v/>
      </c>
      <c r="S52" s="7" t="str">
        <f t="shared" si="67"/>
        <v/>
      </c>
      <c r="T52" s="5"/>
      <c r="U52" s="5" t="str">
        <f t="shared" si="68"/>
        <v/>
      </c>
      <c r="V52" s="121" t="str">
        <f t="shared" si="69"/>
        <v/>
      </c>
      <c r="W52" s="121" t="str">
        <f t="shared" si="70"/>
        <v/>
      </c>
      <c r="X52" s="7" t="str">
        <f t="shared" si="71"/>
        <v/>
      </c>
      <c r="Y52" s="136"/>
      <c r="Z52" s="5" t="str">
        <f t="shared" si="72"/>
        <v/>
      </c>
      <c r="AA52" s="137" t="s">
        <v>183</v>
      </c>
      <c r="AB52" s="7" t="str">
        <f t="shared" si="73"/>
        <v/>
      </c>
      <c r="AC52" s="9"/>
      <c r="AD52" s="4"/>
      <c r="AE52" s="138" t="str">
        <f t="shared" si="74"/>
        <v/>
      </c>
      <c r="AF52" s="139" t="str">
        <f t="shared" si="75"/>
        <v/>
      </c>
      <c r="AG52" s="139" t="str">
        <f t="shared" si="76"/>
        <v/>
      </c>
      <c r="AH52" s="139" t="str">
        <f t="shared" si="77"/>
        <v/>
      </c>
      <c r="AI52" s="139" t="str">
        <f t="shared" si="78"/>
        <v/>
      </c>
      <c r="AJ52" s="140" t="str">
        <f t="shared" si="79"/>
        <v/>
      </c>
      <c r="AK52" s="8"/>
      <c r="AL52" s="8" t="str">
        <f>IF(AM52="","",IF(各種設定金額!$B$7="","○○県",各種設定金額!$B$7))</f>
        <v/>
      </c>
      <c r="AM52" s="4"/>
      <c r="AN52" s="4"/>
      <c r="AO52" s="141" t="str">
        <f t="shared" si="80"/>
        <v/>
      </c>
      <c r="AP52" s="10"/>
      <c r="AQ52" s="129"/>
      <c r="AR52" s="142" t="s">
        <v>182</v>
      </c>
      <c r="AS52" s="131" t="str">
        <f t="shared" si="81"/>
        <v/>
      </c>
      <c r="AT52" s="132" t="str">
        <f t="shared" si="82"/>
        <v/>
      </c>
      <c r="AU52" s="132" t="str">
        <f t="shared" si="83"/>
        <v/>
      </c>
      <c r="AV52" s="132" t="str">
        <f t="shared" si="84"/>
        <v/>
      </c>
      <c r="AW52" s="132" t="str">
        <f t="shared" si="85"/>
        <v/>
      </c>
      <c r="AX52" s="143" t="str">
        <f t="shared" si="86"/>
        <v/>
      </c>
      <c r="AY52" s="144"/>
      <c r="AZ52" s="8" t="str">
        <f>IF(BA52="","",IF(各種設定金額!$B$7="","○○県",各種設定金額!$B$7))</f>
        <v/>
      </c>
      <c r="BA52" s="6"/>
      <c r="BB52" s="4"/>
      <c r="BC52" s="141" t="str">
        <f t="shared" si="87"/>
        <v/>
      </c>
      <c r="BD52" s="10"/>
      <c r="BE52" s="129"/>
      <c r="BF52" s="145" t="s">
        <v>63</v>
      </c>
      <c r="BG52" s="131" t="str">
        <f t="shared" si="88"/>
        <v/>
      </c>
      <c r="BH52" s="132" t="str">
        <f t="shared" si="89"/>
        <v/>
      </c>
      <c r="BI52" s="132" t="str">
        <f t="shared" si="90"/>
        <v/>
      </c>
      <c r="BJ52" s="132" t="str">
        <f t="shared" si="91"/>
        <v/>
      </c>
      <c r="BK52" s="132" t="str">
        <f t="shared" si="92"/>
        <v/>
      </c>
      <c r="BL52" s="132" t="str">
        <f t="shared" si="93"/>
        <v/>
      </c>
      <c r="BM52" s="146"/>
      <c r="BN52" s="8" t="str">
        <f>IF(BO52="","",IF(各種設定金額!$B$7="","○○県",各種設定金額!$B$7))</f>
        <v/>
      </c>
      <c r="BO52" s="6"/>
      <c r="BP52" s="4"/>
      <c r="BQ52" s="141" t="str">
        <f t="shared" si="94"/>
        <v/>
      </c>
      <c r="BR52" s="10"/>
      <c r="BS52" s="129"/>
      <c r="BT52" s="145" t="s">
        <v>63</v>
      </c>
      <c r="BU52" s="131" t="str">
        <f t="shared" si="95"/>
        <v/>
      </c>
      <c r="BV52" s="132" t="str">
        <f t="shared" si="96"/>
        <v/>
      </c>
      <c r="BW52" s="132" t="str">
        <f t="shared" si="97"/>
        <v/>
      </c>
      <c r="BX52" s="132" t="str">
        <f t="shared" si="98"/>
        <v/>
      </c>
      <c r="BY52" s="132" t="str">
        <f t="shared" si="99"/>
        <v/>
      </c>
      <c r="BZ52" s="132" t="str">
        <f t="shared" si="100"/>
        <v/>
      </c>
      <c r="CA52" s="146"/>
      <c r="CB52" s="10" t="str">
        <f t="shared" si="101"/>
        <v/>
      </c>
      <c r="CC52" s="7" t="str">
        <f t="shared" si="102"/>
        <v/>
      </c>
      <c r="CD52" s="147"/>
      <c r="CE52" s="147"/>
      <c r="CF52" s="6"/>
      <c r="CG52" s="4"/>
      <c r="CH52" s="148">
        <f t="shared" ca="1" si="103"/>
        <v>2026</v>
      </c>
      <c r="CI52" s="121" t="str">
        <f t="shared" ca="1" si="104"/>
        <v>令和</v>
      </c>
      <c r="CJ52" s="122" t="str">
        <f t="shared" ca="1" si="105"/>
        <v>R</v>
      </c>
      <c r="CK52" s="122" t="str">
        <f t="shared" ca="1" si="106"/>
        <v>8</v>
      </c>
      <c r="CL52" s="122">
        <f t="shared" ca="1" si="107"/>
        <v>10</v>
      </c>
      <c r="CM52" s="149">
        <f t="shared" ca="1" si="108"/>
        <v>24</v>
      </c>
      <c r="CN52" s="1"/>
      <c r="CO52" s="150">
        <f t="shared" ca="1" si="109"/>
        <v>46319</v>
      </c>
    </row>
    <row r="53" spans="1:93" ht="20.100000000000001" customHeight="1" x14ac:dyDescent="0.15">
      <c r="A53" s="7" t="str">
        <f>IF(B53="","",ROW()-ROW(会員表[#Headers]))</f>
        <v/>
      </c>
      <c r="B53" s="4" ph="1"/>
      <c r="C53" s="4" t="str" cm="1">
        <f t="array" ref="C53">_xlfn.LET(_xlpm.s,PHONETIC(B53),_xlpm.c,_xlfn.UNICODE(MID(_xlpm.s,_xlfn.SEQUENCE(LEN(_xlpm.s)),1)),IF(_xlpm.s="","",_xlfn.CONCAT(_xlfn.UNICHAR(_xlpm.c-96*(_xlpm.c&gt;=12449)*(_xlpm.c&lt;=12534)))))</f>
        <v/>
      </c>
      <c r="D53" s="4" t="str" cm="1">
        <f t="array" ref="D53">_xlfn.LET(_xlpm.s,PHONETIC(B53),_xlpm.c,_xlfn.UNICODE(MID(_xlpm.s,_xlfn.SEQUENCE(LEN(_xlpm.s)),1)),IF(_xlpm.s="","",_xlfn.CONCAT(_xlfn.UNICHAR(_xlpm.c+96*(_xlpm.c&gt;=12353)*(_xlpm.c&lt;=12438)))))</f>
        <v/>
      </c>
      <c r="E53" s="129" t="str">
        <f t="shared" ca="1" si="55"/>
        <v/>
      </c>
      <c r="F53" s="130" t="str">
        <f t="shared" si="56"/>
        <v/>
      </c>
      <c r="G53" s="130" t="str">
        <f t="shared" si="57"/>
        <v/>
      </c>
      <c r="H53" s="130" t="str">
        <f t="shared" si="58"/>
        <v/>
      </c>
      <c r="I53" s="131" t="str">
        <f t="shared" si="59"/>
        <v/>
      </c>
      <c r="J53" s="132" t="str">
        <f t="shared" si="60"/>
        <v/>
      </c>
      <c r="K53" s="121" t="str">
        <f t="shared" si="61"/>
        <v/>
      </c>
      <c r="L53" s="129" t="str">
        <f t="shared" si="62"/>
        <v/>
      </c>
      <c r="M53" s="7" t="str">
        <f t="shared" si="63"/>
        <v/>
      </c>
      <c r="N53" s="133"/>
      <c r="O53" s="8"/>
      <c r="P53" s="5" t="str">
        <f t="shared" si="64"/>
        <v/>
      </c>
      <c r="Q53" s="121" t="str">
        <f t="shared" si="65"/>
        <v/>
      </c>
      <c r="R53" s="121" t="str">
        <f t="shared" si="66"/>
        <v/>
      </c>
      <c r="S53" s="7" t="str">
        <f t="shared" si="67"/>
        <v/>
      </c>
      <c r="T53" s="5"/>
      <c r="U53" s="5" t="str">
        <f t="shared" si="68"/>
        <v/>
      </c>
      <c r="V53" s="121" t="str">
        <f t="shared" si="69"/>
        <v/>
      </c>
      <c r="W53" s="121" t="str">
        <f t="shared" si="70"/>
        <v/>
      </c>
      <c r="X53" s="7" t="str">
        <f t="shared" si="71"/>
        <v/>
      </c>
      <c r="Y53" s="136"/>
      <c r="Z53" s="5" t="str">
        <f t="shared" si="72"/>
        <v/>
      </c>
      <c r="AA53" s="137" t="s">
        <v>183</v>
      </c>
      <c r="AB53" s="7" t="str">
        <f t="shared" si="73"/>
        <v/>
      </c>
      <c r="AC53" s="9"/>
      <c r="AD53" s="4"/>
      <c r="AE53" s="138" t="str">
        <f t="shared" si="74"/>
        <v/>
      </c>
      <c r="AF53" s="139" t="str">
        <f t="shared" si="75"/>
        <v/>
      </c>
      <c r="AG53" s="139" t="str">
        <f t="shared" si="76"/>
        <v/>
      </c>
      <c r="AH53" s="139" t="str">
        <f t="shared" si="77"/>
        <v/>
      </c>
      <c r="AI53" s="139" t="str">
        <f t="shared" si="78"/>
        <v/>
      </c>
      <c r="AJ53" s="140" t="str">
        <f t="shared" si="79"/>
        <v/>
      </c>
      <c r="AK53" s="8"/>
      <c r="AL53" s="8" t="str">
        <f>IF(AM53="","",IF(各種設定金額!$B$7="","○○県",各種設定金額!$B$7))</f>
        <v/>
      </c>
      <c r="AM53" s="4"/>
      <c r="AN53" s="4"/>
      <c r="AO53" s="141" t="str">
        <f t="shared" si="80"/>
        <v/>
      </c>
      <c r="AP53" s="10"/>
      <c r="AQ53" s="129"/>
      <c r="AR53" s="142" t="s">
        <v>182</v>
      </c>
      <c r="AS53" s="131" t="str">
        <f t="shared" si="81"/>
        <v/>
      </c>
      <c r="AT53" s="132" t="str">
        <f t="shared" si="82"/>
        <v/>
      </c>
      <c r="AU53" s="132" t="str">
        <f t="shared" si="83"/>
        <v/>
      </c>
      <c r="AV53" s="132" t="str">
        <f t="shared" si="84"/>
        <v/>
      </c>
      <c r="AW53" s="132" t="str">
        <f t="shared" si="85"/>
        <v/>
      </c>
      <c r="AX53" s="143" t="str">
        <f t="shared" si="86"/>
        <v/>
      </c>
      <c r="AY53" s="144"/>
      <c r="AZ53" s="8" t="str">
        <f>IF(BA53="","",IF(各種設定金額!$B$7="","○○県",各種設定金額!$B$7))</f>
        <v/>
      </c>
      <c r="BA53" s="6"/>
      <c r="BB53" s="4"/>
      <c r="BC53" s="141" t="str">
        <f t="shared" si="87"/>
        <v/>
      </c>
      <c r="BD53" s="10"/>
      <c r="BE53" s="129"/>
      <c r="BF53" s="145" t="s">
        <v>63</v>
      </c>
      <c r="BG53" s="131" t="str">
        <f t="shared" si="88"/>
        <v/>
      </c>
      <c r="BH53" s="132" t="str">
        <f t="shared" si="89"/>
        <v/>
      </c>
      <c r="BI53" s="132" t="str">
        <f t="shared" si="90"/>
        <v/>
      </c>
      <c r="BJ53" s="132" t="str">
        <f t="shared" si="91"/>
        <v/>
      </c>
      <c r="BK53" s="132" t="str">
        <f t="shared" si="92"/>
        <v/>
      </c>
      <c r="BL53" s="132" t="str">
        <f t="shared" si="93"/>
        <v/>
      </c>
      <c r="BM53" s="146"/>
      <c r="BN53" s="8" t="str">
        <f>IF(BO53="","",IF(各種設定金額!$B$7="","○○県",各種設定金額!$B$7))</f>
        <v/>
      </c>
      <c r="BO53" s="6"/>
      <c r="BP53" s="4"/>
      <c r="BQ53" s="141" t="str">
        <f t="shared" si="94"/>
        <v/>
      </c>
      <c r="BR53" s="10"/>
      <c r="BS53" s="129"/>
      <c r="BT53" s="145" t="s">
        <v>63</v>
      </c>
      <c r="BU53" s="131" t="str">
        <f t="shared" si="95"/>
        <v/>
      </c>
      <c r="BV53" s="132" t="str">
        <f t="shared" si="96"/>
        <v/>
      </c>
      <c r="BW53" s="132" t="str">
        <f t="shared" si="97"/>
        <v/>
      </c>
      <c r="BX53" s="132" t="str">
        <f t="shared" si="98"/>
        <v/>
      </c>
      <c r="BY53" s="132" t="str">
        <f t="shared" si="99"/>
        <v/>
      </c>
      <c r="BZ53" s="132" t="str">
        <f t="shared" si="100"/>
        <v/>
      </c>
      <c r="CA53" s="146"/>
      <c r="CB53" s="10" t="str">
        <f t="shared" si="101"/>
        <v/>
      </c>
      <c r="CC53" s="7" t="str">
        <f t="shared" si="102"/>
        <v/>
      </c>
      <c r="CD53" s="147"/>
      <c r="CE53" s="147"/>
      <c r="CF53" s="6"/>
      <c r="CG53" s="4"/>
      <c r="CH53" s="148">
        <f t="shared" ca="1" si="103"/>
        <v>2026</v>
      </c>
      <c r="CI53" s="121" t="str">
        <f t="shared" ca="1" si="104"/>
        <v>令和</v>
      </c>
      <c r="CJ53" s="122" t="str">
        <f t="shared" ca="1" si="105"/>
        <v>R</v>
      </c>
      <c r="CK53" s="122" t="str">
        <f t="shared" ca="1" si="106"/>
        <v>8</v>
      </c>
      <c r="CL53" s="122">
        <f t="shared" ca="1" si="107"/>
        <v>10</v>
      </c>
      <c r="CM53" s="149">
        <f t="shared" ca="1" si="108"/>
        <v>24</v>
      </c>
      <c r="CN53" s="1"/>
      <c r="CO53" s="150">
        <f t="shared" ca="1" si="109"/>
        <v>46319</v>
      </c>
    </row>
    <row r="54" spans="1:93" ht="20.100000000000001" customHeight="1" x14ac:dyDescent="0.15">
      <c r="A54" s="7" t="str">
        <f>IF(B54="","",ROW()-ROW(会員表[#Headers]))</f>
        <v/>
      </c>
      <c r="B54" s="4" ph="1"/>
      <c r="C54" s="4" t="str" cm="1">
        <f t="array" ref="C54">_xlfn.LET(_xlpm.s,PHONETIC(B54),_xlpm.c,_xlfn.UNICODE(MID(_xlpm.s,_xlfn.SEQUENCE(LEN(_xlpm.s)),1)),IF(_xlpm.s="","",_xlfn.CONCAT(_xlfn.UNICHAR(_xlpm.c-96*(_xlpm.c&gt;=12449)*(_xlpm.c&lt;=12534)))))</f>
        <v/>
      </c>
      <c r="D54" s="4" t="str" cm="1">
        <f t="array" ref="D54">_xlfn.LET(_xlpm.s,PHONETIC(B54),_xlpm.c,_xlfn.UNICODE(MID(_xlpm.s,_xlfn.SEQUENCE(LEN(_xlpm.s)),1)),IF(_xlpm.s="","",_xlfn.CONCAT(_xlfn.UNICHAR(_xlpm.c+96*(_xlpm.c&gt;=12353)*(_xlpm.c&lt;=12438)))))</f>
        <v/>
      </c>
      <c r="E54" s="129" t="str">
        <f t="shared" ca="1" si="55"/>
        <v/>
      </c>
      <c r="F54" s="130" t="str">
        <f t="shared" si="56"/>
        <v/>
      </c>
      <c r="G54" s="130" t="str">
        <f t="shared" si="57"/>
        <v/>
      </c>
      <c r="H54" s="130" t="str">
        <f t="shared" si="58"/>
        <v/>
      </c>
      <c r="I54" s="131" t="str">
        <f t="shared" si="59"/>
        <v/>
      </c>
      <c r="J54" s="132" t="str">
        <f t="shared" si="60"/>
        <v/>
      </c>
      <c r="K54" s="121" t="str">
        <f t="shared" si="61"/>
        <v/>
      </c>
      <c r="L54" s="129" t="str">
        <f t="shared" si="62"/>
        <v/>
      </c>
      <c r="M54" s="7" t="str">
        <f t="shared" si="63"/>
        <v/>
      </c>
      <c r="N54" s="133"/>
      <c r="O54" s="8"/>
      <c r="P54" s="5" t="str">
        <f t="shared" si="64"/>
        <v/>
      </c>
      <c r="Q54" s="121" t="str">
        <f t="shared" si="65"/>
        <v/>
      </c>
      <c r="R54" s="121" t="str">
        <f t="shared" si="66"/>
        <v/>
      </c>
      <c r="S54" s="7" t="str">
        <f t="shared" si="67"/>
        <v/>
      </c>
      <c r="T54" s="5"/>
      <c r="U54" s="5" t="str">
        <f t="shared" si="68"/>
        <v/>
      </c>
      <c r="V54" s="121" t="str">
        <f t="shared" si="69"/>
        <v/>
      </c>
      <c r="W54" s="121" t="str">
        <f t="shared" si="70"/>
        <v/>
      </c>
      <c r="X54" s="7" t="str">
        <f t="shared" si="71"/>
        <v/>
      </c>
      <c r="Y54" s="136"/>
      <c r="Z54" s="5" t="str">
        <f t="shared" si="72"/>
        <v/>
      </c>
      <c r="AA54" s="137" t="s">
        <v>183</v>
      </c>
      <c r="AB54" s="7" t="str">
        <f t="shared" si="73"/>
        <v/>
      </c>
      <c r="AC54" s="9"/>
      <c r="AD54" s="4"/>
      <c r="AE54" s="138" t="str">
        <f t="shared" si="74"/>
        <v/>
      </c>
      <c r="AF54" s="139" t="str">
        <f t="shared" si="75"/>
        <v/>
      </c>
      <c r="AG54" s="139" t="str">
        <f t="shared" si="76"/>
        <v/>
      </c>
      <c r="AH54" s="139" t="str">
        <f t="shared" si="77"/>
        <v/>
      </c>
      <c r="AI54" s="139" t="str">
        <f t="shared" si="78"/>
        <v/>
      </c>
      <c r="AJ54" s="140" t="str">
        <f t="shared" si="79"/>
        <v/>
      </c>
      <c r="AK54" s="8"/>
      <c r="AL54" s="8" t="str">
        <f>IF(AM54="","",IF(各種設定金額!$B$7="","○○県",各種設定金額!$B$7))</f>
        <v/>
      </c>
      <c r="AM54" s="4"/>
      <c r="AN54" s="4"/>
      <c r="AO54" s="141" t="str">
        <f t="shared" si="80"/>
        <v/>
      </c>
      <c r="AP54" s="10"/>
      <c r="AQ54" s="129"/>
      <c r="AR54" s="142" t="s">
        <v>182</v>
      </c>
      <c r="AS54" s="131" t="str">
        <f t="shared" si="81"/>
        <v/>
      </c>
      <c r="AT54" s="132" t="str">
        <f t="shared" si="82"/>
        <v/>
      </c>
      <c r="AU54" s="132" t="str">
        <f t="shared" si="83"/>
        <v/>
      </c>
      <c r="AV54" s="132" t="str">
        <f t="shared" si="84"/>
        <v/>
      </c>
      <c r="AW54" s="132" t="str">
        <f t="shared" si="85"/>
        <v/>
      </c>
      <c r="AX54" s="143" t="str">
        <f t="shared" si="86"/>
        <v/>
      </c>
      <c r="AY54" s="144"/>
      <c r="AZ54" s="8" t="str">
        <f>IF(BA54="","",IF(各種設定金額!$B$7="","○○県",各種設定金額!$B$7))</f>
        <v/>
      </c>
      <c r="BA54" s="6"/>
      <c r="BB54" s="4"/>
      <c r="BC54" s="141" t="str">
        <f t="shared" si="87"/>
        <v/>
      </c>
      <c r="BD54" s="10"/>
      <c r="BE54" s="129"/>
      <c r="BF54" s="145" t="s">
        <v>63</v>
      </c>
      <c r="BG54" s="131" t="str">
        <f t="shared" si="88"/>
        <v/>
      </c>
      <c r="BH54" s="132" t="str">
        <f t="shared" si="89"/>
        <v/>
      </c>
      <c r="BI54" s="132" t="str">
        <f t="shared" si="90"/>
        <v/>
      </c>
      <c r="BJ54" s="132" t="str">
        <f t="shared" si="91"/>
        <v/>
      </c>
      <c r="BK54" s="132" t="str">
        <f t="shared" si="92"/>
        <v/>
      </c>
      <c r="BL54" s="132" t="str">
        <f t="shared" si="93"/>
        <v/>
      </c>
      <c r="BM54" s="146"/>
      <c r="BN54" s="8" t="str">
        <f>IF(BO54="","",IF(各種設定金額!$B$7="","○○県",各種設定金額!$B$7))</f>
        <v/>
      </c>
      <c r="BO54" s="6"/>
      <c r="BP54" s="4"/>
      <c r="BQ54" s="141" t="str">
        <f t="shared" si="94"/>
        <v/>
      </c>
      <c r="BR54" s="10"/>
      <c r="BS54" s="129"/>
      <c r="BT54" s="145" t="s">
        <v>63</v>
      </c>
      <c r="BU54" s="131" t="str">
        <f t="shared" si="95"/>
        <v/>
      </c>
      <c r="BV54" s="132" t="str">
        <f t="shared" si="96"/>
        <v/>
      </c>
      <c r="BW54" s="132" t="str">
        <f t="shared" si="97"/>
        <v/>
      </c>
      <c r="BX54" s="132" t="str">
        <f t="shared" si="98"/>
        <v/>
      </c>
      <c r="BY54" s="132" t="str">
        <f t="shared" si="99"/>
        <v/>
      </c>
      <c r="BZ54" s="132" t="str">
        <f t="shared" si="100"/>
        <v/>
      </c>
      <c r="CA54" s="146"/>
      <c r="CB54" s="10" t="str">
        <f t="shared" si="101"/>
        <v/>
      </c>
      <c r="CC54" s="7" t="str">
        <f t="shared" si="102"/>
        <v/>
      </c>
      <c r="CD54" s="147"/>
      <c r="CE54" s="147"/>
      <c r="CF54" s="6"/>
      <c r="CG54" s="4"/>
      <c r="CH54" s="148">
        <f t="shared" ca="1" si="103"/>
        <v>2026</v>
      </c>
      <c r="CI54" s="121" t="str">
        <f t="shared" ca="1" si="104"/>
        <v>令和</v>
      </c>
      <c r="CJ54" s="122" t="str">
        <f t="shared" ca="1" si="105"/>
        <v>R</v>
      </c>
      <c r="CK54" s="122" t="str">
        <f t="shared" ca="1" si="106"/>
        <v>8</v>
      </c>
      <c r="CL54" s="122">
        <f t="shared" ca="1" si="107"/>
        <v>10</v>
      </c>
      <c r="CM54" s="149">
        <f t="shared" ca="1" si="108"/>
        <v>24</v>
      </c>
      <c r="CN54" s="1"/>
      <c r="CO54" s="150">
        <f t="shared" ca="1" si="109"/>
        <v>46319</v>
      </c>
    </row>
    <row r="55" spans="1:93" ht="20.100000000000001" customHeight="1" x14ac:dyDescent="0.15">
      <c r="A55" s="7" t="str">
        <f>IF(B55="","",ROW()-ROW(会員表[#Headers]))</f>
        <v/>
      </c>
      <c r="B55" s="4" ph="1"/>
      <c r="C55" s="4" t="str" cm="1">
        <f t="array" ref="C55">_xlfn.LET(_xlpm.s,PHONETIC(B55),_xlpm.c,_xlfn.UNICODE(MID(_xlpm.s,_xlfn.SEQUENCE(LEN(_xlpm.s)),1)),IF(_xlpm.s="","",_xlfn.CONCAT(_xlfn.UNICHAR(_xlpm.c-96*(_xlpm.c&gt;=12449)*(_xlpm.c&lt;=12534)))))</f>
        <v/>
      </c>
      <c r="D55" s="4" t="str" cm="1">
        <f t="array" ref="D55">_xlfn.LET(_xlpm.s,PHONETIC(B55),_xlpm.c,_xlfn.UNICODE(MID(_xlpm.s,_xlfn.SEQUENCE(LEN(_xlpm.s)),1)),IF(_xlpm.s="","",_xlfn.CONCAT(_xlfn.UNICHAR(_xlpm.c+96*(_xlpm.c&gt;=12353)*(_xlpm.c&lt;=12438)))))</f>
        <v/>
      </c>
      <c r="E55" s="129" t="str">
        <f t="shared" ca="1" si="55"/>
        <v/>
      </c>
      <c r="F55" s="130" t="str">
        <f t="shared" si="56"/>
        <v/>
      </c>
      <c r="G55" s="130" t="str">
        <f t="shared" si="57"/>
        <v/>
      </c>
      <c r="H55" s="130" t="str">
        <f t="shared" si="58"/>
        <v/>
      </c>
      <c r="I55" s="131" t="str">
        <f t="shared" si="59"/>
        <v/>
      </c>
      <c r="J55" s="132" t="str">
        <f t="shared" si="60"/>
        <v/>
      </c>
      <c r="K55" s="121" t="str">
        <f t="shared" si="61"/>
        <v/>
      </c>
      <c r="L55" s="129" t="str">
        <f t="shared" si="62"/>
        <v/>
      </c>
      <c r="M55" s="7" t="str">
        <f t="shared" si="63"/>
        <v/>
      </c>
      <c r="N55" s="133"/>
      <c r="O55" s="8"/>
      <c r="P55" s="5" t="str">
        <f t="shared" si="64"/>
        <v/>
      </c>
      <c r="Q55" s="121" t="str">
        <f t="shared" si="65"/>
        <v/>
      </c>
      <c r="R55" s="121" t="str">
        <f t="shared" si="66"/>
        <v/>
      </c>
      <c r="S55" s="7" t="str">
        <f t="shared" si="67"/>
        <v/>
      </c>
      <c r="T55" s="5"/>
      <c r="U55" s="5" t="str">
        <f t="shared" si="68"/>
        <v/>
      </c>
      <c r="V55" s="121" t="str">
        <f t="shared" si="69"/>
        <v/>
      </c>
      <c r="W55" s="121" t="str">
        <f t="shared" si="70"/>
        <v/>
      </c>
      <c r="X55" s="7" t="str">
        <f t="shared" si="71"/>
        <v/>
      </c>
      <c r="Y55" s="136"/>
      <c r="Z55" s="5" t="str">
        <f t="shared" si="72"/>
        <v/>
      </c>
      <c r="AA55" s="137" t="s">
        <v>183</v>
      </c>
      <c r="AB55" s="7" t="str">
        <f t="shared" si="73"/>
        <v/>
      </c>
      <c r="AC55" s="9"/>
      <c r="AD55" s="4"/>
      <c r="AE55" s="138" t="str">
        <f t="shared" si="74"/>
        <v/>
      </c>
      <c r="AF55" s="139" t="str">
        <f t="shared" si="75"/>
        <v/>
      </c>
      <c r="AG55" s="139" t="str">
        <f t="shared" si="76"/>
        <v/>
      </c>
      <c r="AH55" s="139" t="str">
        <f t="shared" si="77"/>
        <v/>
      </c>
      <c r="AI55" s="139" t="str">
        <f t="shared" si="78"/>
        <v/>
      </c>
      <c r="AJ55" s="140" t="str">
        <f t="shared" si="79"/>
        <v/>
      </c>
      <c r="AK55" s="8"/>
      <c r="AL55" s="8" t="str">
        <f>IF(AM55="","",IF(各種設定金額!$B$7="","○○県",各種設定金額!$B$7))</f>
        <v/>
      </c>
      <c r="AM55" s="4"/>
      <c r="AN55" s="4"/>
      <c r="AO55" s="141" t="str">
        <f t="shared" si="80"/>
        <v/>
      </c>
      <c r="AP55" s="10"/>
      <c r="AQ55" s="129"/>
      <c r="AR55" s="142" t="s">
        <v>182</v>
      </c>
      <c r="AS55" s="131" t="str">
        <f t="shared" si="81"/>
        <v/>
      </c>
      <c r="AT55" s="132" t="str">
        <f t="shared" si="82"/>
        <v/>
      </c>
      <c r="AU55" s="132" t="str">
        <f t="shared" si="83"/>
        <v/>
      </c>
      <c r="AV55" s="132" t="str">
        <f t="shared" si="84"/>
        <v/>
      </c>
      <c r="AW55" s="132" t="str">
        <f t="shared" si="85"/>
        <v/>
      </c>
      <c r="AX55" s="143" t="str">
        <f t="shared" si="86"/>
        <v/>
      </c>
      <c r="AY55" s="144"/>
      <c r="AZ55" s="8" t="str">
        <f>IF(BA55="","",IF(各種設定金額!$B$7="","○○県",各種設定金額!$B$7))</f>
        <v/>
      </c>
      <c r="BA55" s="6"/>
      <c r="BB55" s="4"/>
      <c r="BC55" s="141" t="str">
        <f t="shared" si="87"/>
        <v/>
      </c>
      <c r="BD55" s="10"/>
      <c r="BE55" s="129"/>
      <c r="BF55" s="145" t="s">
        <v>63</v>
      </c>
      <c r="BG55" s="131" t="str">
        <f t="shared" si="88"/>
        <v/>
      </c>
      <c r="BH55" s="132" t="str">
        <f t="shared" si="89"/>
        <v/>
      </c>
      <c r="BI55" s="132" t="str">
        <f t="shared" si="90"/>
        <v/>
      </c>
      <c r="BJ55" s="132" t="str">
        <f t="shared" si="91"/>
        <v/>
      </c>
      <c r="BK55" s="132" t="str">
        <f t="shared" si="92"/>
        <v/>
      </c>
      <c r="BL55" s="132" t="str">
        <f t="shared" si="93"/>
        <v/>
      </c>
      <c r="BM55" s="146"/>
      <c r="BN55" s="8" t="str">
        <f>IF(BO55="","",IF(各種設定金額!$B$7="","○○県",各種設定金額!$B$7))</f>
        <v/>
      </c>
      <c r="BO55" s="6"/>
      <c r="BP55" s="4"/>
      <c r="BQ55" s="141" t="str">
        <f t="shared" si="94"/>
        <v/>
      </c>
      <c r="BR55" s="10"/>
      <c r="BS55" s="129"/>
      <c r="BT55" s="145" t="s">
        <v>63</v>
      </c>
      <c r="BU55" s="131" t="str">
        <f t="shared" si="95"/>
        <v/>
      </c>
      <c r="BV55" s="132" t="str">
        <f t="shared" si="96"/>
        <v/>
      </c>
      <c r="BW55" s="132" t="str">
        <f t="shared" si="97"/>
        <v/>
      </c>
      <c r="BX55" s="132" t="str">
        <f t="shared" si="98"/>
        <v/>
      </c>
      <c r="BY55" s="132" t="str">
        <f t="shared" si="99"/>
        <v/>
      </c>
      <c r="BZ55" s="132" t="str">
        <f t="shared" si="100"/>
        <v/>
      </c>
      <c r="CA55" s="146"/>
      <c r="CB55" s="10" t="str">
        <f t="shared" si="101"/>
        <v/>
      </c>
      <c r="CC55" s="7" t="str">
        <f t="shared" si="102"/>
        <v/>
      </c>
      <c r="CD55" s="147"/>
      <c r="CE55" s="147"/>
      <c r="CF55" s="6"/>
      <c r="CG55" s="4"/>
      <c r="CH55" s="148">
        <f t="shared" ca="1" si="103"/>
        <v>2026</v>
      </c>
      <c r="CI55" s="121" t="str">
        <f t="shared" ca="1" si="104"/>
        <v>令和</v>
      </c>
      <c r="CJ55" s="122" t="str">
        <f t="shared" ca="1" si="105"/>
        <v>R</v>
      </c>
      <c r="CK55" s="122" t="str">
        <f t="shared" ca="1" si="106"/>
        <v>8</v>
      </c>
      <c r="CL55" s="122">
        <f t="shared" ca="1" si="107"/>
        <v>10</v>
      </c>
      <c r="CM55" s="149">
        <f t="shared" ca="1" si="108"/>
        <v>24</v>
      </c>
      <c r="CN55" s="1"/>
      <c r="CO55" s="150">
        <f t="shared" ca="1" si="109"/>
        <v>46319</v>
      </c>
    </row>
    <row r="56" spans="1:93" ht="20.100000000000001" customHeight="1" x14ac:dyDescent="0.15">
      <c r="A56" s="7" t="str">
        <f>IF(B56="","",ROW()-ROW(会員表[#Headers]))</f>
        <v/>
      </c>
      <c r="B56" s="4" ph="1"/>
      <c r="C56" s="4" t="str" cm="1">
        <f t="array" ref="C56">_xlfn.LET(_xlpm.s,PHONETIC(B56),_xlpm.c,_xlfn.UNICODE(MID(_xlpm.s,_xlfn.SEQUENCE(LEN(_xlpm.s)),1)),IF(_xlpm.s="","",_xlfn.CONCAT(_xlfn.UNICHAR(_xlpm.c-96*(_xlpm.c&gt;=12449)*(_xlpm.c&lt;=12534)))))</f>
        <v/>
      </c>
      <c r="D56" s="4" t="str" cm="1">
        <f t="array" ref="D56">_xlfn.LET(_xlpm.s,PHONETIC(B56),_xlpm.c,_xlfn.UNICODE(MID(_xlpm.s,_xlfn.SEQUENCE(LEN(_xlpm.s)),1)),IF(_xlpm.s="","",_xlfn.CONCAT(_xlfn.UNICHAR(_xlpm.c+96*(_xlpm.c&gt;=12353)*(_xlpm.c&lt;=12438)))))</f>
        <v/>
      </c>
      <c r="E56" s="129" t="str">
        <f t="shared" ca="1" si="55"/>
        <v/>
      </c>
      <c r="F56" s="130" t="str">
        <f t="shared" si="56"/>
        <v/>
      </c>
      <c r="G56" s="130" t="str">
        <f t="shared" si="57"/>
        <v/>
      </c>
      <c r="H56" s="130" t="str">
        <f t="shared" si="58"/>
        <v/>
      </c>
      <c r="I56" s="131" t="str">
        <f t="shared" si="59"/>
        <v/>
      </c>
      <c r="J56" s="132" t="str">
        <f t="shared" si="60"/>
        <v/>
      </c>
      <c r="K56" s="121" t="str">
        <f t="shared" si="61"/>
        <v/>
      </c>
      <c r="L56" s="129" t="str">
        <f t="shared" si="62"/>
        <v/>
      </c>
      <c r="M56" s="7" t="str">
        <f t="shared" si="63"/>
        <v/>
      </c>
      <c r="N56" s="133"/>
      <c r="O56" s="8"/>
      <c r="P56" s="5" t="str">
        <f t="shared" si="64"/>
        <v/>
      </c>
      <c r="Q56" s="121" t="str">
        <f t="shared" si="65"/>
        <v/>
      </c>
      <c r="R56" s="121" t="str">
        <f t="shared" si="66"/>
        <v/>
      </c>
      <c r="S56" s="7" t="str">
        <f t="shared" si="67"/>
        <v/>
      </c>
      <c r="T56" s="5"/>
      <c r="U56" s="5" t="str">
        <f t="shared" si="68"/>
        <v/>
      </c>
      <c r="V56" s="121" t="str">
        <f t="shared" si="69"/>
        <v/>
      </c>
      <c r="W56" s="121" t="str">
        <f t="shared" si="70"/>
        <v/>
      </c>
      <c r="X56" s="7" t="str">
        <f t="shared" si="71"/>
        <v/>
      </c>
      <c r="Y56" s="136"/>
      <c r="Z56" s="5" t="str">
        <f t="shared" si="72"/>
        <v/>
      </c>
      <c r="AA56" s="137" t="s">
        <v>183</v>
      </c>
      <c r="AB56" s="7" t="str">
        <f t="shared" si="73"/>
        <v/>
      </c>
      <c r="AC56" s="9"/>
      <c r="AD56" s="4"/>
      <c r="AE56" s="138" t="str">
        <f t="shared" si="74"/>
        <v/>
      </c>
      <c r="AF56" s="139" t="str">
        <f t="shared" si="75"/>
        <v/>
      </c>
      <c r="AG56" s="139" t="str">
        <f t="shared" si="76"/>
        <v/>
      </c>
      <c r="AH56" s="139" t="str">
        <f t="shared" si="77"/>
        <v/>
      </c>
      <c r="AI56" s="139" t="str">
        <f t="shared" si="78"/>
        <v/>
      </c>
      <c r="AJ56" s="140" t="str">
        <f t="shared" si="79"/>
        <v/>
      </c>
      <c r="AK56" s="8"/>
      <c r="AL56" s="8" t="str">
        <f>IF(AM56="","",IF(各種設定金額!$B$7="","○○県",各種設定金額!$B$7))</f>
        <v/>
      </c>
      <c r="AM56" s="4"/>
      <c r="AN56" s="4"/>
      <c r="AO56" s="141" t="str">
        <f t="shared" si="80"/>
        <v/>
      </c>
      <c r="AP56" s="10"/>
      <c r="AQ56" s="129"/>
      <c r="AR56" s="142" t="s">
        <v>182</v>
      </c>
      <c r="AS56" s="131" t="str">
        <f t="shared" si="81"/>
        <v/>
      </c>
      <c r="AT56" s="132" t="str">
        <f t="shared" si="82"/>
        <v/>
      </c>
      <c r="AU56" s="132" t="str">
        <f t="shared" si="83"/>
        <v/>
      </c>
      <c r="AV56" s="132" t="str">
        <f t="shared" si="84"/>
        <v/>
      </c>
      <c r="AW56" s="132" t="str">
        <f t="shared" si="85"/>
        <v/>
      </c>
      <c r="AX56" s="143" t="str">
        <f t="shared" si="86"/>
        <v/>
      </c>
      <c r="AY56" s="144"/>
      <c r="AZ56" s="8" t="str">
        <f>IF(BA56="","",IF(各種設定金額!$B$7="","○○県",各種設定金額!$B$7))</f>
        <v/>
      </c>
      <c r="BA56" s="6"/>
      <c r="BB56" s="4"/>
      <c r="BC56" s="141" t="str">
        <f t="shared" si="87"/>
        <v/>
      </c>
      <c r="BD56" s="10"/>
      <c r="BE56" s="129"/>
      <c r="BF56" s="145" t="s">
        <v>63</v>
      </c>
      <c r="BG56" s="131" t="str">
        <f t="shared" si="88"/>
        <v/>
      </c>
      <c r="BH56" s="132" t="str">
        <f t="shared" si="89"/>
        <v/>
      </c>
      <c r="BI56" s="132" t="str">
        <f t="shared" si="90"/>
        <v/>
      </c>
      <c r="BJ56" s="132" t="str">
        <f t="shared" si="91"/>
        <v/>
      </c>
      <c r="BK56" s="132" t="str">
        <f t="shared" si="92"/>
        <v/>
      </c>
      <c r="BL56" s="132" t="str">
        <f t="shared" si="93"/>
        <v/>
      </c>
      <c r="BM56" s="146"/>
      <c r="BN56" s="8" t="str">
        <f>IF(BO56="","",IF(各種設定金額!$B$7="","○○県",各種設定金額!$B$7))</f>
        <v/>
      </c>
      <c r="BO56" s="6"/>
      <c r="BP56" s="4"/>
      <c r="BQ56" s="141" t="str">
        <f t="shared" si="94"/>
        <v/>
      </c>
      <c r="BR56" s="10"/>
      <c r="BS56" s="129"/>
      <c r="BT56" s="145" t="s">
        <v>63</v>
      </c>
      <c r="BU56" s="131" t="str">
        <f t="shared" si="95"/>
        <v/>
      </c>
      <c r="BV56" s="132" t="str">
        <f t="shared" si="96"/>
        <v/>
      </c>
      <c r="BW56" s="132" t="str">
        <f t="shared" si="97"/>
        <v/>
      </c>
      <c r="BX56" s="132" t="str">
        <f t="shared" si="98"/>
        <v/>
      </c>
      <c r="BY56" s="132" t="str">
        <f t="shared" si="99"/>
        <v/>
      </c>
      <c r="BZ56" s="132" t="str">
        <f t="shared" si="100"/>
        <v/>
      </c>
      <c r="CA56" s="146"/>
      <c r="CB56" s="10" t="str">
        <f t="shared" si="101"/>
        <v/>
      </c>
      <c r="CC56" s="7" t="str">
        <f t="shared" si="102"/>
        <v/>
      </c>
      <c r="CD56" s="147"/>
      <c r="CE56" s="147"/>
      <c r="CF56" s="6"/>
      <c r="CG56" s="4"/>
      <c r="CH56" s="148">
        <f t="shared" ca="1" si="103"/>
        <v>2026</v>
      </c>
      <c r="CI56" s="121" t="str">
        <f t="shared" ca="1" si="104"/>
        <v>令和</v>
      </c>
      <c r="CJ56" s="122" t="str">
        <f t="shared" ca="1" si="105"/>
        <v>R</v>
      </c>
      <c r="CK56" s="122" t="str">
        <f t="shared" ca="1" si="106"/>
        <v>8</v>
      </c>
      <c r="CL56" s="122">
        <f t="shared" ca="1" si="107"/>
        <v>10</v>
      </c>
      <c r="CM56" s="149">
        <f t="shared" ca="1" si="108"/>
        <v>24</v>
      </c>
      <c r="CN56" s="1"/>
      <c r="CO56" s="150">
        <f t="shared" ca="1" si="109"/>
        <v>46319</v>
      </c>
    </row>
    <row r="57" spans="1:93" ht="20.100000000000001" customHeight="1" x14ac:dyDescent="0.15">
      <c r="A57" s="7" t="str">
        <f>IF(B57="","",ROW()-ROW(会員表[#Headers]))</f>
        <v/>
      </c>
      <c r="B57" s="4" ph="1"/>
      <c r="C57" s="4" t="str" cm="1">
        <f t="array" ref="C57">_xlfn.LET(_xlpm.s,PHONETIC(B57),_xlpm.c,_xlfn.UNICODE(MID(_xlpm.s,_xlfn.SEQUENCE(LEN(_xlpm.s)),1)),IF(_xlpm.s="","",_xlfn.CONCAT(_xlfn.UNICHAR(_xlpm.c-96*(_xlpm.c&gt;=12449)*(_xlpm.c&lt;=12534)))))</f>
        <v/>
      </c>
      <c r="D57" s="4" t="str" cm="1">
        <f t="array" ref="D57">_xlfn.LET(_xlpm.s,PHONETIC(B57),_xlpm.c,_xlfn.UNICODE(MID(_xlpm.s,_xlfn.SEQUENCE(LEN(_xlpm.s)),1)),IF(_xlpm.s="","",_xlfn.CONCAT(_xlfn.UNICHAR(_xlpm.c+96*(_xlpm.c&gt;=12353)*(_xlpm.c&lt;=12438)))))</f>
        <v/>
      </c>
      <c r="E57" s="129" t="str">
        <f t="shared" ca="1" si="55"/>
        <v/>
      </c>
      <c r="F57" s="130" t="str">
        <f t="shared" si="56"/>
        <v/>
      </c>
      <c r="G57" s="130" t="str">
        <f t="shared" si="57"/>
        <v/>
      </c>
      <c r="H57" s="130" t="str">
        <f t="shared" si="58"/>
        <v/>
      </c>
      <c r="I57" s="131" t="str">
        <f t="shared" si="59"/>
        <v/>
      </c>
      <c r="J57" s="132" t="str">
        <f t="shared" si="60"/>
        <v/>
      </c>
      <c r="K57" s="121" t="str">
        <f t="shared" si="61"/>
        <v/>
      </c>
      <c r="L57" s="129" t="str">
        <f t="shared" si="62"/>
        <v/>
      </c>
      <c r="M57" s="7" t="str">
        <f t="shared" si="63"/>
        <v/>
      </c>
      <c r="N57" s="133"/>
      <c r="O57" s="8"/>
      <c r="P57" s="5" t="str">
        <f t="shared" si="64"/>
        <v/>
      </c>
      <c r="Q57" s="121" t="str">
        <f t="shared" si="65"/>
        <v/>
      </c>
      <c r="R57" s="121" t="str">
        <f t="shared" si="66"/>
        <v/>
      </c>
      <c r="S57" s="7" t="str">
        <f t="shared" si="67"/>
        <v/>
      </c>
      <c r="T57" s="5"/>
      <c r="U57" s="5" t="str">
        <f t="shared" si="68"/>
        <v/>
      </c>
      <c r="V57" s="121" t="str">
        <f t="shared" si="69"/>
        <v/>
      </c>
      <c r="W57" s="121" t="str">
        <f t="shared" si="70"/>
        <v/>
      </c>
      <c r="X57" s="7" t="str">
        <f t="shared" si="71"/>
        <v/>
      </c>
      <c r="Y57" s="136"/>
      <c r="Z57" s="5" t="str">
        <f t="shared" si="72"/>
        <v/>
      </c>
      <c r="AA57" s="137" t="s">
        <v>183</v>
      </c>
      <c r="AB57" s="7" t="str">
        <f t="shared" si="73"/>
        <v/>
      </c>
      <c r="AC57" s="9"/>
      <c r="AD57" s="4"/>
      <c r="AE57" s="138" t="str">
        <f t="shared" si="74"/>
        <v/>
      </c>
      <c r="AF57" s="139" t="str">
        <f t="shared" si="75"/>
        <v/>
      </c>
      <c r="AG57" s="139" t="str">
        <f t="shared" si="76"/>
        <v/>
      </c>
      <c r="AH57" s="139" t="str">
        <f t="shared" si="77"/>
        <v/>
      </c>
      <c r="AI57" s="139" t="str">
        <f t="shared" si="78"/>
        <v/>
      </c>
      <c r="AJ57" s="140" t="str">
        <f t="shared" si="79"/>
        <v/>
      </c>
      <c r="AK57" s="8"/>
      <c r="AL57" s="8" t="str">
        <f>IF(AM57="","",IF(各種設定金額!$B$7="","○○県",各種設定金額!$B$7))</f>
        <v/>
      </c>
      <c r="AM57" s="4"/>
      <c r="AN57" s="4"/>
      <c r="AO57" s="141" t="str">
        <f t="shared" si="80"/>
        <v/>
      </c>
      <c r="AP57" s="10"/>
      <c r="AQ57" s="129"/>
      <c r="AR57" s="142" t="s">
        <v>182</v>
      </c>
      <c r="AS57" s="131" t="str">
        <f t="shared" si="81"/>
        <v/>
      </c>
      <c r="AT57" s="132" t="str">
        <f t="shared" si="82"/>
        <v/>
      </c>
      <c r="AU57" s="132" t="str">
        <f t="shared" si="83"/>
        <v/>
      </c>
      <c r="AV57" s="132" t="str">
        <f t="shared" si="84"/>
        <v/>
      </c>
      <c r="AW57" s="132" t="str">
        <f t="shared" si="85"/>
        <v/>
      </c>
      <c r="AX57" s="143" t="str">
        <f t="shared" si="86"/>
        <v/>
      </c>
      <c r="AY57" s="144"/>
      <c r="AZ57" s="8" t="str">
        <f>IF(BA57="","",IF(各種設定金額!$B$7="","○○県",各種設定金額!$B$7))</f>
        <v/>
      </c>
      <c r="BA57" s="6"/>
      <c r="BB57" s="4"/>
      <c r="BC57" s="141" t="str">
        <f t="shared" si="87"/>
        <v/>
      </c>
      <c r="BD57" s="10"/>
      <c r="BE57" s="129"/>
      <c r="BF57" s="145" t="s">
        <v>63</v>
      </c>
      <c r="BG57" s="131" t="str">
        <f t="shared" si="88"/>
        <v/>
      </c>
      <c r="BH57" s="132" t="str">
        <f t="shared" si="89"/>
        <v/>
      </c>
      <c r="BI57" s="132" t="str">
        <f t="shared" si="90"/>
        <v/>
      </c>
      <c r="BJ57" s="132" t="str">
        <f t="shared" si="91"/>
        <v/>
      </c>
      <c r="BK57" s="132" t="str">
        <f t="shared" si="92"/>
        <v/>
      </c>
      <c r="BL57" s="132" t="str">
        <f t="shared" si="93"/>
        <v/>
      </c>
      <c r="BM57" s="146"/>
      <c r="BN57" s="8" t="str">
        <f>IF(BO57="","",IF(各種設定金額!$B$7="","○○県",各種設定金額!$B$7))</f>
        <v/>
      </c>
      <c r="BO57" s="6"/>
      <c r="BP57" s="4"/>
      <c r="BQ57" s="141" t="str">
        <f t="shared" si="94"/>
        <v/>
      </c>
      <c r="BR57" s="10"/>
      <c r="BS57" s="129"/>
      <c r="BT57" s="145" t="s">
        <v>63</v>
      </c>
      <c r="BU57" s="131" t="str">
        <f t="shared" si="95"/>
        <v/>
      </c>
      <c r="BV57" s="132" t="str">
        <f t="shared" si="96"/>
        <v/>
      </c>
      <c r="BW57" s="132" t="str">
        <f t="shared" si="97"/>
        <v/>
      </c>
      <c r="BX57" s="132" t="str">
        <f t="shared" si="98"/>
        <v/>
      </c>
      <c r="BY57" s="132" t="str">
        <f t="shared" si="99"/>
        <v/>
      </c>
      <c r="BZ57" s="132" t="str">
        <f t="shared" si="100"/>
        <v/>
      </c>
      <c r="CA57" s="146"/>
      <c r="CB57" s="10" t="str">
        <f t="shared" si="101"/>
        <v/>
      </c>
      <c r="CC57" s="7" t="str">
        <f t="shared" si="102"/>
        <v/>
      </c>
      <c r="CD57" s="147"/>
      <c r="CE57" s="147"/>
      <c r="CF57" s="6"/>
      <c r="CG57" s="4"/>
      <c r="CH57" s="148">
        <f t="shared" ca="1" si="103"/>
        <v>2026</v>
      </c>
      <c r="CI57" s="121" t="str">
        <f t="shared" ca="1" si="104"/>
        <v>令和</v>
      </c>
      <c r="CJ57" s="122" t="str">
        <f t="shared" ca="1" si="105"/>
        <v>R</v>
      </c>
      <c r="CK57" s="122" t="str">
        <f t="shared" ca="1" si="106"/>
        <v>8</v>
      </c>
      <c r="CL57" s="122">
        <f t="shared" ca="1" si="107"/>
        <v>10</v>
      </c>
      <c r="CM57" s="149">
        <f t="shared" ca="1" si="108"/>
        <v>24</v>
      </c>
      <c r="CN57" s="1"/>
      <c r="CO57" s="150">
        <f t="shared" ca="1" si="109"/>
        <v>46319</v>
      </c>
    </row>
    <row r="58" spans="1:93" ht="20.100000000000001" customHeight="1" x14ac:dyDescent="0.15">
      <c r="A58" s="7" t="str">
        <f>IF(B58="","",ROW()-ROW(会員表[#Headers]))</f>
        <v/>
      </c>
      <c r="B58" s="4" ph="1"/>
      <c r="C58" s="4" t="str" cm="1">
        <f t="array" ref="C58">_xlfn.LET(_xlpm.s,PHONETIC(B58),_xlpm.c,_xlfn.UNICODE(MID(_xlpm.s,_xlfn.SEQUENCE(LEN(_xlpm.s)),1)),IF(_xlpm.s="","",_xlfn.CONCAT(_xlfn.UNICHAR(_xlpm.c-96*(_xlpm.c&gt;=12449)*(_xlpm.c&lt;=12534)))))</f>
        <v/>
      </c>
      <c r="D58" s="4" t="str" cm="1">
        <f t="array" ref="D58">_xlfn.LET(_xlpm.s,PHONETIC(B58),_xlpm.c,_xlfn.UNICODE(MID(_xlpm.s,_xlfn.SEQUENCE(LEN(_xlpm.s)),1)),IF(_xlpm.s="","",_xlfn.CONCAT(_xlfn.UNICHAR(_xlpm.c+96*(_xlpm.c&gt;=12353)*(_xlpm.c&lt;=12438)))))</f>
        <v/>
      </c>
      <c r="E58" s="129" t="str">
        <f t="shared" ca="1" si="55"/>
        <v/>
      </c>
      <c r="F58" s="130" t="str">
        <f t="shared" si="56"/>
        <v/>
      </c>
      <c r="G58" s="130" t="str">
        <f t="shared" si="57"/>
        <v/>
      </c>
      <c r="H58" s="130" t="str">
        <f t="shared" si="58"/>
        <v/>
      </c>
      <c r="I58" s="131" t="str">
        <f t="shared" si="59"/>
        <v/>
      </c>
      <c r="J58" s="132" t="str">
        <f t="shared" si="60"/>
        <v/>
      </c>
      <c r="K58" s="121" t="str">
        <f t="shared" si="61"/>
        <v/>
      </c>
      <c r="L58" s="129" t="str">
        <f t="shared" si="62"/>
        <v/>
      </c>
      <c r="M58" s="7" t="str">
        <f t="shared" si="63"/>
        <v/>
      </c>
      <c r="N58" s="133"/>
      <c r="O58" s="8"/>
      <c r="P58" s="5" t="str">
        <f t="shared" si="64"/>
        <v/>
      </c>
      <c r="Q58" s="121" t="str">
        <f t="shared" si="65"/>
        <v/>
      </c>
      <c r="R58" s="121" t="str">
        <f t="shared" si="66"/>
        <v/>
      </c>
      <c r="S58" s="7" t="str">
        <f t="shared" si="67"/>
        <v/>
      </c>
      <c r="T58" s="5"/>
      <c r="U58" s="5" t="str">
        <f t="shared" si="68"/>
        <v/>
      </c>
      <c r="V58" s="121" t="str">
        <f t="shared" si="69"/>
        <v/>
      </c>
      <c r="W58" s="121" t="str">
        <f t="shared" si="70"/>
        <v/>
      </c>
      <c r="X58" s="7" t="str">
        <f t="shared" si="71"/>
        <v/>
      </c>
      <c r="Y58" s="136"/>
      <c r="Z58" s="5" t="str">
        <f t="shared" si="72"/>
        <v/>
      </c>
      <c r="AA58" s="137" t="s">
        <v>183</v>
      </c>
      <c r="AB58" s="7" t="str">
        <f t="shared" si="73"/>
        <v/>
      </c>
      <c r="AC58" s="9"/>
      <c r="AD58" s="4"/>
      <c r="AE58" s="138" t="str">
        <f t="shared" si="74"/>
        <v/>
      </c>
      <c r="AF58" s="139" t="str">
        <f t="shared" si="75"/>
        <v/>
      </c>
      <c r="AG58" s="139" t="str">
        <f t="shared" si="76"/>
        <v/>
      </c>
      <c r="AH58" s="139" t="str">
        <f t="shared" si="77"/>
        <v/>
      </c>
      <c r="AI58" s="139" t="str">
        <f t="shared" si="78"/>
        <v/>
      </c>
      <c r="AJ58" s="140" t="str">
        <f t="shared" si="79"/>
        <v/>
      </c>
      <c r="AK58" s="8"/>
      <c r="AL58" s="8" t="str">
        <f>IF(AM58="","",IF(各種設定金額!$B$7="","○○県",各種設定金額!$B$7))</f>
        <v/>
      </c>
      <c r="AM58" s="4"/>
      <c r="AN58" s="4"/>
      <c r="AO58" s="141" t="str">
        <f t="shared" si="80"/>
        <v/>
      </c>
      <c r="AP58" s="10"/>
      <c r="AQ58" s="129"/>
      <c r="AR58" s="142" t="s">
        <v>182</v>
      </c>
      <c r="AS58" s="131" t="str">
        <f t="shared" si="81"/>
        <v/>
      </c>
      <c r="AT58" s="132" t="str">
        <f t="shared" si="82"/>
        <v/>
      </c>
      <c r="AU58" s="132" t="str">
        <f t="shared" si="83"/>
        <v/>
      </c>
      <c r="AV58" s="132" t="str">
        <f t="shared" si="84"/>
        <v/>
      </c>
      <c r="AW58" s="132" t="str">
        <f t="shared" si="85"/>
        <v/>
      </c>
      <c r="AX58" s="143" t="str">
        <f t="shared" si="86"/>
        <v/>
      </c>
      <c r="AY58" s="144"/>
      <c r="AZ58" s="8" t="str">
        <f>IF(BA58="","",IF(各種設定金額!$B$7="","○○県",各種設定金額!$B$7))</f>
        <v/>
      </c>
      <c r="BA58" s="6"/>
      <c r="BB58" s="4"/>
      <c r="BC58" s="141" t="str">
        <f t="shared" si="87"/>
        <v/>
      </c>
      <c r="BD58" s="10"/>
      <c r="BE58" s="129"/>
      <c r="BF58" s="145" t="s">
        <v>63</v>
      </c>
      <c r="BG58" s="131" t="str">
        <f t="shared" si="88"/>
        <v/>
      </c>
      <c r="BH58" s="132" t="str">
        <f t="shared" si="89"/>
        <v/>
      </c>
      <c r="BI58" s="132" t="str">
        <f t="shared" si="90"/>
        <v/>
      </c>
      <c r="BJ58" s="132" t="str">
        <f t="shared" si="91"/>
        <v/>
      </c>
      <c r="BK58" s="132" t="str">
        <f t="shared" si="92"/>
        <v/>
      </c>
      <c r="BL58" s="132" t="str">
        <f t="shared" si="93"/>
        <v/>
      </c>
      <c r="BM58" s="146"/>
      <c r="BN58" s="8" t="str">
        <f>IF(BO58="","",IF(各種設定金額!$B$7="","○○県",各種設定金額!$B$7))</f>
        <v/>
      </c>
      <c r="BO58" s="6"/>
      <c r="BP58" s="4"/>
      <c r="BQ58" s="141" t="str">
        <f t="shared" si="94"/>
        <v/>
      </c>
      <c r="BR58" s="10"/>
      <c r="BS58" s="129"/>
      <c r="BT58" s="145" t="s">
        <v>63</v>
      </c>
      <c r="BU58" s="131" t="str">
        <f t="shared" si="95"/>
        <v/>
      </c>
      <c r="BV58" s="132" t="str">
        <f t="shared" si="96"/>
        <v/>
      </c>
      <c r="BW58" s="132" t="str">
        <f t="shared" si="97"/>
        <v/>
      </c>
      <c r="BX58" s="132" t="str">
        <f t="shared" si="98"/>
        <v/>
      </c>
      <c r="BY58" s="132" t="str">
        <f t="shared" si="99"/>
        <v/>
      </c>
      <c r="BZ58" s="132" t="str">
        <f t="shared" si="100"/>
        <v/>
      </c>
      <c r="CA58" s="146"/>
      <c r="CB58" s="10" t="str">
        <f t="shared" si="101"/>
        <v/>
      </c>
      <c r="CC58" s="7" t="str">
        <f t="shared" si="102"/>
        <v/>
      </c>
      <c r="CD58" s="147"/>
      <c r="CE58" s="147"/>
      <c r="CF58" s="6"/>
      <c r="CG58" s="4"/>
      <c r="CH58" s="148">
        <f t="shared" ca="1" si="103"/>
        <v>2026</v>
      </c>
      <c r="CI58" s="121" t="str">
        <f t="shared" ca="1" si="104"/>
        <v>令和</v>
      </c>
      <c r="CJ58" s="122" t="str">
        <f t="shared" ca="1" si="105"/>
        <v>R</v>
      </c>
      <c r="CK58" s="122" t="str">
        <f t="shared" ca="1" si="106"/>
        <v>8</v>
      </c>
      <c r="CL58" s="122">
        <f t="shared" ca="1" si="107"/>
        <v>10</v>
      </c>
      <c r="CM58" s="149">
        <f t="shared" ca="1" si="108"/>
        <v>24</v>
      </c>
      <c r="CN58" s="1"/>
      <c r="CO58" s="150">
        <f t="shared" ca="1" si="109"/>
        <v>46319</v>
      </c>
    </row>
    <row r="59" spans="1:93" ht="20.100000000000001" customHeight="1" x14ac:dyDescent="0.15">
      <c r="A59" s="7" t="str">
        <f>IF(B59="","",ROW()-ROW(会員表[#Headers]))</f>
        <v/>
      </c>
      <c r="B59" s="4" ph="1"/>
      <c r="C59" s="4" t="str" cm="1">
        <f t="array" ref="C59">_xlfn.LET(_xlpm.s,PHONETIC(B59),_xlpm.c,_xlfn.UNICODE(MID(_xlpm.s,_xlfn.SEQUENCE(LEN(_xlpm.s)),1)),IF(_xlpm.s="","",_xlfn.CONCAT(_xlfn.UNICHAR(_xlpm.c-96*(_xlpm.c&gt;=12449)*(_xlpm.c&lt;=12534)))))</f>
        <v/>
      </c>
      <c r="D59" s="4" t="str" cm="1">
        <f t="array" ref="D59">_xlfn.LET(_xlpm.s,PHONETIC(B59),_xlpm.c,_xlfn.UNICODE(MID(_xlpm.s,_xlfn.SEQUENCE(LEN(_xlpm.s)),1)),IF(_xlpm.s="","",_xlfn.CONCAT(_xlfn.UNICHAR(_xlpm.c+96*(_xlpm.c&gt;=12353)*(_xlpm.c&lt;=12438)))))</f>
        <v/>
      </c>
      <c r="E59" s="129" t="str">
        <f t="shared" ca="1" si="55"/>
        <v/>
      </c>
      <c r="F59" s="130" t="str">
        <f t="shared" si="56"/>
        <v/>
      </c>
      <c r="G59" s="130" t="str">
        <f t="shared" si="57"/>
        <v/>
      </c>
      <c r="H59" s="130" t="str">
        <f t="shared" si="58"/>
        <v/>
      </c>
      <c r="I59" s="131" t="str">
        <f t="shared" si="59"/>
        <v/>
      </c>
      <c r="J59" s="132" t="str">
        <f t="shared" si="60"/>
        <v/>
      </c>
      <c r="K59" s="121" t="str">
        <f t="shared" si="61"/>
        <v/>
      </c>
      <c r="L59" s="129" t="str">
        <f t="shared" si="62"/>
        <v/>
      </c>
      <c r="M59" s="7" t="str">
        <f t="shared" si="63"/>
        <v/>
      </c>
      <c r="N59" s="133"/>
      <c r="O59" s="8"/>
      <c r="P59" s="5" t="str">
        <f t="shared" si="64"/>
        <v/>
      </c>
      <c r="Q59" s="121" t="str">
        <f t="shared" si="65"/>
        <v/>
      </c>
      <c r="R59" s="121" t="str">
        <f t="shared" si="66"/>
        <v/>
      </c>
      <c r="S59" s="7" t="str">
        <f t="shared" si="67"/>
        <v/>
      </c>
      <c r="T59" s="5"/>
      <c r="U59" s="5" t="str">
        <f t="shared" si="68"/>
        <v/>
      </c>
      <c r="V59" s="121" t="str">
        <f t="shared" si="69"/>
        <v/>
      </c>
      <c r="W59" s="121" t="str">
        <f t="shared" si="70"/>
        <v/>
      </c>
      <c r="X59" s="7" t="str">
        <f t="shared" si="71"/>
        <v/>
      </c>
      <c r="Y59" s="136"/>
      <c r="Z59" s="5" t="str">
        <f t="shared" si="72"/>
        <v/>
      </c>
      <c r="AA59" s="137" t="s">
        <v>183</v>
      </c>
      <c r="AB59" s="7" t="str">
        <f t="shared" si="73"/>
        <v/>
      </c>
      <c r="AC59" s="9"/>
      <c r="AD59" s="4"/>
      <c r="AE59" s="138" t="str">
        <f t="shared" si="74"/>
        <v/>
      </c>
      <c r="AF59" s="139" t="str">
        <f t="shared" si="75"/>
        <v/>
      </c>
      <c r="AG59" s="139" t="str">
        <f t="shared" si="76"/>
        <v/>
      </c>
      <c r="AH59" s="139" t="str">
        <f t="shared" si="77"/>
        <v/>
      </c>
      <c r="AI59" s="139" t="str">
        <f t="shared" si="78"/>
        <v/>
      </c>
      <c r="AJ59" s="140" t="str">
        <f t="shared" si="79"/>
        <v/>
      </c>
      <c r="AK59" s="8"/>
      <c r="AL59" s="8" t="str">
        <f>IF(AM59="","",IF(各種設定金額!$B$7="","○○県",各種設定金額!$B$7))</f>
        <v/>
      </c>
      <c r="AM59" s="4"/>
      <c r="AN59" s="4"/>
      <c r="AO59" s="141" t="str">
        <f t="shared" si="80"/>
        <v/>
      </c>
      <c r="AP59" s="10"/>
      <c r="AQ59" s="129"/>
      <c r="AR59" s="142" t="s">
        <v>182</v>
      </c>
      <c r="AS59" s="131" t="str">
        <f t="shared" si="81"/>
        <v/>
      </c>
      <c r="AT59" s="132" t="str">
        <f t="shared" si="82"/>
        <v/>
      </c>
      <c r="AU59" s="132" t="str">
        <f t="shared" si="83"/>
        <v/>
      </c>
      <c r="AV59" s="132" t="str">
        <f t="shared" si="84"/>
        <v/>
      </c>
      <c r="AW59" s="132" t="str">
        <f t="shared" si="85"/>
        <v/>
      </c>
      <c r="AX59" s="143" t="str">
        <f t="shared" si="86"/>
        <v/>
      </c>
      <c r="AY59" s="144"/>
      <c r="AZ59" s="8" t="str">
        <f>IF(BA59="","",IF(各種設定金額!$B$7="","○○県",各種設定金額!$B$7))</f>
        <v/>
      </c>
      <c r="BA59" s="6"/>
      <c r="BB59" s="4"/>
      <c r="BC59" s="141" t="str">
        <f t="shared" si="87"/>
        <v/>
      </c>
      <c r="BD59" s="10"/>
      <c r="BE59" s="129"/>
      <c r="BF59" s="145" t="s">
        <v>63</v>
      </c>
      <c r="BG59" s="131" t="str">
        <f t="shared" si="88"/>
        <v/>
      </c>
      <c r="BH59" s="132" t="str">
        <f t="shared" si="89"/>
        <v/>
      </c>
      <c r="BI59" s="132" t="str">
        <f t="shared" si="90"/>
        <v/>
      </c>
      <c r="BJ59" s="132" t="str">
        <f t="shared" si="91"/>
        <v/>
      </c>
      <c r="BK59" s="132" t="str">
        <f t="shared" si="92"/>
        <v/>
      </c>
      <c r="BL59" s="132" t="str">
        <f t="shared" si="93"/>
        <v/>
      </c>
      <c r="BM59" s="146"/>
      <c r="BN59" s="8" t="str">
        <f>IF(BO59="","",IF(各種設定金額!$B$7="","○○県",各種設定金額!$B$7))</f>
        <v/>
      </c>
      <c r="BO59" s="6"/>
      <c r="BP59" s="4"/>
      <c r="BQ59" s="141" t="str">
        <f t="shared" si="94"/>
        <v/>
      </c>
      <c r="BR59" s="10"/>
      <c r="BS59" s="129"/>
      <c r="BT59" s="145" t="s">
        <v>63</v>
      </c>
      <c r="BU59" s="131" t="str">
        <f t="shared" si="95"/>
        <v/>
      </c>
      <c r="BV59" s="132" t="str">
        <f t="shared" si="96"/>
        <v/>
      </c>
      <c r="BW59" s="132" t="str">
        <f t="shared" si="97"/>
        <v/>
      </c>
      <c r="BX59" s="132" t="str">
        <f t="shared" si="98"/>
        <v/>
      </c>
      <c r="BY59" s="132" t="str">
        <f t="shared" si="99"/>
        <v/>
      </c>
      <c r="BZ59" s="132" t="str">
        <f t="shared" si="100"/>
        <v/>
      </c>
      <c r="CA59" s="146"/>
      <c r="CB59" s="10" t="str">
        <f t="shared" si="101"/>
        <v/>
      </c>
      <c r="CC59" s="7" t="str">
        <f t="shared" si="102"/>
        <v/>
      </c>
      <c r="CD59" s="147"/>
      <c r="CE59" s="147"/>
      <c r="CF59" s="6"/>
      <c r="CG59" s="4"/>
      <c r="CH59" s="148">
        <f t="shared" ca="1" si="103"/>
        <v>2026</v>
      </c>
      <c r="CI59" s="121" t="str">
        <f t="shared" ca="1" si="104"/>
        <v>令和</v>
      </c>
      <c r="CJ59" s="122" t="str">
        <f t="shared" ca="1" si="105"/>
        <v>R</v>
      </c>
      <c r="CK59" s="122" t="str">
        <f t="shared" ca="1" si="106"/>
        <v>8</v>
      </c>
      <c r="CL59" s="122">
        <f t="shared" ca="1" si="107"/>
        <v>10</v>
      </c>
      <c r="CM59" s="149">
        <f t="shared" ca="1" si="108"/>
        <v>24</v>
      </c>
      <c r="CN59" s="1"/>
      <c r="CO59" s="150">
        <f t="shared" ca="1" si="109"/>
        <v>46319</v>
      </c>
    </row>
    <row r="60" spans="1:93" ht="20.100000000000001" customHeight="1" x14ac:dyDescent="0.15">
      <c r="A60" s="7" t="str">
        <f>IF(B60="","",ROW()-ROW(会員表[#Headers]))</f>
        <v/>
      </c>
      <c r="B60" s="4" ph="1"/>
      <c r="C60" s="4" t="str" cm="1">
        <f t="array" ref="C60">_xlfn.LET(_xlpm.s,PHONETIC(B60),_xlpm.c,_xlfn.UNICODE(MID(_xlpm.s,_xlfn.SEQUENCE(LEN(_xlpm.s)),1)),IF(_xlpm.s="","",_xlfn.CONCAT(_xlfn.UNICHAR(_xlpm.c-96*(_xlpm.c&gt;=12449)*(_xlpm.c&lt;=12534)))))</f>
        <v/>
      </c>
      <c r="D60" s="4" t="str" cm="1">
        <f t="array" ref="D60">_xlfn.LET(_xlpm.s,PHONETIC(B60),_xlpm.c,_xlfn.UNICODE(MID(_xlpm.s,_xlfn.SEQUENCE(LEN(_xlpm.s)),1)),IF(_xlpm.s="","",_xlfn.CONCAT(_xlfn.UNICHAR(_xlpm.c+96*(_xlpm.c&gt;=12353)*(_xlpm.c&lt;=12438)))))</f>
        <v/>
      </c>
      <c r="E60" s="129" t="str">
        <f t="shared" ca="1" si="55"/>
        <v/>
      </c>
      <c r="F60" s="130" t="str">
        <f t="shared" si="56"/>
        <v/>
      </c>
      <c r="G60" s="130" t="str">
        <f t="shared" si="57"/>
        <v/>
      </c>
      <c r="H60" s="130" t="str">
        <f t="shared" si="58"/>
        <v/>
      </c>
      <c r="I60" s="131" t="str">
        <f t="shared" si="59"/>
        <v/>
      </c>
      <c r="J60" s="132" t="str">
        <f t="shared" si="60"/>
        <v/>
      </c>
      <c r="K60" s="121" t="str">
        <f t="shared" si="61"/>
        <v/>
      </c>
      <c r="L60" s="129" t="str">
        <f t="shared" si="62"/>
        <v/>
      </c>
      <c r="M60" s="7" t="str">
        <f t="shared" si="63"/>
        <v/>
      </c>
      <c r="N60" s="133"/>
      <c r="O60" s="8"/>
      <c r="P60" s="5" t="str">
        <f t="shared" si="64"/>
        <v/>
      </c>
      <c r="Q60" s="121" t="str">
        <f t="shared" si="65"/>
        <v/>
      </c>
      <c r="R60" s="121" t="str">
        <f t="shared" si="66"/>
        <v/>
      </c>
      <c r="S60" s="7" t="str">
        <f t="shared" si="67"/>
        <v/>
      </c>
      <c r="T60" s="5"/>
      <c r="U60" s="5" t="str">
        <f t="shared" si="68"/>
        <v/>
      </c>
      <c r="V60" s="121" t="str">
        <f t="shared" si="69"/>
        <v/>
      </c>
      <c r="W60" s="121" t="str">
        <f t="shared" si="70"/>
        <v/>
      </c>
      <c r="X60" s="7" t="str">
        <f t="shared" si="71"/>
        <v/>
      </c>
      <c r="Y60" s="136"/>
      <c r="Z60" s="5" t="str">
        <f t="shared" si="72"/>
        <v/>
      </c>
      <c r="AA60" s="137" t="s">
        <v>183</v>
      </c>
      <c r="AB60" s="7" t="str">
        <f t="shared" si="73"/>
        <v/>
      </c>
      <c r="AC60" s="9"/>
      <c r="AD60" s="4"/>
      <c r="AE60" s="138" t="str">
        <f t="shared" si="74"/>
        <v/>
      </c>
      <c r="AF60" s="139" t="str">
        <f t="shared" si="75"/>
        <v/>
      </c>
      <c r="AG60" s="139" t="str">
        <f t="shared" si="76"/>
        <v/>
      </c>
      <c r="AH60" s="139" t="str">
        <f t="shared" si="77"/>
        <v/>
      </c>
      <c r="AI60" s="139" t="str">
        <f t="shared" si="78"/>
        <v/>
      </c>
      <c r="AJ60" s="140" t="str">
        <f t="shared" si="79"/>
        <v/>
      </c>
      <c r="AK60" s="8"/>
      <c r="AL60" s="8" t="str">
        <f>IF(AM60="","",IF(各種設定金額!$B$7="","○○県",各種設定金額!$B$7))</f>
        <v/>
      </c>
      <c r="AM60" s="4"/>
      <c r="AN60" s="4"/>
      <c r="AO60" s="141" t="str">
        <f t="shared" si="80"/>
        <v/>
      </c>
      <c r="AP60" s="10"/>
      <c r="AQ60" s="129"/>
      <c r="AR60" s="142" t="s">
        <v>182</v>
      </c>
      <c r="AS60" s="131" t="str">
        <f t="shared" si="81"/>
        <v/>
      </c>
      <c r="AT60" s="132" t="str">
        <f t="shared" si="82"/>
        <v/>
      </c>
      <c r="AU60" s="132" t="str">
        <f t="shared" si="83"/>
        <v/>
      </c>
      <c r="AV60" s="132" t="str">
        <f t="shared" si="84"/>
        <v/>
      </c>
      <c r="AW60" s="132" t="str">
        <f t="shared" si="85"/>
        <v/>
      </c>
      <c r="AX60" s="143" t="str">
        <f t="shared" si="86"/>
        <v/>
      </c>
      <c r="AY60" s="144"/>
      <c r="AZ60" s="8" t="str">
        <f>IF(BA60="","",IF(各種設定金額!$B$7="","○○県",各種設定金額!$B$7))</f>
        <v/>
      </c>
      <c r="BA60" s="6"/>
      <c r="BB60" s="4"/>
      <c r="BC60" s="141" t="str">
        <f t="shared" si="87"/>
        <v/>
      </c>
      <c r="BD60" s="10"/>
      <c r="BE60" s="129"/>
      <c r="BF60" s="145" t="s">
        <v>63</v>
      </c>
      <c r="BG60" s="131" t="str">
        <f t="shared" si="88"/>
        <v/>
      </c>
      <c r="BH60" s="132" t="str">
        <f t="shared" si="89"/>
        <v/>
      </c>
      <c r="BI60" s="132" t="str">
        <f t="shared" si="90"/>
        <v/>
      </c>
      <c r="BJ60" s="132" t="str">
        <f t="shared" si="91"/>
        <v/>
      </c>
      <c r="BK60" s="132" t="str">
        <f t="shared" si="92"/>
        <v/>
      </c>
      <c r="BL60" s="132" t="str">
        <f t="shared" si="93"/>
        <v/>
      </c>
      <c r="BM60" s="146"/>
      <c r="BN60" s="8" t="str">
        <f>IF(BO60="","",IF(各種設定金額!$B$7="","○○県",各種設定金額!$B$7))</f>
        <v/>
      </c>
      <c r="BO60" s="6"/>
      <c r="BP60" s="4"/>
      <c r="BQ60" s="141" t="str">
        <f t="shared" si="94"/>
        <v/>
      </c>
      <c r="BR60" s="10"/>
      <c r="BS60" s="129"/>
      <c r="BT60" s="145" t="s">
        <v>63</v>
      </c>
      <c r="BU60" s="131" t="str">
        <f t="shared" si="95"/>
        <v/>
      </c>
      <c r="BV60" s="132" t="str">
        <f t="shared" si="96"/>
        <v/>
      </c>
      <c r="BW60" s="132" t="str">
        <f t="shared" si="97"/>
        <v/>
      </c>
      <c r="BX60" s="132" t="str">
        <f t="shared" si="98"/>
        <v/>
      </c>
      <c r="BY60" s="132" t="str">
        <f t="shared" si="99"/>
        <v/>
      </c>
      <c r="BZ60" s="132" t="str">
        <f t="shared" si="100"/>
        <v/>
      </c>
      <c r="CA60" s="146"/>
      <c r="CB60" s="10" t="str">
        <f t="shared" si="101"/>
        <v/>
      </c>
      <c r="CC60" s="7" t="str">
        <f t="shared" si="102"/>
        <v/>
      </c>
      <c r="CD60" s="147"/>
      <c r="CE60" s="147"/>
      <c r="CF60" s="6"/>
      <c r="CG60" s="4"/>
      <c r="CH60" s="148">
        <f t="shared" ca="1" si="103"/>
        <v>2026</v>
      </c>
      <c r="CI60" s="121" t="str">
        <f t="shared" ca="1" si="104"/>
        <v>令和</v>
      </c>
      <c r="CJ60" s="122" t="str">
        <f t="shared" ca="1" si="105"/>
        <v>R</v>
      </c>
      <c r="CK60" s="122" t="str">
        <f t="shared" ca="1" si="106"/>
        <v>8</v>
      </c>
      <c r="CL60" s="122">
        <f t="shared" ca="1" si="107"/>
        <v>10</v>
      </c>
      <c r="CM60" s="149">
        <f t="shared" ca="1" si="108"/>
        <v>24</v>
      </c>
      <c r="CN60" s="1"/>
      <c r="CO60" s="150">
        <f t="shared" ca="1" si="109"/>
        <v>46319</v>
      </c>
    </row>
    <row r="61" spans="1:93" ht="20.100000000000001" customHeight="1" x14ac:dyDescent="0.15">
      <c r="A61" s="7" t="str">
        <f>IF(B61="","",ROW()-ROW(会員表[#Headers]))</f>
        <v/>
      </c>
      <c r="B61" s="4" ph="1"/>
      <c r="C61" s="4" t="str" cm="1">
        <f t="array" ref="C61">_xlfn.LET(_xlpm.s,PHONETIC(B61),_xlpm.c,_xlfn.UNICODE(MID(_xlpm.s,_xlfn.SEQUENCE(LEN(_xlpm.s)),1)),IF(_xlpm.s="","",_xlfn.CONCAT(_xlfn.UNICHAR(_xlpm.c-96*(_xlpm.c&gt;=12449)*(_xlpm.c&lt;=12534)))))</f>
        <v/>
      </c>
      <c r="D61" s="4" t="str" cm="1">
        <f t="array" ref="D61">_xlfn.LET(_xlpm.s,PHONETIC(B61),_xlpm.c,_xlfn.UNICODE(MID(_xlpm.s,_xlfn.SEQUENCE(LEN(_xlpm.s)),1)),IF(_xlpm.s="","",_xlfn.CONCAT(_xlfn.UNICHAR(_xlpm.c+96*(_xlpm.c&gt;=12353)*(_xlpm.c&lt;=12438)))))</f>
        <v/>
      </c>
      <c r="E61" s="129" t="str">
        <f t="shared" ca="1" si="55"/>
        <v/>
      </c>
      <c r="F61" s="130" t="str">
        <f t="shared" si="56"/>
        <v/>
      </c>
      <c r="G61" s="130" t="str">
        <f t="shared" si="57"/>
        <v/>
      </c>
      <c r="H61" s="130" t="str">
        <f t="shared" si="58"/>
        <v/>
      </c>
      <c r="I61" s="131" t="str">
        <f t="shared" si="59"/>
        <v/>
      </c>
      <c r="J61" s="132" t="str">
        <f t="shared" si="60"/>
        <v/>
      </c>
      <c r="K61" s="121" t="str">
        <f t="shared" si="61"/>
        <v/>
      </c>
      <c r="L61" s="129" t="str">
        <f t="shared" si="62"/>
        <v/>
      </c>
      <c r="M61" s="7" t="str">
        <f t="shared" si="63"/>
        <v/>
      </c>
      <c r="N61" s="133"/>
      <c r="O61" s="8"/>
      <c r="P61" s="5" t="str">
        <f t="shared" si="64"/>
        <v/>
      </c>
      <c r="Q61" s="121" t="str">
        <f t="shared" si="65"/>
        <v/>
      </c>
      <c r="R61" s="121" t="str">
        <f t="shared" si="66"/>
        <v/>
      </c>
      <c r="S61" s="7" t="str">
        <f t="shared" si="67"/>
        <v/>
      </c>
      <c r="T61" s="5"/>
      <c r="U61" s="5" t="str">
        <f t="shared" si="68"/>
        <v/>
      </c>
      <c r="V61" s="121" t="str">
        <f t="shared" si="69"/>
        <v/>
      </c>
      <c r="W61" s="121" t="str">
        <f t="shared" si="70"/>
        <v/>
      </c>
      <c r="X61" s="7" t="str">
        <f t="shared" si="71"/>
        <v/>
      </c>
      <c r="Y61" s="136"/>
      <c r="Z61" s="5" t="str">
        <f t="shared" si="72"/>
        <v/>
      </c>
      <c r="AA61" s="137" t="s">
        <v>183</v>
      </c>
      <c r="AB61" s="7" t="str">
        <f t="shared" si="73"/>
        <v/>
      </c>
      <c r="AC61" s="9"/>
      <c r="AD61" s="4"/>
      <c r="AE61" s="138" t="str">
        <f t="shared" si="74"/>
        <v/>
      </c>
      <c r="AF61" s="139" t="str">
        <f t="shared" si="75"/>
        <v/>
      </c>
      <c r="AG61" s="139" t="str">
        <f t="shared" si="76"/>
        <v/>
      </c>
      <c r="AH61" s="139" t="str">
        <f t="shared" si="77"/>
        <v/>
      </c>
      <c r="AI61" s="139" t="str">
        <f t="shared" si="78"/>
        <v/>
      </c>
      <c r="AJ61" s="140" t="str">
        <f t="shared" si="79"/>
        <v/>
      </c>
      <c r="AK61" s="8"/>
      <c r="AL61" s="8" t="str">
        <f>IF(AM61="","",IF(各種設定金額!$B$7="","○○県",各種設定金額!$B$7))</f>
        <v/>
      </c>
      <c r="AM61" s="4"/>
      <c r="AN61" s="4"/>
      <c r="AO61" s="141" t="str">
        <f t="shared" si="80"/>
        <v/>
      </c>
      <c r="AP61" s="10"/>
      <c r="AQ61" s="129"/>
      <c r="AR61" s="142" t="s">
        <v>182</v>
      </c>
      <c r="AS61" s="131" t="str">
        <f t="shared" si="81"/>
        <v/>
      </c>
      <c r="AT61" s="132" t="str">
        <f t="shared" si="82"/>
        <v/>
      </c>
      <c r="AU61" s="132" t="str">
        <f t="shared" si="83"/>
        <v/>
      </c>
      <c r="AV61" s="132" t="str">
        <f t="shared" si="84"/>
        <v/>
      </c>
      <c r="AW61" s="132" t="str">
        <f t="shared" si="85"/>
        <v/>
      </c>
      <c r="AX61" s="143" t="str">
        <f t="shared" si="86"/>
        <v/>
      </c>
      <c r="AY61" s="144"/>
      <c r="AZ61" s="8" t="str">
        <f>IF(BA61="","",IF(各種設定金額!$B$7="","○○県",各種設定金額!$B$7))</f>
        <v/>
      </c>
      <c r="BA61" s="6"/>
      <c r="BB61" s="4"/>
      <c r="BC61" s="141" t="str">
        <f t="shared" si="87"/>
        <v/>
      </c>
      <c r="BD61" s="10"/>
      <c r="BE61" s="129"/>
      <c r="BF61" s="145" t="s">
        <v>63</v>
      </c>
      <c r="BG61" s="131" t="str">
        <f t="shared" si="88"/>
        <v/>
      </c>
      <c r="BH61" s="132" t="str">
        <f t="shared" si="89"/>
        <v/>
      </c>
      <c r="BI61" s="132" t="str">
        <f t="shared" si="90"/>
        <v/>
      </c>
      <c r="BJ61" s="132" t="str">
        <f t="shared" si="91"/>
        <v/>
      </c>
      <c r="BK61" s="132" t="str">
        <f t="shared" si="92"/>
        <v/>
      </c>
      <c r="BL61" s="132" t="str">
        <f t="shared" si="93"/>
        <v/>
      </c>
      <c r="BM61" s="146"/>
      <c r="BN61" s="8" t="str">
        <f>IF(BO61="","",IF(各種設定金額!$B$7="","○○県",各種設定金額!$B$7))</f>
        <v/>
      </c>
      <c r="BO61" s="6"/>
      <c r="BP61" s="4"/>
      <c r="BQ61" s="141" t="str">
        <f t="shared" si="94"/>
        <v/>
      </c>
      <c r="BR61" s="10"/>
      <c r="BS61" s="129"/>
      <c r="BT61" s="145" t="s">
        <v>63</v>
      </c>
      <c r="BU61" s="131" t="str">
        <f t="shared" si="95"/>
        <v/>
      </c>
      <c r="BV61" s="132" t="str">
        <f t="shared" si="96"/>
        <v/>
      </c>
      <c r="BW61" s="132" t="str">
        <f t="shared" si="97"/>
        <v/>
      </c>
      <c r="BX61" s="132" t="str">
        <f t="shared" si="98"/>
        <v/>
      </c>
      <c r="BY61" s="132" t="str">
        <f t="shared" si="99"/>
        <v/>
      </c>
      <c r="BZ61" s="132" t="str">
        <f t="shared" si="100"/>
        <v/>
      </c>
      <c r="CA61" s="146"/>
      <c r="CB61" s="10" t="str">
        <f t="shared" si="101"/>
        <v/>
      </c>
      <c r="CC61" s="7" t="str">
        <f t="shared" si="102"/>
        <v/>
      </c>
      <c r="CD61" s="147"/>
      <c r="CE61" s="147"/>
      <c r="CF61" s="6"/>
      <c r="CG61" s="4"/>
      <c r="CH61" s="148">
        <f t="shared" ca="1" si="103"/>
        <v>2026</v>
      </c>
      <c r="CI61" s="121" t="str">
        <f t="shared" ca="1" si="104"/>
        <v>令和</v>
      </c>
      <c r="CJ61" s="122" t="str">
        <f t="shared" ca="1" si="105"/>
        <v>R</v>
      </c>
      <c r="CK61" s="122" t="str">
        <f t="shared" ca="1" si="106"/>
        <v>8</v>
      </c>
      <c r="CL61" s="122">
        <f t="shared" ca="1" si="107"/>
        <v>10</v>
      </c>
      <c r="CM61" s="149">
        <f t="shared" ca="1" si="108"/>
        <v>24</v>
      </c>
      <c r="CN61" s="1"/>
      <c r="CO61" s="150">
        <f t="shared" ca="1" si="109"/>
        <v>46319</v>
      </c>
    </row>
    <row r="62" spans="1:93" ht="20.100000000000001" customHeight="1" x14ac:dyDescent="0.15">
      <c r="A62" s="7" t="str">
        <f>IF(B62="","",ROW()-ROW(会員表[#Headers]))</f>
        <v/>
      </c>
      <c r="B62" s="4" ph="1"/>
      <c r="C62" s="4" t="str" cm="1">
        <f t="array" ref="C62">_xlfn.LET(_xlpm.s,PHONETIC(B62),_xlpm.c,_xlfn.UNICODE(MID(_xlpm.s,_xlfn.SEQUENCE(LEN(_xlpm.s)),1)),IF(_xlpm.s="","",_xlfn.CONCAT(_xlfn.UNICHAR(_xlpm.c-96*(_xlpm.c&gt;=12449)*(_xlpm.c&lt;=12534)))))</f>
        <v/>
      </c>
      <c r="D62" s="4" t="str" cm="1">
        <f t="array" ref="D62">_xlfn.LET(_xlpm.s,PHONETIC(B62),_xlpm.c,_xlfn.UNICODE(MID(_xlpm.s,_xlfn.SEQUENCE(LEN(_xlpm.s)),1)),IF(_xlpm.s="","",_xlfn.CONCAT(_xlfn.UNICHAR(_xlpm.c+96*(_xlpm.c&gt;=12353)*(_xlpm.c&lt;=12438)))))</f>
        <v/>
      </c>
      <c r="E62" s="129" t="str">
        <f t="shared" ca="1" si="55"/>
        <v/>
      </c>
      <c r="F62" s="130" t="str">
        <f t="shared" si="56"/>
        <v/>
      </c>
      <c r="G62" s="130" t="str">
        <f t="shared" si="57"/>
        <v/>
      </c>
      <c r="H62" s="130" t="str">
        <f t="shared" si="58"/>
        <v/>
      </c>
      <c r="I62" s="131" t="str">
        <f t="shared" si="59"/>
        <v/>
      </c>
      <c r="J62" s="132" t="str">
        <f t="shared" si="60"/>
        <v/>
      </c>
      <c r="K62" s="121" t="str">
        <f t="shared" si="61"/>
        <v/>
      </c>
      <c r="L62" s="129" t="str">
        <f t="shared" si="62"/>
        <v/>
      </c>
      <c r="M62" s="7" t="str">
        <f t="shared" si="63"/>
        <v/>
      </c>
      <c r="N62" s="133"/>
      <c r="O62" s="8"/>
      <c r="P62" s="5" t="str">
        <f t="shared" si="64"/>
        <v/>
      </c>
      <c r="Q62" s="121" t="str">
        <f t="shared" si="65"/>
        <v/>
      </c>
      <c r="R62" s="121" t="str">
        <f t="shared" si="66"/>
        <v/>
      </c>
      <c r="S62" s="7" t="str">
        <f t="shared" si="67"/>
        <v/>
      </c>
      <c r="T62" s="5"/>
      <c r="U62" s="5" t="str">
        <f t="shared" si="68"/>
        <v/>
      </c>
      <c r="V62" s="121" t="str">
        <f t="shared" si="69"/>
        <v/>
      </c>
      <c r="W62" s="121" t="str">
        <f t="shared" si="70"/>
        <v/>
      </c>
      <c r="X62" s="7" t="str">
        <f t="shared" si="71"/>
        <v/>
      </c>
      <c r="Y62" s="136"/>
      <c r="Z62" s="5" t="str">
        <f t="shared" si="72"/>
        <v/>
      </c>
      <c r="AA62" s="137" t="s">
        <v>183</v>
      </c>
      <c r="AB62" s="7" t="str">
        <f t="shared" si="73"/>
        <v/>
      </c>
      <c r="AC62" s="9"/>
      <c r="AD62" s="4"/>
      <c r="AE62" s="138" t="str">
        <f t="shared" si="74"/>
        <v/>
      </c>
      <c r="AF62" s="139" t="str">
        <f t="shared" si="75"/>
        <v/>
      </c>
      <c r="AG62" s="139" t="str">
        <f t="shared" si="76"/>
        <v/>
      </c>
      <c r="AH62" s="139" t="str">
        <f t="shared" si="77"/>
        <v/>
      </c>
      <c r="AI62" s="139" t="str">
        <f t="shared" si="78"/>
        <v/>
      </c>
      <c r="AJ62" s="140" t="str">
        <f t="shared" si="79"/>
        <v/>
      </c>
      <c r="AK62" s="8"/>
      <c r="AL62" s="8" t="str">
        <f>IF(AM62="","",IF(各種設定金額!$B$7="","○○県",各種設定金額!$B$7))</f>
        <v/>
      </c>
      <c r="AM62" s="4"/>
      <c r="AN62" s="4"/>
      <c r="AO62" s="141" t="str">
        <f t="shared" si="80"/>
        <v/>
      </c>
      <c r="AP62" s="10"/>
      <c r="AQ62" s="129"/>
      <c r="AR62" s="142" t="s">
        <v>182</v>
      </c>
      <c r="AS62" s="131" t="str">
        <f t="shared" si="81"/>
        <v/>
      </c>
      <c r="AT62" s="132" t="str">
        <f t="shared" si="82"/>
        <v/>
      </c>
      <c r="AU62" s="132" t="str">
        <f t="shared" si="83"/>
        <v/>
      </c>
      <c r="AV62" s="132" t="str">
        <f t="shared" si="84"/>
        <v/>
      </c>
      <c r="AW62" s="132" t="str">
        <f t="shared" si="85"/>
        <v/>
      </c>
      <c r="AX62" s="143" t="str">
        <f t="shared" si="86"/>
        <v/>
      </c>
      <c r="AY62" s="144"/>
      <c r="AZ62" s="8" t="str">
        <f>IF(BA62="","",IF(各種設定金額!$B$7="","○○県",各種設定金額!$B$7))</f>
        <v/>
      </c>
      <c r="BA62" s="6"/>
      <c r="BB62" s="4"/>
      <c r="BC62" s="141" t="str">
        <f t="shared" si="87"/>
        <v/>
      </c>
      <c r="BD62" s="10"/>
      <c r="BE62" s="129"/>
      <c r="BF62" s="145" t="s">
        <v>63</v>
      </c>
      <c r="BG62" s="131" t="str">
        <f t="shared" si="88"/>
        <v/>
      </c>
      <c r="BH62" s="132" t="str">
        <f t="shared" si="89"/>
        <v/>
      </c>
      <c r="BI62" s="132" t="str">
        <f t="shared" si="90"/>
        <v/>
      </c>
      <c r="BJ62" s="132" t="str">
        <f t="shared" si="91"/>
        <v/>
      </c>
      <c r="BK62" s="132" t="str">
        <f t="shared" si="92"/>
        <v/>
      </c>
      <c r="BL62" s="132" t="str">
        <f t="shared" si="93"/>
        <v/>
      </c>
      <c r="BM62" s="146"/>
      <c r="BN62" s="8" t="str">
        <f>IF(BO62="","",IF(各種設定金額!$B$7="","○○県",各種設定金額!$B$7))</f>
        <v/>
      </c>
      <c r="BO62" s="6"/>
      <c r="BP62" s="4"/>
      <c r="BQ62" s="141" t="str">
        <f t="shared" si="94"/>
        <v/>
      </c>
      <c r="BR62" s="10"/>
      <c r="BS62" s="129"/>
      <c r="BT62" s="145" t="s">
        <v>63</v>
      </c>
      <c r="BU62" s="131" t="str">
        <f t="shared" si="95"/>
        <v/>
      </c>
      <c r="BV62" s="132" t="str">
        <f t="shared" si="96"/>
        <v/>
      </c>
      <c r="BW62" s="132" t="str">
        <f t="shared" si="97"/>
        <v/>
      </c>
      <c r="BX62" s="132" t="str">
        <f t="shared" si="98"/>
        <v/>
      </c>
      <c r="BY62" s="132" t="str">
        <f t="shared" si="99"/>
        <v/>
      </c>
      <c r="BZ62" s="132" t="str">
        <f t="shared" si="100"/>
        <v/>
      </c>
      <c r="CA62" s="146"/>
      <c r="CB62" s="10" t="str">
        <f t="shared" si="101"/>
        <v/>
      </c>
      <c r="CC62" s="7" t="str">
        <f t="shared" si="102"/>
        <v/>
      </c>
      <c r="CD62" s="147"/>
      <c r="CE62" s="147"/>
      <c r="CF62" s="6"/>
      <c r="CG62" s="4"/>
      <c r="CH62" s="148">
        <f t="shared" ca="1" si="103"/>
        <v>2026</v>
      </c>
      <c r="CI62" s="121" t="str">
        <f t="shared" ca="1" si="104"/>
        <v>令和</v>
      </c>
      <c r="CJ62" s="122" t="str">
        <f t="shared" ca="1" si="105"/>
        <v>R</v>
      </c>
      <c r="CK62" s="122" t="str">
        <f t="shared" ca="1" si="106"/>
        <v>8</v>
      </c>
      <c r="CL62" s="122">
        <f t="shared" ca="1" si="107"/>
        <v>10</v>
      </c>
      <c r="CM62" s="149">
        <f t="shared" ca="1" si="108"/>
        <v>24</v>
      </c>
      <c r="CN62" s="1"/>
      <c r="CO62" s="150">
        <f t="shared" ca="1" si="109"/>
        <v>46319</v>
      </c>
    </row>
    <row r="63" spans="1:93" ht="20.100000000000001" customHeight="1" x14ac:dyDescent="0.15">
      <c r="A63" s="7" t="str">
        <f>IF(B63="","",ROW()-ROW(会員表[#Headers]))</f>
        <v/>
      </c>
      <c r="B63" s="4" ph="1"/>
      <c r="C63" s="4" t="str" cm="1">
        <f t="array" ref="C63">_xlfn.LET(_xlpm.s,PHONETIC(B63),_xlpm.c,_xlfn.UNICODE(MID(_xlpm.s,_xlfn.SEQUENCE(LEN(_xlpm.s)),1)),IF(_xlpm.s="","",_xlfn.CONCAT(_xlfn.UNICHAR(_xlpm.c-96*(_xlpm.c&gt;=12449)*(_xlpm.c&lt;=12534)))))</f>
        <v/>
      </c>
      <c r="D63" s="4" t="str" cm="1">
        <f t="array" ref="D63">_xlfn.LET(_xlpm.s,PHONETIC(B63),_xlpm.c,_xlfn.UNICODE(MID(_xlpm.s,_xlfn.SEQUENCE(LEN(_xlpm.s)),1)),IF(_xlpm.s="","",_xlfn.CONCAT(_xlfn.UNICHAR(_xlpm.c+96*(_xlpm.c&gt;=12353)*(_xlpm.c&lt;=12438)))))</f>
        <v/>
      </c>
      <c r="E63" s="129" t="str">
        <f t="shared" ca="1" si="55"/>
        <v/>
      </c>
      <c r="F63" s="130" t="str">
        <f t="shared" si="56"/>
        <v/>
      </c>
      <c r="G63" s="130" t="str">
        <f t="shared" si="57"/>
        <v/>
      </c>
      <c r="H63" s="130" t="str">
        <f t="shared" si="58"/>
        <v/>
      </c>
      <c r="I63" s="131" t="str">
        <f t="shared" si="59"/>
        <v/>
      </c>
      <c r="J63" s="132" t="str">
        <f t="shared" si="60"/>
        <v/>
      </c>
      <c r="K63" s="121" t="str">
        <f t="shared" si="61"/>
        <v/>
      </c>
      <c r="L63" s="129" t="str">
        <f t="shared" si="62"/>
        <v/>
      </c>
      <c r="M63" s="7" t="str">
        <f t="shared" si="63"/>
        <v/>
      </c>
      <c r="N63" s="133"/>
      <c r="O63" s="8"/>
      <c r="P63" s="5" t="str">
        <f t="shared" si="64"/>
        <v/>
      </c>
      <c r="Q63" s="121" t="str">
        <f t="shared" si="65"/>
        <v/>
      </c>
      <c r="R63" s="121" t="str">
        <f t="shared" si="66"/>
        <v/>
      </c>
      <c r="S63" s="7" t="str">
        <f t="shared" si="67"/>
        <v/>
      </c>
      <c r="T63" s="5"/>
      <c r="U63" s="5" t="str">
        <f t="shared" si="68"/>
        <v/>
      </c>
      <c r="V63" s="121" t="str">
        <f t="shared" si="69"/>
        <v/>
      </c>
      <c r="W63" s="121" t="str">
        <f t="shared" si="70"/>
        <v/>
      </c>
      <c r="X63" s="7" t="str">
        <f t="shared" si="71"/>
        <v/>
      </c>
      <c r="Y63" s="136"/>
      <c r="Z63" s="5" t="str">
        <f t="shared" si="72"/>
        <v/>
      </c>
      <c r="AA63" s="137" t="s">
        <v>183</v>
      </c>
      <c r="AB63" s="7" t="str">
        <f t="shared" si="73"/>
        <v/>
      </c>
      <c r="AC63" s="9"/>
      <c r="AD63" s="4"/>
      <c r="AE63" s="138" t="str">
        <f t="shared" si="74"/>
        <v/>
      </c>
      <c r="AF63" s="139" t="str">
        <f t="shared" si="75"/>
        <v/>
      </c>
      <c r="AG63" s="139" t="str">
        <f t="shared" si="76"/>
        <v/>
      </c>
      <c r="AH63" s="139" t="str">
        <f t="shared" si="77"/>
        <v/>
      </c>
      <c r="AI63" s="139" t="str">
        <f t="shared" si="78"/>
        <v/>
      </c>
      <c r="AJ63" s="140" t="str">
        <f t="shared" si="79"/>
        <v/>
      </c>
      <c r="AK63" s="8"/>
      <c r="AL63" s="8" t="str">
        <f>IF(AM63="","",IF(各種設定金額!$B$7="","○○県",各種設定金額!$B$7))</f>
        <v/>
      </c>
      <c r="AM63" s="4"/>
      <c r="AN63" s="4"/>
      <c r="AO63" s="141" t="str">
        <f t="shared" si="80"/>
        <v/>
      </c>
      <c r="AP63" s="10"/>
      <c r="AQ63" s="129"/>
      <c r="AR63" s="142" t="s">
        <v>182</v>
      </c>
      <c r="AS63" s="131" t="str">
        <f t="shared" si="81"/>
        <v/>
      </c>
      <c r="AT63" s="132" t="str">
        <f t="shared" si="82"/>
        <v/>
      </c>
      <c r="AU63" s="132" t="str">
        <f t="shared" si="83"/>
        <v/>
      </c>
      <c r="AV63" s="132" t="str">
        <f t="shared" si="84"/>
        <v/>
      </c>
      <c r="AW63" s="132" t="str">
        <f t="shared" si="85"/>
        <v/>
      </c>
      <c r="AX63" s="143" t="str">
        <f t="shared" si="86"/>
        <v/>
      </c>
      <c r="AY63" s="144"/>
      <c r="AZ63" s="8" t="str">
        <f>IF(BA63="","",IF(各種設定金額!$B$7="","○○県",各種設定金額!$B$7))</f>
        <v/>
      </c>
      <c r="BA63" s="6"/>
      <c r="BB63" s="4"/>
      <c r="BC63" s="141" t="str">
        <f t="shared" si="87"/>
        <v/>
      </c>
      <c r="BD63" s="10"/>
      <c r="BE63" s="129"/>
      <c r="BF63" s="145" t="s">
        <v>63</v>
      </c>
      <c r="BG63" s="131" t="str">
        <f t="shared" si="88"/>
        <v/>
      </c>
      <c r="BH63" s="132" t="str">
        <f t="shared" si="89"/>
        <v/>
      </c>
      <c r="BI63" s="132" t="str">
        <f t="shared" si="90"/>
        <v/>
      </c>
      <c r="BJ63" s="132" t="str">
        <f t="shared" si="91"/>
        <v/>
      </c>
      <c r="BK63" s="132" t="str">
        <f t="shared" si="92"/>
        <v/>
      </c>
      <c r="BL63" s="132" t="str">
        <f t="shared" si="93"/>
        <v/>
      </c>
      <c r="BM63" s="146"/>
      <c r="BN63" s="8" t="str">
        <f>IF(BO63="","",IF(各種設定金額!$B$7="","○○県",各種設定金額!$B$7))</f>
        <v/>
      </c>
      <c r="BO63" s="6"/>
      <c r="BP63" s="4"/>
      <c r="BQ63" s="141" t="str">
        <f t="shared" si="94"/>
        <v/>
      </c>
      <c r="BR63" s="10"/>
      <c r="BS63" s="129"/>
      <c r="BT63" s="145" t="s">
        <v>63</v>
      </c>
      <c r="BU63" s="131" t="str">
        <f t="shared" si="95"/>
        <v/>
      </c>
      <c r="BV63" s="132" t="str">
        <f t="shared" si="96"/>
        <v/>
      </c>
      <c r="BW63" s="132" t="str">
        <f t="shared" si="97"/>
        <v/>
      </c>
      <c r="BX63" s="132" t="str">
        <f t="shared" si="98"/>
        <v/>
      </c>
      <c r="BY63" s="132" t="str">
        <f t="shared" si="99"/>
        <v/>
      </c>
      <c r="BZ63" s="132" t="str">
        <f t="shared" si="100"/>
        <v/>
      </c>
      <c r="CA63" s="146"/>
      <c r="CB63" s="10" t="str">
        <f t="shared" si="101"/>
        <v/>
      </c>
      <c r="CC63" s="7" t="str">
        <f t="shared" si="102"/>
        <v/>
      </c>
      <c r="CD63" s="147"/>
      <c r="CE63" s="147"/>
      <c r="CF63" s="6"/>
      <c r="CG63" s="4"/>
      <c r="CH63" s="148">
        <f t="shared" ca="1" si="103"/>
        <v>2026</v>
      </c>
      <c r="CI63" s="121" t="str">
        <f t="shared" ca="1" si="104"/>
        <v>令和</v>
      </c>
      <c r="CJ63" s="122" t="str">
        <f t="shared" ca="1" si="105"/>
        <v>R</v>
      </c>
      <c r="CK63" s="122" t="str">
        <f t="shared" ca="1" si="106"/>
        <v>8</v>
      </c>
      <c r="CL63" s="122">
        <f t="shared" ca="1" si="107"/>
        <v>10</v>
      </c>
      <c r="CM63" s="149">
        <f t="shared" ca="1" si="108"/>
        <v>24</v>
      </c>
      <c r="CN63" s="1"/>
      <c r="CO63" s="150">
        <f t="shared" ca="1" si="109"/>
        <v>46319</v>
      </c>
    </row>
    <row r="64" spans="1:93" ht="20.100000000000001" customHeight="1" x14ac:dyDescent="0.15">
      <c r="A64" s="7" t="str">
        <f>IF(B64="","",ROW()-ROW(会員表[#Headers]))</f>
        <v/>
      </c>
      <c r="B64" s="4" ph="1"/>
      <c r="C64" s="4" t="str" cm="1">
        <f t="array" ref="C64">_xlfn.LET(_xlpm.s,PHONETIC(B64),_xlpm.c,_xlfn.UNICODE(MID(_xlpm.s,_xlfn.SEQUENCE(LEN(_xlpm.s)),1)),IF(_xlpm.s="","",_xlfn.CONCAT(_xlfn.UNICHAR(_xlpm.c-96*(_xlpm.c&gt;=12449)*(_xlpm.c&lt;=12534)))))</f>
        <v/>
      </c>
      <c r="D64" s="4" t="str" cm="1">
        <f t="array" ref="D64">_xlfn.LET(_xlpm.s,PHONETIC(B64),_xlpm.c,_xlfn.UNICODE(MID(_xlpm.s,_xlfn.SEQUENCE(LEN(_xlpm.s)),1)),IF(_xlpm.s="","",_xlfn.CONCAT(_xlfn.UNICHAR(_xlpm.c+96*(_xlpm.c&gt;=12353)*(_xlpm.c&lt;=12438)))))</f>
        <v/>
      </c>
      <c r="E64" s="129" t="str">
        <f t="shared" ca="1" si="55"/>
        <v/>
      </c>
      <c r="F64" s="130" t="str">
        <f t="shared" si="56"/>
        <v/>
      </c>
      <c r="G64" s="130" t="str">
        <f t="shared" si="57"/>
        <v/>
      </c>
      <c r="H64" s="130" t="str">
        <f t="shared" si="58"/>
        <v/>
      </c>
      <c r="I64" s="131" t="str">
        <f t="shared" si="59"/>
        <v/>
      </c>
      <c r="J64" s="132" t="str">
        <f t="shared" si="60"/>
        <v/>
      </c>
      <c r="K64" s="121" t="str">
        <f t="shared" si="61"/>
        <v/>
      </c>
      <c r="L64" s="129" t="str">
        <f t="shared" si="62"/>
        <v/>
      </c>
      <c r="M64" s="7" t="str">
        <f t="shared" si="63"/>
        <v/>
      </c>
      <c r="N64" s="133"/>
      <c r="O64" s="8"/>
      <c r="P64" s="5" t="str">
        <f t="shared" si="64"/>
        <v/>
      </c>
      <c r="Q64" s="121" t="str">
        <f t="shared" si="65"/>
        <v/>
      </c>
      <c r="R64" s="121" t="str">
        <f t="shared" si="66"/>
        <v/>
      </c>
      <c r="S64" s="7" t="str">
        <f t="shared" si="67"/>
        <v/>
      </c>
      <c r="T64" s="5"/>
      <c r="U64" s="5" t="str">
        <f t="shared" si="68"/>
        <v/>
      </c>
      <c r="V64" s="121" t="str">
        <f t="shared" si="69"/>
        <v/>
      </c>
      <c r="W64" s="121" t="str">
        <f t="shared" si="70"/>
        <v/>
      </c>
      <c r="X64" s="7" t="str">
        <f t="shared" si="71"/>
        <v/>
      </c>
      <c r="Y64" s="136"/>
      <c r="Z64" s="5" t="str">
        <f t="shared" si="72"/>
        <v/>
      </c>
      <c r="AA64" s="137" t="s">
        <v>183</v>
      </c>
      <c r="AB64" s="7" t="str">
        <f t="shared" si="73"/>
        <v/>
      </c>
      <c r="AC64" s="9"/>
      <c r="AD64" s="4"/>
      <c r="AE64" s="138" t="str">
        <f t="shared" si="74"/>
        <v/>
      </c>
      <c r="AF64" s="139" t="str">
        <f t="shared" si="75"/>
        <v/>
      </c>
      <c r="AG64" s="139" t="str">
        <f t="shared" si="76"/>
        <v/>
      </c>
      <c r="AH64" s="139" t="str">
        <f t="shared" si="77"/>
        <v/>
      </c>
      <c r="AI64" s="139" t="str">
        <f t="shared" si="78"/>
        <v/>
      </c>
      <c r="AJ64" s="140" t="str">
        <f t="shared" si="79"/>
        <v/>
      </c>
      <c r="AK64" s="8"/>
      <c r="AL64" s="8" t="str">
        <f>IF(AM64="","",IF(各種設定金額!$B$7="","○○県",各種設定金額!$B$7))</f>
        <v/>
      </c>
      <c r="AM64" s="4"/>
      <c r="AN64" s="4"/>
      <c r="AO64" s="141" t="str">
        <f t="shared" si="80"/>
        <v/>
      </c>
      <c r="AP64" s="10"/>
      <c r="AQ64" s="129"/>
      <c r="AR64" s="142" t="s">
        <v>182</v>
      </c>
      <c r="AS64" s="131" t="str">
        <f t="shared" si="81"/>
        <v/>
      </c>
      <c r="AT64" s="132" t="str">
        <f t="shared" si="82"/>
        <v/>
      </c>
      <c r="AU64" s="132" t="str">
        <f t="shared" si="83"/>
        <v/>
      </c>
      <c r="AV64" s="132" t="str">
        <f t="shared" si="84"/>
        <v/>
      </c>
      <c r="AW64" s="132" t="str">
        <f t="shared" si="85"/>
        <v/>
      </c>
      <c r="AX64" s="143" t="str">
        <f t="shared" si="86"/>
        <v/>
      </c>
      <c r="AY64" s="144"/>
      <c r="AZ64" s="8" t="str">
        <f>IF(BA64="","",IF(各種設定金額!$B$7="","○○県",各種設定金額!$B$7))</f>
        <v/>
      </c>
      <c r="BA64" s="6"/>
      <c r="BB64" s="4"/>
      <c r="BC64" s="141" t="str">
        <f t="shared" si="87"/>
        <v/>
      </c>
      <c r="BD64" s="10"/>
      <c r="BE64" s="129"/>
      <c r="BF64" s="145" t="s">
        <v>63</v>
      </c>
      <c r="BG64" s="131" t="str">
        <f t="shared" si="88"/>
        <v/>
      </c>
      <c r="BH64" s="132" t="str">
        <f t="shared" si="89"/>
        <v/>
      </c>
      <c r="BI64" s="132" t="str">
        <f t="shared" si="90"/>
        <v/>
      </c>
      <c r="BJ64" s="132" t="str">
        <f t="shared" si="91"/>
        <v/>
      </c>
      <c r="BK64" s="132" t="str">
        <f t="shared" si="92"/>
        <v/>
      </c>
      <c r="BL64" s="132" t="str">
        <f t="shared" si="93"/>
        <v/>
      </c>
      <c r="BM64" s="146"/>
      <c r="BN64" s="8" t="str">
        <f>IF(BO64="","",IF(各種設定金額!$B$7="","○○県",各種設定金額!$B$7))</f>
        <v/>
      </c>
      <c r="BO64" s="6"/>
      <c r="BP64" s="4"/>
      <c r="BQ64" s="141" t="str">
        <f t="shared" si="94"/>
        <v/>
      </c>
      <c r="BR64" s="10"/>
      <c r="BS64" s="129"/>
      <c r="BT64" s="145" t="s">
        <v>63</v>
      </c>
      <c r="BU64" s="131" t="str">
        <f t="shared" si="95"/>
        <v/>
      </c>
      <c r="BV64" s="132" t="str">
        <f t="shared" si="96"/>
        <v/>
      </c>
      <c r="BW64" s="132" t="str">
        <f t="shared" si="97"/>
        <v/>
      </c>
      <c r="BX64" s="132" t="str">
        <f t="shared" si="98"/>
        <v/>
      </c>
      <c r="BY64" s="132" t="str">
        <f t="shared" si="99"/>
        <v/>
      </c>
      <c r="BZ64" s="132" t="str">
        <f t="shared" si="100"/>
        <v/>
      </c>
      <c r="CA64" s="146"/>
      <c r="CB64" s="10" t="str">
        <f t="shared" si="101"/>
        <v/>
      </c>
      <c r="CC64" s="7" t="str">
        <f t="shared" si="102"/>
        <v/>
      </c>
      <c r="CD64" s="147"/>
      <c r="CE64" s="147"/>
      <c r="CF64" s="6"/>
      <c r="CG64" s="4"/>
      <c r="CH64" s="148">
        <f t="shared" ca="1" si="103"/>
        <v>2026</v>
      </c>
      <c r="CI64" s="121" t="str">
        <f t="shared" ca="1" si="104"/>
        <v>令和</v>
      </c>
      <c r="CJ64" s="122" t="str">
        <f t="shared" ca="1" si="105"/>
        <v>R</v>
      </c>
      <c r="CK64" s="122" t="str">
        <f t="shared" ca="1" si="106"/>
        <v>8</v>
      </c>
      <c r="CL64" s="122">
        <f t="shared" ca="1" si="107"/>
        <v>10</v>
      </c>
      <c r="CM64" s="149">
        <f t="shared" ca="1" si="108"/>
        <v>24</v>
      </c>
      <c r="CN64" s="1"/>
      <c r="CO64" s="150">
        <f t="shared" ca="1" si="109"/>
        <v>46319</v>
      </c>
    </row>
    <row r="65" spans="1:93" ht="20.100000000000001" customHeight="1" x14ac:dyDescent="0.15">
      <c r="A65" s="7" t="str">
        <f>IF(B65="","",ROW()-ROW(会員表[#Headers]))</f>
        <v/>
      </c>
      <c r="B65" s="4" ph="1"/>
      <c r="C65" s="4" t="str" cm="1">
        <f t="array" ref="C65">_xlfn.LET(_xlpm.s,PHONETIC(B65),_xlpm.c,_xlfn.UNICODE(MID(_xlpm.s,_xlfn.SEQUENCE(LEN(_xlpm.s)),1)),IF(_xlpm.s="","",_xlfn.CONCAT(_xlfn.UNICHAR(_xlpm.c-96*(_xlpm.c&gt;=12449)*(_xlpm.c&lt;=12534)))))</f>
        <v/>
      </c>
      <c r="D65" s="4" t="str" cm="1">
        <f t="array" ref="D65">_xlfn.LET(_xlpm.s,PHONETIC(B65),_xlpm.c,_xlfn.UNICODE(MID(_xlpm.s,_xlfn.SEQUENCE(LEN(_xlpm.s)),1)),IF(_xlpm.s="","",_xlfn.CONCAT(_xlfn.UNICHAR(_xlpm.c+96*(_xlpm.c&gt;=12353)*(_xlpm.c&lt;=12438)))))</f>
        <v/>
      </c>
      <c r="E65" s="129" t="str">
        <f t="shared" ca="1" si="55"/>
        <v/>
      </c>
      <c r="F65" s="130" t="str">
        <f t="shared" si="56"/>
        <v/>
      </c>
      <c r="G65" s="130" t="str">
        <f t="shared" si="57"/>
        <v/>
      </c>
      <c r="H65" s="130" t="str">
        <f t="shared" si="58"/>
        <v/>
      </c>
      <c r="I65" s="131" t="str">
        <f t="shared" si="59"/>
        <v/>
      </c>
      <c r="J65" s="132" t="str">
        <f t="shared" si="60"/>
        <v/>
      </c>
      <c r="K65" s="121" t="str">
        <f t="shared" si="61"/>
        <v/>
      </c>
      <c r="L65" s="129" t="str">
        <f t="shared" si="62"/>
        <v/>
      </c>
      <c r="M65" s="7" t="str">
        <f t="shared" si="63"/>
        <v/>
      </c>
      <c r="N65" s="133"/>
      <c r="O65" s="8"/>
      <c r="P65" s="5" t="str">
        <f t="shared" si="64"/>
        <v/>
      </c>
      <c r="Q65" s="121" t="str">
        <f t="shared" si="65"/>
        <v/>
      </c>
      <c r="R65" s="121" t="str">
        <f t="shared" si="66"/>
        <v/>
      </c>
      <c r="S65" s="7" t="str">
        <f t="shared" si="67"/>
        <v/>
      </c>
      <c r="T65" s="5"/>
      <c r="U65" s="5" t="str">
        <f t="shared" si="68"/>
        <v/>
      </c>
      <c r="V65" s="121" t="str">
        <f t="shared" si="69"/>
        <v/>
      </c>
      <c r="W65" s="121" t="str">
        <f t="shared" si="70"/>
        <v/>
      </c>
      <c r="X65" s="7" t="str">
        <f t="shared" si="71"/>
        <v/>
      </c>
      <c r="Y65" s="136"/>
      <c r="Z65" s="5" t="str">
        <f t="shared" si="72"/>
        <v/>
      </c>
      <c r="AA65" s="137" t="s">
        <v>183</v>
      </c>
      <c r="AB65" s="7" t="str">
        <f t="shared" si="73"/>
        <v/>
      </c>
      <c r="AC65" s="9"/>
      <c r="AD65" s="4"/>
      <c r="AE65" s="138" t="str">
        <f t="shared" si="74"/>
        <v/>
      </c>
      <c r="AF65" s="139" t="str">
        <f t="shared" si="75"/>
        <v/>
      </c>
      <c r="AG65" s="139" t="str">
        <f t="shared" si="76"/>
        <v/>
      </c>
      <c r="AH65" s="139" t="str">
        <f t="shared" si="77"/>
        <v/>
      </c>
      <c r="AI65" s="139" t="str">
        <f t="shared" si="78"/>
        <v/>
      </c>
      <c r="AJ65" s="140" t="str">
        <f t="shared" si="79"/>
        <v/>
      </c>
      <c r="AK65" s="8"/>
      <c r="AL65" s="8" t="str">
        <f>IF(AM65="","",IF(各種設定金額!$B$7="","○○県",各種設定金額!$B$7))</f>
        <v/>
      </c>
      <c r="AM65" s="4"/>
      <c r="AN65" s="4"/>
      <c r="AO65" s="141" t="str">
        <f t="shared" si="80"/>
        <v/>
      </c>
      <c r="AP65" s="10"/>
      <c r="AQ65" s="129"/>
      <c r="AR65" s="142" t="s">
        <v>182</v>
      </c>
      <c r="AS65" s="131" t="str">
        <f t="shared" si="81"/>
        <v/>
      </c>
      <c r="AT65" s="132" t="str">
        <f t="shared" si="82"/>
        <v/>
      </c>
      <c r="AU65" s="132" t="str">
        <f t="shared" si="83"/>
        <v/>
      </c>
      <c r="AV65" s="132" t="str">
        <f t="shared" si="84"/>
        <v/>
      </c>
      <c r="AW65" s="132" t="str">
        <f t="shared" si="85"/>
        <v/>
      </c>
      <c r="AX65" s="143" t="str">
        <f t="shared" si="86"/>
        <v/>
      </c>
      <c r="AY65" s="144"/>
      <c r="AZ65" s="8" t="str">
        <f>IF(BA65="","",IF(各種設定金額!$B$7="","○○県",各種設定金額!$B$7))</f>
        <v/>
      </c>
      <c r="BA65" s="6"/>
      <c r="BB65" s="4"/>
      <c r="BC65" s="141" t="str">
        <f t="shared" si="87"/>
        <v/>
      </c>
      <c r="BD65" s="10"/>
      <c r="BE65" s="129"/>
      <c r="BF65" s="145" t="s">
        <v>63</v>
      </c>
      <c r="BG65" s="131" t="str">
        <f t="shared" si="88"/>
        <v/>
      </c>
      <c r="BH65" s="132" t="str">
        <f t="shared" si="89"/>
        <v/>
      </c>
      <c r="BI65" s="132" t="str">
        <f t="shared" si="90"/>
        <v/>
      </c>
      <c r="BJ65" s="132" t="str">
        <f t="shared" si="91"/>
        <v/>
      </c>
      <c r="BK65" s="132" t="str">
        <f t="shared" si="92"/>
        <v/>
      </c>
      <c r="BL65" s="132" t="str">
        <f t="shared" si="93"/>
        <v/>
      </c>
      <c r="BM65" s="146"/>
      <c r="BN65" s="8" t="str">
        <f>IF(BO65="","",IF(各種設定金額!$B$7="","○○県",各種設定金額!$B$7))</f>
        <v/>
      </c>
      <c r="BO65" s="6"/>
      <c r="BP65" s="4"/>
      <c r="BQ65" s="141" t="str">
        <f t="shared" si="94"/>
        <v/>
      </c>
      <c r="BR65" s="10"/>
      <c r="BS65" s="129"/>
      <c r="BT65" s="145" t="s">
        <v>63</v>
      </c>
      <c r="BU65" s="131" t="str">
        <f t="shared" si="95"/>
        <v/>
      </c>
      <c r="BV65" s="132" t="str">
        <f t="shared" si="96"/>
        <v/>
      </c>
      <c r="BW65" s="132" t="str">
        <f t="shared" si="97"/>
        <v/>
      </c>
      <c r="BX65" s="132" t="str">
        <f t="shared" si="98"/>
        <v/>
      </c>
      <c r="BY65" s="132" t="str">
        <f t="shared" si="99"/>
        <v/>
      </c>
      <c r="BZ65" s="132" t="str">
        <f t="shared" si="100"/>
        <v/>
      </c>
      <c r="CA65" s="146"/>
      <c r="CB65" s="10" t="str">
        <f t="shared" si="101"/>
        <v/>
      </c>
      <c r="CC65" s="7" t="str">
        <f t="shared" si="102"/>
        <v/>
      </c>
      <c r="CD65" s="147"/>
      <c r="CE65" s="147"/>
      <c r="CF65" s="6"/>
      <c r="CG65" s="4"/>
      <c r="CH65" s="148">
        <f t="shared" ca="1" si="103"/>
        <v>2026</v>
      </c>
      <c r="CI65" s="121" t="str">
        <f t="shared" ca="1" si="104"/>
        <v>令和</v>
      </c>
      <c r="CJ65" s="122" t="str">
        <f t="shared" ca="1" si="105"/>
        <v>R</v>
      </c>
      <c r="CK65" s="122" t="str">
        <f t="shared" ca="1" si="106"/>
        <v>8</v>
      </c>
      <c r="CL65" s="122">
        <f t="shared" ca="1" si="107"/>
        <v>10</v>
      </c>
      <c r="CM65" s="149">
        <f t="shared" ca="1" si="108"/>
        <v>24</v>
      </c>
      <c r="CN65" s="1"/>
      <c r="CO65" s="150">
        <f t="shared" ca="1" si="109"/>
        <v>46319</v>
      </c>
    </row>
    <row r="66" spans="1:93" ht="20.100000000000001" customHeight="1" x14ac:dyDescent="0.15">
      <c r="A66" s="7" t="str">
        <f>IF(B66="","",ROW()-ROW(会員表[#Headers]))</f>
        <v/>
      </c>
      <c r="B66" s="4" ph="1"/>
      <c r="C66" s="4" t="str" cm="1">
        <f t="array" ref="C66">_xlfn.LET(_xlpm.s,PHONETIC(B66),_xlpm.c,_xlfn.UNICODE(MID(_xlpm.s,_xlfn.SEQUENCE(LEN(_xlpm.s)),1)),IF(_xlpm.s="","",_xlfn.CONCAT(_xlfn.UNICHAR(_xlpm.c-96*(_xlpm.c&gt;=12449)*(_xlpm.c&lt;=12534)))))</f>
        <v/>
      </c>
      <c r="D66" s="4" t="str" cm="1">
        <f t="array" ref="D66">_xlfn.LET(_xlpm.s,PHONETIC(B66),_xlpm.c,_xlfn.UNICODE(MID(_xlpm.s,_xlfn.SEQUENCE(LEN(_xlpm.s)),1)),IF(_xlpm.s="","",_xlfn.CONCAT(_xlfn.UNICHAR(_xlpm.c+96*(_xlpm.c&gt;=12353)*(_xlpm.c&lt;=12438)))))</f>
        <v/>
      </c>
      <c r="E66" s="129" t="str">
        <f t="shared" ref="E66:E97" ca="1" si="110">IF(N66="","",DATEDIF(N66,TODAY(),"Y"))</f>
        <v/>
      </c>
      <c r="F66" s="130" t="str">
        <f t="shared" ref="F66:F97" si="111">IF(I66="昭","〇","")</f>
        <v/>
      </c>
      <c r="G66" s="130" t="str">
        <f t="shared" ref="G66:G97" si="112">IF(I66="平","〇","")</f>
        <v/>
      </c>
      <c r="H66" s="130" t="str">
        <f t="shared" ref="H66:H97" si="113">IF(I66="令","〇","")</f>
        <v/>
      </c>
      <c r="I66" s="131" t="str">
        <f t="shared" ref="I66:I97" si="114">IF($N66="","",TEXT($N66,"gg"))</f>
        <v/>
      </c>
      <c r="J66" s="132" t="str">
        <f t="shared" ref="J66:J97" si="115">IF($N66="","",TEXT($N66,"ggg"))</f>
        <v/>
      </c>
      <c r="K66" s="121" t="str">
        <f t="shared" ref="K66:K97" si="116">IF($N66="","",TEXT($N66,"e"))</f>
        <v/>
      </c>
      <c r="L66" s="129" t="str">
        <f t="shared" ref="L66:L97" si="117">IF($N66="","",TEXT($N66,"m"))</f>
        <v/>
      </c>
      <c r="M66" s="7" t="str">
        <f t="shared" ref="M66:M97" si="118">IF($N66="","",TEXT($N66,"d"))</f>
        <v/>
      </c>
      <c r="N66" s="133"/>
      <c r="O66" s="8"/>
      <c r="P66" s="5" t="str">
        <f t="shared" ref="P66:P97" si="119">IFERROR(LEFT(O66,FIND("-",O66)-1),"")</f>
        <v/>
      </c>
      <c r="Q66" s="121" t="str">
        <f t="shared" ref="Q66:Q97" si="120">IFERROR(RIGHT(O66,LEN(O66)-FIND("-",O66)),"")</f>
        <v/>
      </c>
      <c r="R66" s="121" t="str">
        <f t="shared" ref="R66:R97" si="121">IFERROR(LEFT(Q66,FIND("-",Q66)-1),"")</f>
        <v/>
      </c>
      <c r="S66" s="7" t="str">
        <f t="shared" ref="S66:S97" si="122">IFERROR(RIGHT(Q66,LEN(Q66)-FIND("-",Q66)),"")</f>
        <v/>
      </c>
      <c r="T66" s="5"/>
      <c r="U66" s="5" t="str">
        <f t="shared" ref="U66:U97" si="123">IFERROR(LEFT(T66,FIND("-",T66)-1),"")</f>
        <v/>
      </c>
      <c r="V66" s="121" t="str">
        <f t="shared" ref="V66:V97" si="124">IFERROR(RIGHT(T66,LEN(T66)-FIND("-",T66)),"")</f>
        <v/>
      </c>
      <c r="W66" s="121" t="str">
        <f t="shared" ref="W66:W97" si="125">IFERROR(LEFT(V66,FIND("-",V66)-1),"")</f>
        <v/>
      </c>
      <c r="X66" s="7" t="str">
        <f t="shared" ref="X66:X97" si="126">IFERROR(RIGHT(V66,LEN(V66)-FIND("-",V66)),"")</f>
        <v/>
      </c>
      <c r="Y66" s="136"/>
      <c r="Z66" s="5" t="str">
        <f t="shared" ref="Z66:Z97" si="127">IF(Y66="","",LEFT(SUBSTITUTE(ASC(Y66),"-",""),3))</f>
        <v/>
      </c>
      <c r="AA66" s="137" t="s">
        <v>183</v>
      </c>
      <c r="AB66" s="7" t="str">
        <f t="shared" ref="AB66:AB97" si="128">IF(Y66="","",MID(SUBSTITUTE(ASC(Y66),"-",""),4,4))</f>
        <v/>
      </c>
      <c r="AC66" s="9"/>
      <c r="AD66" s="4"/>
      <c r="AE66" s="138" t="str">
        <f t="shared" ref="AE66:AE97" si="129">IF(AK66="","",TEXT($AK66,"ggg"))</f>
        <v/>
      </c>
      <c r="AF66" s="139" t="str">
        <f t="shared" ref="AF66:AF97" si="130">IF(AK66="","",TEXT($AK66,"gg"))</f>
        <v/>
      </c>
      <c r="AG66" s="139" t="str">
        <f t="shared" ref="AG66:AG97" si="131">IF(AK66="","",TEXT($AK66,"g"))</f>
        <v/>
      </c>
      <c r="AH66" s="139" t="str">
        <f t="shared" ref="AH66:AH97" si="132">IF(AK66="","",TEXT($AK66,"e"))</f>
        <v/>
      </c>
      <c r="AI66" s="139" t="str">
        <f t="shared" ref="AI66:AI97" si="133">IF(AK66="","",TEXT($AK66,"m"))</f>
        <v/>
      </c>
      <c r="AJ66" s="140" t="str">
        <f t="shared" ref="AJ66:AJ97" si="134">IF(AK66="","",TEXT($AK66,"d"))</f>
        <v/>
      </c>
      <c r="AK66" s="8"/>
      <c r="AL66" s="8" t="str">
        <f>IF(AM66="","",IF(各種設定金額!$B$7="","○○県",各種設定金額!$B$7))</f>
        <v/>
      </c>
      <c r="AM66" s="4"/>
      <c r="AN66" s="4"/>
      <c r="AO66" s="141" t="str">
        <f t="shared" ref="AO66:AO97" si="135">IF(TRIM(AQ66)="","",AP66&amp;AQ66&amp;AR66)</f>
        <v/>
      </c>
      <c r="AP66" s="10"/>
      <c r="AQ66" s="129"/>
      <c r="AR66" s="142" t="s">
        <v>182</v>
      </c>
      <c r="AS66" s="131" t="str">
        <f t="shared" ref="AS66:AS97" si="136">IF(AY66="","",TEXT($AY66,"ggg"))</f>
        <v/>
      </c>
      <c r="AT66" s="132" t="str">
        <f t="shared" ref="AT66:AT97" si="137">IF(AY66="","",TEXT($AY66,"gg"))</f>
        <v/>
      </c>
      <c r="AU66" s="132" t="str">
        <f t="shared" ref="AU66:AU97" si="138">IF(AY66="","",TEXT($AY66,"g"))</f>
        <v/>
      </c>
      <c r="AV66" s="132" t="str">
        <f t="shared" ref="AV66:AV97" si="139">IF(AY66="","",TEXT($AY66,"e"))</f>
        <v/>
      </c>
      <c r="AW66" s="132" t="str">
        <f t="shared" ref="AW66:AW97" si="140">IF(AY66="","",TEXT($AY66,"m"))</f>
        <v/>
      </c>
      <c r="AX66" s="143" t="str">
        <f t="shared" ref="AX66:AX97" si="141">IF(AY66="","",TEXT($AY66,"d"))</f>
        <v/>
      </c>
      <c r="AY66" s="144"/>
      <c r="AZ66" s="8" t="str">
        <f>IF(BA66="","",IF(各種設定金額!$B$7="","○○県",各種設定金額!$B$7))</f>
        <v/>
      </c>
      <c r="BA66" s="6"/>
      <c r="BB66" s="4"/>
      <c r="BC66" s="141" t="str">
        <f t="shared" ref="BC66:BC97" si="142">IF(TRIM(BE66)="","",BD66&amp;BE66&amp;BF66)</f>
        <v/>
      </c>
      <c r="BD66" s="10"/>
      <c r="BE66" s="129"/>
      <c r="BF66" s="145" t="s">
        <v>63</v>
      </c>
      <c r="BG66" s="131" t="str">
        <f t="shared" ref="BG66:BG97" si="143">IF(BM66="","",TEXT($BM66,"ggg"))</f>
        <v/>
      </c>
      <c r="BH66" s="132" t="str">
        <f t="shared" ref="BH66:BH97" si="144">IF(BM66="","",TEXT($BM66,"gg"))</f>
        <v/>
      </c>
      <c r="BI66" s="132" t="str">
        <f t="shared" ref="BI66:BI97" si="145">IF(BM66="","",TEXT($BM66,"g"))</f>
        <v/>
      </c>
      <c r="BJ66" s="132" t="str">
        <f t="shared" ref="BJ66:BJ97" si="146">IF(BM66="","",TEXT($BM66,"e"))</f>
        <v/>
      </c>
      <c r="BK66" s="132" t="str">
        <f t="shared" ref="BK66:BK97" si="147">IF(BM66="","",TEXT($BM66,"m"))</f>
        <v/>
      </c>
      <c r="BL66" s="132" t="str">
        <f t="shared" ref="BL66:BL97" si="148">IF(BM66="","",TEXT($BM66,"d"))</f>
        <v/>
      </c>
      <c r="BM66" s="146"/>
      <c r="BN66" s="8" t="str">
        <f>IF(BO66="","",IF(各種設定金額!$B$7="","○○県",各種設定金額!$B$7))</f>
        <v/>
      </c>
      <c r="BO66" s="6"/>
      <c r="BP66" s="4"/>
      <c r="BQ66" s="141" t="str">
        <f t="shared" ref="BQ66:BQ97" si="149">IF(TRIM(BS66)="","",BR66&amp;BS66&amp;BT66)</f>
        <v/>
      </c>
      <c r="BR66" s="10"/>
      <c r="BS66" s="129"/>
      <c r="BT66" s="145" t="s">
        <v>63</v>
      </c>
      <c r="BU66" s="131" t="str">
        <f t="shared" ref="BU66:BU97" si="150">IF(CA66="","",TEXT($CA66,"ggg"))</f>
        <v/>
      </c>
      <c r="BV66" s="132" t="str">
        <f t="shared" ref="BV66:BV97" si="151">IF(CA66="","",TEXT($CA66,"gg"))</f>
        <v/>
      </c>
      <c r="BW66" s="132" t="str">
        <f t="shared" ref="BW66:BW97" si="152">IF(CA66="","",TEXT($CA66,"g"))</f>
        <v/>
      </c>
      <c r="BX66" s="132" t="str">
        <f t="shared" ref="BX66:BX97" si="153">IF(CA66="","",TEXT($CA66,"e"))</f>
        <v/>
      </c>
      <c r="BY66" s="132" t="str">
        <f t="shared" ref="BY66:BY97" si="154">IF(CA66="","",TEXT($CA66,"m"))</f>
        <v/>
      </c>
      <c r="BZ66" s="132" t="str">
        <f t="shared" ref="BZ66:BZ97" si="155">IF(CA66="","",TEXT($CA66,"d"))</f>
        <v/>
      </c>
      <c r="CA66" s="146"/>
      <c r="CB66" s="10" t="str">
        <f t="shared" ref="CB66:CB97" si="156">IF(COUNT(AY66,BM66,CA66)=0,"",TEXT(DATE(YEAR(MIN(AY66,BM66,CA66))+3,9,14),"g"))</f>
        <v/>
      </c>
      <c r="CC66" s="7" t="str">
        <f t="shared" ref="CC66:CC97" si="157">IF(COUNT(AY66,BM66,CA66)=0,"",VALUE(TEXT(DATE(YEAR(MIN(AY66,BM66,CA66))+3,9,14),"e")))</f>
        <v/>
      </c>
      <c r="CD66" s="147"/>
      <c r="CE66" s="147"/>
      <c r="CF66" s="6"/>
      <c r="CG66" s="4"/>
      <c r="CH66" s="148">
        <f t="shared" ref="CH66:CH97" ca="1" si="158">YEAR(TODAY())</f>
        <v>2026</v>
      </c>
      <c r="CI66" s="121" t="str">
        <f t="shared" ref="CI66:CI97" ca="1" si="159">TEXT($CO66,"ggg")</f>
        <v>令和</v>
      </c>
      <c r="CJ66" s="122" t="str">
        <f t="shared" ref="CJ66:CJ97" ca="1" si="160">TEXT($CO66,"g")</f>
        <v>R</v>
      </c>
      <c r="CK66" s="122" t="str">
        <f t="shared" ref="CK66:CK97" ca="1" si="161">TEXT($CO66,"e")</f>
        <v>8</v>
      </c>
      <c r="CL66" s="122">
        <f t="shared" ref="CL66:CL97" ca="1" si="162">MONTH(TODAY())</f>
        <v>10</v>
      </c>
      <c r="CM66" s="149">
        <f t="shared" ref="CM66:CM97" ca="1" si="163">DAY(TODAY())</f>
        <v>24</v>
      </c>
      <c r="CN66" s="1"/>
      <c r="CO66" s="150">
        <f t="shared" ref="CO66:CO97" ca="1" si="164">TODAY()</f>
        <v>46319</v>
      </c>
    </row>
    <row r="67" spans="1:93" ht="20.100000000000001" customHeight="1" x14ac:dyDescent="0.15">
      <c r="A67" s="7" t="str">
        <f>IF(B67="","",ROW()-ROW(会員表[#Headers]))</f>
        <v/>
      </c>
      <c r="B67" s="4" ph="1"/>
      <c r="C67" s="4" t="str" cm="1">
        <f t="array" ref="C67">_xlfn.LET(_xlpm.s,PHONETIC(B67),_xlpm.c,_xlfn.UNICODE(MID(_xlpm.s,_xlfn.SEQUENCE(LEN(_xlpm.s)),1)),IF(_xlpm.s="","",_xlfn.CONCAT(_xlfn.UNICHAR(_xlpm.c-96*(_xlpm.c&gt;=12449)*(_xlpm.c&lt;=12534)))))</f>
        <v/>
      </c>
      <c r="D67" s="4" t="str" cm="1">
        <f t="array" ref="D67">_xlfn.LET(_xlpm.s,PHONETIC(B67),_xlpm.c,_xlfn.UNICODE(MID(_xlpm.s,_xlfn.SEQUENCE(LEN(_xlpm.s)),1)),IF(_xlpm.s="","",_xlfn.CONCAT(_xlfn.UNICHAR(_xlpm.c+96*(_xlpm.c&gt;=12353)*(_xlpm.c&lt;=12438)))))</f>
        <v/>
      </c>
      <c r="E67" s="129" t="str">
        <f t="shared" ca="1" si="110"/>
        <v/>
      </c>
      <c r="F67" s="130" t="str">
        <f t="shared" si="111"/>
        <v/>
      </c>
      <c r="G67" s="130" t="str">
        <f t="shared" si="112"/>
        <v/>
      </c>
      <c r="H67" s="130" t="str">
        <f t="shared" si="113"/>
        <v/>
      </c>
      <c r="I67" s="131" t="str">
        <f t="shared" si="114"/>
        <v/>
      </c>
      <c r="J67" s="132" t="str">
        <f t="shared" si="115"/>
        <v/>
      </c>
      <c r="K67" s="121" t="str">
        <f t="shared" si="116"/>
        <v/>
      </c>
      <c r="L67" s="129" t="str">
        <f t="shared" si="117"/>
        <v/>
      </c>
      <c r="M67" s="7" t="str">
        <f t="shared" si="118"/>
        <v/>
      </c>
      <c r="N67" s="133"/>
      <c r="O67" s="8"/>
      <c r="P67" s="5" t="str">
        <f t="shared" si="119"/>
        <v/>
      </c>
      <c r="Q67" s="121" t="str">
        <f t="shared" si="120"/>
        <v/>
      </c>
      <c r="R67" s="121" t="str">
        <f t="shared" si="121"/>
        <v/>
      </c>
      <c r="S67" s="7" t="str">
        <f t="shared" si="122"/>
        <v/>
      </c>
      <c r="T67" s="5"/>
      <c r="U67" s="5" t="str">
        <f t="shared" si="123"/>
        <v/>
      </c>
      <c r="V67" s="121" t="str">
        <f t="shared" si="124"/>
        <v/>
      </c>
      <c r="W67" s="121" t="str">
        <f t="shared" si="125"/>
        <v/>
      </c>
      <c r="X67" s="7" t="str">
        <f t="shared" si="126"/>
        <v/>
      </c>
      <c r="Y67" s="136"/>
      <c r="Z67" s="5" t="str">
        <f t="shared" si="127"/>
        <v/>
      </c>
      <c r="AA67" s="137" t="s">
        <v>183</v>
      </c>
      <c r="AB67" s="7" t="str">
        <f t="shared" si="128"/>
        <v/>
      </c>
      <c r="AC67" s="9"/>
      <c r="AD67" s="4"/>
      <c r="AE67" s="138" t="str">
        <f t="shared" si="129"/>
        <v/>
      </c>
      <c r="AF67" s="139" t="str">
        <f t="shared" si="130"/>
        <v/>
      </c>
      <c r="AG67" s="139" t="str">
        <f t="shared" si="131"/>
        <v/>
      </c>
      <c r="AH67" s="139" t="str">
        <f t="shared" si="132"/>
        <v/>
      </c>
      <c r="AI67" s="139" t="str">
        <f t="shared" si="133"/>
        <v/>
      </c>
      <c r="AJ67" s="140" t="str">
        <f t="shared" si="134"/>
        <v/>
      </c>
      <c r="AK67" s="8"/>
      <c r="AL67" s="8" t="str">
        <f>IF(AM67="","",IF(各種設定金額!$B$7="","○○県",各種設定金額!$B$7))</f>
        <v/>
      </c>
      <c r="AM67" s="4"/>
      <c r="AN67" s="4"/>
      <c r="AO67" s="141" t="str">
        <f t="shared" si="135"/>
        <v/>
      </c>
      <c r="AP67" s="10"/>
      <c r="AQ67" s="129"/>
      <c r="AR67" s="142" t="s">
        <v>182</v>
      </c>
      <c r="AS67" s="131" t="str">
        <f t="shared" si="136"/>
        <v/>
      </c>
      <c r="AT67" s="132" t="str">
        <f t="shared" si="137"/>
        <v/>
      </c>
      <c r="AU67" s="132" t="str">
        <f t="shared" si="138"/>
        <v/>
      </c>
      <c r="AV67" s="132" t="str">
        <f t="shared" si="139"/>
        <v/>
      </c>
      <c r="AW67" s="132" t="str">
        <f t="shared" si="140"/>
        <v/>
      </c>
      <c r="AX67" s="143" t="str">
        <f t="shared" si="141"/>
        <v/>
      </c>
      <c r="AY67" s="144"/>
      <c r="AZ67" s="8" t="str">
        <f>IF(BA67="","",IF(各種設定金額!$B$7="","○○県",各種設定金額!$B$7))</f>
        <v/>
      </c>
      <c r="BA67" s="6"/>
      <c r="BB67" s="4"/>
      <c r="BC67" s="141" t="str">
        <f t="shared" si="142"/>
        <v/>
      </c>
      <c r="BD67" s="10"/>
      <c r="BE67" s="129"/>
      <c r="BF67" s="145" t="s">
        <v>63</v>
      </c>
      <c r="BG67" s="131" t="str">
        <f t="shared" si="143"/>
        <v/>
      </c>
      <c r="BH67" s="132" t="str">
        <f t="shared" si="144"/>
        <v/>
      </c>
      <c r="BI67" s="132" t="str">
        <f t="shared" si="145"/>
        <v/>
      </c>
      <c r="BJ67" s="132" t="str">
        <f t="shared" si="146"/>
        <v/>
      </c>
      <c r="BK67" s="132" t="str">
        <f t="shared" si="147"/>
        <v/>
      </c>
      <c r="BL67" s="132" t="str">
        <f t="shared" si="148"/>
        <v/>
      </c>
      <c r="BM67" s="146"/>
      <c r="BN67" s="8" t="str">
        <f>IF(BO67="","",IF(各種設定金額!$B$7="","○○県",各種設定金額!$B$7))</f>
        <v/>
      </c>
      <c r="BO67" s="6"/>
      <c r="BP67" s="4"/>
      <c r="BQ67" s="141" t="str">
        <f t="shared" si="149"/>
        <v/>
      </c>
      <c r="BR67" s="10"/>
      <c r="BS67" s="129"/>
      <c r="BT67" s="145" t="s">
        <v>63</v>
      </c>
      <c r="BU67" s="131" t="str">
        <f t="shared" si="150"/>
        <v/>
      </c>
      <c r="BV67" s="132" t="str">
        <f t="shared" si="151"/>
        <v/>
      </c>
      <c r="BW67" s="132" t="str">
        <f t="shared" si="152"/>
        <v/>
      </c>
      <c r="BX67" s="132" t="str">
        <f t="shared" si="153"/>
        <v/>
      </c>
      <c r="BY67" s="132" t="str">
        <f t="shared" si="154"/>
        <v/>
      </c>
      <c r="BZ67" s="132" t="str">
        <f t="shared" si="155"/>
        <v/>
      </c>
      <c r="CA67" s="146"/>
      <c r="CB67" s="10" t="str">
        <f t="shared" si="156"/>
        <v/>
      </c>
      <c r="CC67" s="7" t="str">
        <f t="shared" si="157"/>
        <v/>
      </c>
      <c r="CD67" s="147"/>
      <c r="CE67" s="147"/>
      <c r="CF67" s="6"/>
      <c r="CG67" s="4"/>
      <c r="CH67" s="148">
        <f t="shared" ca="1" si="158"/>
        <v>2026</v>
      </c>
      <c r="CI67" s="121" t="str">
        <f t="shared" ca="1" si="159"/>
        <v>令和</v>
      </c>
      <c r="CJ67" s="122" t="str">
        <f t="shared" ca="1" si="160"/>
        <v>R</v>
      </c>
      <c r="CK67" s="122" t="str">
        <f t="shared" ca="1" si="161"/>
        <v>8</v>
      </c>
      <c r="CL67" s="122">
        <f t="shared" ca="1" si="162"/>
        <v>10</v>
      </c>
      <c r="CM67" s="149">
        <f t="shared" ca="1" si="163"/>
        <v>24</v>
      </c>
      <c r="CN67" s="1"/>
      <c r="CO67" s="150">
        <f t="shared" ca="1" si="164"/>
        <v>46319</v>
      </c>
    </row>
    <row r="68" spans="1:93" ht="20.100000000000001" customHeight="1" x14ac:dyDescent="0.15">
      <c r="A68" s="7" t="str">
        <f>IF(B68="","",ROW()-ROW(会員表[#Headers]))</f>
        <v/>
      </c>
      <c r="B68" s="4" ph="1"/>
      <c r="C68" s="4" t="str" cm="1">
        <f t="array" ref="C68">_xlfn.LET(_xlpm.s,PHONETIC(B68),_xlpm.c,_xlfn.UNICODE(MID(_xlpm.s,_xlfn.SEQUENCE(LEN(_xlpm.s)),1)),IF(_xlpm.s="","",_xlfn.CONCAT(_xlfn.UNICHAR(_xlpm.c-96*(_xlpm.c&gt;=12449)*(_xlpm.c&lt;=12534)))))</f>
        <v/>
      </c>
      <c r="D68" s="4" t="str" cm="1">
        <f t="array" ref="D68">_xlfn.LET(_xlpm.s,PHONETIC(B68),_xlpm.c,_xlfn.UNICODE(MID(_xlpm.s,_xlfn.SEQUENCE(LEN(_xlpm.s)),1)),IF(_xlpm.s="","",_xlfn.CONCAT(_xlfn.UNICHAR(_xlpm.c+96*(_xlpm.c&gt;=12353)*(_xlpm.c&lt;=12438)))))</f>
        <v/>
      </c>
      <c r="E68" s="129" t="str">
        <f t="shared" ca="1" si="110"/>
        <v/>
      </c>
      <c r="F68" s="130" t="str">
        <f t="shared" si="111"/>
        <v/>
      </c>
      <c r="G68" s="130" t="str">
        <f t="shared" si="112"/>
        <v/>
      </c>
      <c r="H68" s="130" t="str">
        <f t="shared" si="113"/>
        <v/>
      </c>
      <c r="I68" s="131" t="str">
        <f t="shared" si="114"/>
        <v/>
      </c>
      <c r="J68" s="132" t="str">
        <f t="shared" si="115"/>
        <v/>
      </c>
      <c r="K68" s="121" t="str">
        <f t="shared" si="116"/>
        <v/>
      </c>
      <c r="L68" s="129" t="str">
        <f t="shared" si="117"/>
        <v/>
      </c>
      <c r="M68" s="7" t="str">
        <f t="shared" si="118"/>
        <v/>
      </c>
      <c r="N68" s="133"/>
      <c r="O68" s="8"/>
      <c r="P68" s="5" t="str">
        <f t="shared" si="119"/>
        <v/>
      </c>
      <c r="Q68" s="121" t="str">
        <f t="shared" si="120"/>
        <v/>
      </c>
      <c r="R68" s="121" t="str">
        <f t="shared" si="121"/>
        <v/>
      </c>
      <c r="S68" s="7" t="str">
        <f t="shared" si="122"/>
        <v/>
      </c>
      <c r="T68" s="5"/>
      <c r="U68" s="5" t="str">
        <f t="shared" si="123"/>
        <v/>
      </c>
      <c r="V68" s="121" t="str">
        <f t="shared" si="124"/>
        <v/>
      </c>
      <c r="W68" s="121" t="str">
        <f t="shared" si="125"/>
        <v/>
      </c>
      <c r="X68" s="7" t="str">
        <f t="shared" si="126"/>
        <v/>
      </c>
      <c r="Y68" s="136"/>
      <c r="Z68" s="5" t="str">
        <f t="shared" si="127"/>
        <v/>
      </c>
      <c r="AA68" s="137" t="s">
        <v>183</v>
      </c>
      <c r="AB68" s="7" t="str">
        <f t="shared" si="128"/>
        <v/>
      </c>
      <c r="AC68" s="9"/>
      <c r="AD68" s="4"/>
      <c r="AE68" s="138" t="str">
        <f t="shared" si="129"/>
        <v/>
      </c>
      <c r="AF68" s="139" t="str">
        <f t="shared" si="130"/>
        <v/>
      </c>
      <c r="AG68" s="139" t="str">
        <f t="shared" si="131"/>
        <v/>
      </c>
      <c r="AH68" s="139" t="str">
        <f t="shared" si="132"/>
        <v/>
      </c>
      <c r="AI68" s="139" t="str">
        <f t="shared" si="133"/>
        <v/>
      </c>
      <c r="AJ68" s="140" t="str">
        <f t="shared" si="134"/>
        <v/>
      </c>
      <c r="AK68" s="8"/>
      <c r="AL68" s="8" t="str">
        <f>IF(AM68="","",IF(各種設定金額!$B$7="","○○県",各種設定金額!$B$7))</f>
        <v/>
      </c>
      <c r="AM68" s="4"/>
      <c r="AN68" s="4"/>
      <c r="AO68" s="141" t="str">
        <f t="shared" si="135"/>
        <v/>
      </c>
      <c r="AP68" s="10"/>
      <c r="AQ68" s="129"/>
      <c r="AR68" s="142" t="s">
        <v>182</v>
      </c>
      <c r="AS68" s="131" t="str">
        <f t="shared" si="136"/>
        <v/>
      </c>
      <c r="AT68" s="132" t="str">
        <f t="shared" si="137"/>
        <v/>
      </c>
      <c r="AU68" s="132" t="str">
        <f t="shared" si="138"/>
        <v/>
      </c>
      <c r="AV68" s="132" t="str">
        <f t="shared" si="139"/>
        <v/>
      </c>
      <c r="AW68" s="132" t="str">
        <f t="shared" si="140"/>
        <v/>
      </c>
      <c r="AX68" s="143" t="str">
        <f t="shared" si="141"/>
        <v/>
      </c>
      <c r="AY68" s="144"/>
      <c r="AZ68" s="8" t="str">
        <f>IF(BA68="","",IF(各種設定金額!$B$7="","○○県",各種設定金額!$B$7))</f>
        <v/>
      </c>
      <c r="BA68" s="6"/>
      <c r="BB68" s="4"/>
      <c r="BC68" s="141" t="str">
        <f t="shared" si="142"/>
        <v/>
      </c>
      <c r="BD68" s="10"/>
      <c r="BE68" s="129"/>
      <c r="BF68" s="145" t="s">
        <v>63</v>
      </c>
      <c r="BG68" s="131" t="str">
        <f t="shared" si="143"/>
        <v/>
      </c>
      <c r="BH68" s="132" t="str">
        <f t="shared" si="144"/>
        <v/>
      </c>
      <c r="BI68" s="132" t="str">
        <f t="shared" si="145"/>
        <v/>
      </c>
      <c r="BJ68" s="132" t="str">
        <f t="shared" si="146"/>
        <v/>
      </c>
      <c r="BK68" s="132" t="str">
        <f t="shared" si="147"/>
        <v/>
      </c>
      <c r="BL68" s="132" t="str">
        <f t="shared" si="148"/>
        <v/>
      </c>
      <c r="BM68" s="146"/>
      <c r="BN68" s="8" t="str">
        <f>IF(BO68="","",IF(各種設定金額!$B$7="","○○県",各種設定金額!$B$7))</f>
        <v/>
      </c>
      <c r="BO68" s="6"/>
      <c r="BP68" s="4"/>
      <c r="BQ68" s="141" t="str">
        <f t="shared" si="149"/>
        <v/>
      </c>
      <c r="BR68" s="10"/>
      <c r="BS68" s="129"/>
      <c r="BT68" s="145" t="s">
        <v>63</v>
      </c>
      <c r="BU68" s="131" t="str">
        <f t="shared" si="150"/>
        <v/>
      </c>
      <c r="BV68" s="132" t="str">
        <f t="shared" si="151"/>
        <v/>
      </c>
      <c r="BW68" s="132" t="str">
        <f t="shared" si="152"/>
        <v/>
      </c>
      <c r="BX68" s="132" t="str">
        <f t="shared" si="153"/>
        <v/>
      </c>
      <c r="BY68" s="132" t="str">
        <f t="shared" si="154"/>
        <v/>
      </c>
      <c r="BZ68" s="132" t="str">
        <f t="shared" si="155"/>
        <v/>
      </c>
      <c r="CA68" s="146"/>
      <c r="CB68" s="10" t="str">
        <f t="shared" si="156"/>
        <v/>
      </c>
      <c r="CC68" s="7" t="str">
        <f t="shared" si="157"/>
        <v/>
      </c>
      <c r="CD68" s="147"/>
      <c r="CE68" s="147"/>
      <c r="CF68" s="6"/>
      <c r="CG68" s="4"/>
      <c r="CH68" s="148">
        <f t="shared" ca="1" si="158"/>
        <v>2026</v>
      </c>
      <c r="CI68" s="121" t="str">
        <f t="shared" ca="1" si="159"/>
        <v>令和</v>
      </c>
      <c r="CJ68" s="122" t="str">
        <f t="shared" ca="1" si="160"/>
        <v>R</v>
      </c>
      <c r="CK68" s="122" t="str">
        <f t="shared" ca="1" si="161"/>
        <v>8</v>
      </c>
      <c r="CL68" s="122">
        <f t="shared" ca="1" si="162"/>
        <v>10</v>
      </c>
      <c r="CM68" s="149">
        <f t="shared" ca="1" si="163"/>
        <v>24</v>
      </c>
      <c r="CN68" s="1"/>
      <c r="CO68" s="150">
        <f t="shared" ca="1" si="164"/>
        <v>46319</v>
      </c>
    </row>
    <row r="69" spans="1:93" ht="20.100000000000001" customHeight="1" x14ac:dyDescent="0.15">
      <c r="A69" s="7" t="str">
        <f>IF(B69="","",ROW()-ROW(会員表[#Headers]))</f>
        <v/>
      </c>
      <c r="B69" s="4" ph="1"/>
      <c r="C69" s="4" t="str" cm="1">
        <f t="array" ref="C69">_xlfn.LET(_xlpm.s,PHONETIC(B69),_xlpm.c,_xlfn.UNICODE(MID(_xlpm.s,_xlfn.SEQUENCE(LEN(_xlpm.s)),1)),IF(_xlpm.s="","",_xlfn.CONCAT(_xlfn.UNICHAR(_xlpm.c-96*(_xlpm.c&gt;=12449)*(_xlpm.c&lt;=12534)))))</f>
        <v/>
      </c>
      <c r="D69" s="4" t="str" cm="1">
        <f t="array" ref="D69">_xlfn.LET(_xlpm.s,PHONETIC(B69),_xlpm.c,_xlfn.UNICODE(MID(_xlpm.s,_xlfn.SEQUENCE(LEN(_xlpm.s)),1)),IF(_xlpm.s="","",_xlfn.CONCAT(_xlfn.UNICHAR(_xlpm.c+96*(_xlpm.c&gt;=12353)*(_xlpm.c&lt;=12438)))))</f>
        <v/>
      </c>
      <c r="E69" s="129" t="str">
        <f t="shared" ca="1" si="110"/>
        <v/>
      </c>
      <c r="F69" s="130" t="str">
        <f t="shared" si="111"/>
        <v/>
      </c>
      <c r="G69" s="130" t="str">
        <f t="shared" si="112"/>
        <v/>
      </c>
      <c r="H69" s="130" t="str">
        <f t="shared" si="113"/>
        <v/>
      </c>
      <c r="I69" s="131" t="str">
        <f t="shared" si="114"/>
        <v/>
      </c>
      <c r="J69" s="132" t="str">
        <f t="shared" si="115"/>
        <v/>
      </c>
      <c r="K69" s="121" t="str">
        <f t="shared" si="116"/>
        <v/>
      </c>
      <c r="L69" s="129" t="str">
        <f t="shared" si="117"/>
        <v/>
      </c>
      <c r="M69" s="7" t="str">
        <f t="shared" si="118"/>
        <v/>
      </c>
      <c r="N69" s="133"/>
      <c r="O69" s="8"/>
      <c r="P69" s="5" t="str">
        <f t="shared" si="119"/>
        <v/>
      </c>
      <c r="Q69" s="121" t="str">
        <f t="shared" si="120"/>
        <v/>
      </c>
      <c r="R69" s="121" t="str">
        <f t="shared" si="121"/>
        <v/>
      </c>
      <c r="S69" s="7" t="str">
        <f t="shared" si="122"/>
        <v/>
      </c>
      <c r="T69" s="5"/>
      <c r="U69" s="5" t="str">
        <f t="shared" si="123"/>
        <v/>
      </c>
      <c r="V69" s="121" t="str">
        <f t="shared" si="124"/>
        <v/>
      </c>
      <c r="W69" s="121" t="str">
        <f t="shared" si="125"/>
        <v/>
      </c>
      <c r="X69" s="7" t="str">
        <f t="shared" si="126"/>
        <v/>
      </c>
      <c r="Y69" s="136"/>
      <c r="Z69" s="5" t="str">
        <f t="shared" si="127"/>
        <v/>
      </c>
      <c r="AA69" s="137" t="s">
        <v>183</v>
      </c>
      <c r="AB69" s="7" t="str">
        <f t="shared" si="128"/>
        <v/>
      </c>
      <c r="AC69" s="9"/>
      <c r="AD69" s="4"/>
      <c r="AE69" s="138" t="str">
        <f t="shared" si="129"/>
        <v/>
      </c>
      <c r="AF69" s="139" t="str">
        <f t="shared" si="130"/>
        <v/>
      </c>
      <c r="AG69" s="139" t="str">
        <f t="shared" si="131"/>
        <v/>
      </c>
      <c r="AH69" s="139" t="str">
        <f t="shared" si="132"/>
        <v/>
      </c>
      <c r="AI69" s="139" t="str">
        <f t="shared" si="133"/>
        <v/>
      </c>
      <c r="AJ69" s="140" t="str">
        <f t="shared" si="134"/>
        <v/>
      </c>
      <c r="AK69" s="8"/>
      <c r="AL69" s="8" t="str">
        <f>IF(AM69="","",IF(各種設定金額!$B$7="","○○県",各種設定金額!$B$7))</f>
        <v/>
      </c>
      <c r="AM69" s="4"/>
      <c r="AN69" s="4"/>
      <c r="AO69" s="141" t="str">
        <f t="shared" si="135"/>
        <v/>
      </c>
      <c r="AP69" s="10"/>
      <c r="AQ69" s="129"/>
      <c r="AR69" s="142" t="s">
        <v>182</v>
      </c>
      <c r="AS69" s="131" t="str">
        <f t="shared" si="136"/>
        <v/>
      </c>
      <c r="AT69" s="132" t="str">
        <f t="shared" si="137"/>
        <v/>
      </c>
      <c r="AU69" s="132" t="str">
        <f t="shared" si="138"/>
        <v/>
      </c>
      <c r="AV69" s="132" t="str">
        <f t="shared" si="139"/>
        <v/>
      </c>
      <c r="AW69" s="132" t="str">
        <f t="shared" si="140"/>
        <v/>
      </c>
      <c r="AX69" s="143" t="str">
        <f t="shared" si="141"/>
        <v/>
      </c>
      <c r="AY69" s="144"/>
      <c r="AZ69" s="8" t="str">
        <f>IF(BA69="","",IF(各種設定金額!$B$7="","○○県",各種設定金額!$B$7))</f>
        <v/>
      </c>
      <c r="BA69" s="6"/>
      <c r="BB69" s="4"/>
      <c r="BC69" s="141" t="str">
        <f t="shared" si="142"/>
        <v/>
      </c>
      <c r="BD69" s="10"/>
      <c r="BE69" s="129"/>
      <c r="BF69" s="145" t="s">
        <v>63</v>
      </c>
      <c r="BG69" s="131" t="str">
        <f t="shared" si="143"/>
        <v/>
      </c>
      <c r="BH69" s="132" t="str">
        <f t="shared" si="144"/>
        <v/>
      </c>
      <c r="BI69" s="132" t="str">
        <f t="shared" si="145"/>
        <v/>
      </c>
      <c r="BJ69" s="132" t="str">
        <f t="shared" si="146"/>
        <v/>
      </c>
      <c r="BK69" s="132" t="str">
        <f t="shared" si="147"/>
        <v/>
      </c>
      <c r="BL69" s="132" t="str">
        <f t="shared" si="148"/>
        <v/>
      </c>
      <c r="BM69" s="146"/>
      <c r="BN69" s="8" t="str">
        <f>IF(BO69="","",IF(各種設定金額!$B$7="","○○県",各種設定金額!$B$7))</f>
        <v/>
      </c>
      <c r="BO69" s="6"/>
      <c r="BP69" s="4"/>
      <c r="BQ69" s="141" t="str">
        <f t="shared" si="149"/>
        <v/>
      </c>
      <c r="BR69" s="10"/>
      <c r="BS69" s="129"/>
      <c r="BT69" s="145" t="s">
        <v>63</v>
      </c>
      <c r="BU69" s="131" t="str">
        <f t="shared" si="150"/>
        <v/>
      </c>
      <c r="BV69" s="132" t="str">
        <f t="shared" si="151"/>
        <v/>
      </c>
      <c r="BW69" s="132" t="str">
        <f t="shared" si="152"/>
        <v/>
      </c>
      <c r="BX69" s="132" t="str">
        <f t="shared" si="153"/>
        <v/>
      </c>
      <c r="BY69" s="132" t="str">
        <f t="shared" si="154"/>
        <v/>
      </c>
      <c r="BZ69" s="132" t="str">
        <f t="shared" si="155"/>
        <v/>
      </c>
      <c r="CA69" s="146"/>
      <c r="CB69" s="10" t="str">
        <f t="shared" si="156"/>
        <v/>
      </c>
      <c r="CC69" s="7" t="str">
        <f t="shared" si="157"/>
        <v/>
      </c>
      <c r="CD69" s="147"/>
      <c r="CE69" s="147"/>
      <c r="CF69" s="6"/>
      <c r="CG69" s="4"/>
      <c r="CH69" s="148">
        <f t="shared" ca="1" si="158"/>
        <v>2026</v>
      </c>
      <c r="CI69" s="121" t="str">
        <f t="shared" ca="1" si="159"/>
        <v>令和</v>
      </c>
      <c r="CJ69" s="122" t="str">
        <f t="shared" ca="1" si="160"/>
        <v>R</v>
      </c>
      <c r="CK69" s="122" t="str">
        <f t="shared" ca="1" si="161"/>
        <v>8</v>
      </c>
      <c r="CL69" s="122">
        <f t="shared" ca="1" si="162"/>
        <v>10</v>
      </c>
      <c r="CM69" s="149">
        <f t="shared" ca="1" si="163"/>
        <v>24</v>
      </c>
      <c r="CN69" s="1"/>
      <c r="CO69" s="150">
        <f t="shared" ca="1" si="164"/>
        <v>46319</v>
      </c>
    </row>
    <row r="70" spans="1:93" ht="20.100000000000001" customHeight="1" x14ac:dyDescent="0.15">
      <c r="A70" s="7" t="str">
        <f>IF(B70="","",ROW()-ROW(会員表[#Headers]))</f>
        <v/>
      </c>
      <c r="B70" s="4" ph="1"/>
      <c r="C70" s="4" t="str" cm="1">
        <f t="array" ref="C70">_xlfn.LET(_xlpm.s,PHONETIC(B70),_xlpm.c,_xlfn.UNICODE(MID(_xlpm.s,_xlfn.SEQUENCE(LEN(_xlpm.s)),1)),IF(_xlpm.s="","",_xlfn.CONCAT(_xlfn.UNICHAR(_xlpm.c-96*(_xlpm.c&gt;=12449)*(_xlpm.c&lt;=12534)))))</f>
        <v/>
      </c>
      <c r="D70" s="4" t="str" cm="1">
        <f t="array" ref="D70">_xlfn.LET(_xlpm.s,PHONETIC(B70),_xlpm.c,_xlfn.UNICODE(MID(_xlpm.s,_xlfn.SEQUENCE(LEN(_xlpm.s)),1)),IF(_xlpm.s="","",_xlfn.CONCAT(_xlfn.UNICHAR(_xlpm.c+96*(_xlpm.c&gt;=12353)*(_xlpm.c&lt;=12438)))))</f>
        <v/>
      </c>
      <c r="E70" s="129" t="str">
        <f t="shared" ca="1" si="110"/>
        <v/>
      </c>
      <c r="F70" s="130" t="str">
        <f t="shared" si="111"/>
        <v/>
      </c>
      <c r="G70" s="130" t="str">
        <f t="shared" si="112"/>
        <v/>
      </c>
      <c r="H70" s="130" t="str">
        <f t="shared" si="113"/>
        <v/>
      </c>
      <c r="I70" s="131" t="str">
        <f t="shared" si="114"/>
        <v/>
      </c>
      <c r="J70" s="132" t="str">
        <f t="shared" si="115"/>
        <v/>
      </c>
      <c r="K70" s="121" t="str">
        <f t="shared" si="116"/>
        <v/>
      </c>
      <c r="L70" s="129" t="str">
        <f t="shared" si="117"/>
        <v/>
      </c>
      <c r="M70" s="7" t="str">
        <f t="shared" si="118"/>
        <v/>
      </c>
      <c r="N70" s="133"/>
      <c r="O70" s="8"/>
      <c r="P70" s="5" t="str">
        <f t="shared" si="119"/>
        <v/>
      </c>
      <c r="Q70" s="121" t="str">
        <f t="shared" si="120"/>
        <v/>
      </c>
      <c r="R70" s="121" t="str">
        <f t="shared" si="121"/>
        <v/>
      </c>
      <c r="S70" s="7" t="str">
        <f t="shared" si="122"/>
        <v/>
      </c>
      <c r="T70" s="5"/>
      <c r="U70" s="5" t="str">
        <f t="shared" si="123"/>
        <v/>
      </c>
      <c r="V70" s="121" t="str">
        <f t="shared" si="124"/>
        <v/>
      </c>
      <c r="W70" s="121" t="str">
        <f t="shared" si="125"/>
        <v/>
      </c>
      <c r="X70" s="7" t="str">
        <f t="shared" si="126"/>
        <v/>
      </c>
      <c r="Y70" s="136"/>
      <c r="Z70" s="5" t="str">
        <f t="shared" si="127"/>
        <v/>
      </c>
      <c r="AA70" s="137" t="s">
        <v>183</v>
      </c>
      <c r="AB70" s="7" t="str">
        <f t="shared" si="128"/>
        <v/>
      </c>
      <c r="AC70" s="9"/>
      <c r="AD70" s="4"/>
      <c r="AE70" s="138" t="str">
        <f t="shared" si="129"/>
        <v/>
      </c>
      <c r="AF70" s="139" t="str">
        <f t="shared" si="130"/>
        <v/>
      </c>
      <c r="AG70" s="139" t="str">
        <f t="shared" si="131"/>
        <v/>
      </c>
      <c r="AH70" s="139" t="str">
        <f t="shared" si="132"/>
        <v/>
      </c>
      <c r="AI70" s="139" t="str">
        <f t="shared" si="133"/>
        <v/>
      </c>
      <c r="AJ70" s="140" t="str">
        <f t="shared" si="134"/>
        <v/>
      </c>
      <c r="AK70" s="8"/>
      <c r="AL70" s="8" t="str">
        <f>IF(AM70="","",IF(各種設定金額!$B$7="","○○県",各種設定金額!$B$7))</f>
        <v/>
      </c>
      <c r="AM70" s="4"/>
      <c r="AN70" s="4"/>
      <c r="AO70" s="141" t="str">
        <f t="shared" si="135"/>
        <v/>
      </c>
      <c r="AP70" s="10"/>
      <c r="AQ70" s="129"/>
      <c r="AR70" s="142" t="s">
        <v>182</v>
      </c>
      <c r="AS70" s="131" t="str">
        <f t="shared" si="136"/>
        <v/>
      </c>
      <c r="AT70" s="132" t="str">
        <f t="shared" si="137"/>
        <v/>
      </c>
      <c r="AU70" s="132" t="str">
        <f t="shared" si="138"/>
        <v/>
      </c>
      <c r="AV70" s="132" t="str">
        <f t="shared" si="139"/>
        <v/>
      </c>
      <c r="AW70" s="132" t="str">
        <f t="shared" si="140"/>
        <v/>
      </c>
      <c r="AX70" s="143" t="str">
        <f t="shared" si="141"/>
        <v/>
      </c>
      <c r="AY70" s="144"/>
      <c r="AZ70" s="8" t="str">
        <f>IF(BA70="","",IF(各種設定金額!$B$7="","○○県",各種設定金額!$B$7))</f>
        <v/>
      </c>
      <c r="BA70" s="6"/>
      <c r="BB70" s="4"/>
      <c r="BC70" s="141" t="str">
        <f t="shared" si="142"/>
        <v/>
      </c>
      <c r="BD70" s="10"/>
      <c r="BE70" s="129"/>
      <c r="BF70" s="145" t="s">
        <v>63</v>
      </c>
      <c r="BG70" s="131" t="str">
        <f t="shared" si="143"/>
        <v/>
      </c>
      <c r="BH70" s="132" t="str">
        <f t="shared" si="144"/>
        <v/>
      </c>
      <c r="BI70" s="132" t="str">
        <f t="shared" si="145"/>
        <v/>
      </c>
      <c r="BJ70" s="132" t="str">
        <f t="shared" si="146"/>
        <v/>
      </c>
      <c r="BK70" s="132" t="str">
        <f t="shared" si="147"/>
        <v/>
      </c>
      <c r="BL70" s="132" t="str">
        <f t="shared" si="148"/>
        <v/>
      </c>
      <c r="BM70" s="146"/>
      <c r="BN70" s="8" t="str">
        <f>IF(BO70="","",IF(各種設定金額!$B$7="","○○県",各種設定金額!$B$7))</f>
        <v/>
      </c>
      <c r="BO70" s="6"/>
      <c r="BP70" s="4"/>
      <c r="BQ70" s="141" t="str">
        <f t="shared" si="149"/>
        <v/>
      </c>
      <c r="BR70" s="10"/>
      <c r="BS70" s="129"/>
      <c r="BT70" s="145" t="s">
        <v>63</v>
      </c>
      <c r="BU70" s="131" t="str">
        <f t="shared" si="150"/>
        <v/>
      </c>
      <c r="BV70" s="132" t="str">
        <f t="shared" si="151"/>
        <v/>
      </c>
      <c r="BW70" s="132" t="str">
        <f t="shared" si="152"/>
        <v/>
      </c>
      <c r="BX70" s="132" t="str">
        <f t="shared" si="153"/>
        <v/>
      </c>
      <c r="BY70" s="132" t="str">
        <f t="shared" si="154"/>
        <v/>
      </c>
      <c r="BZ70" s="132" t="str">
        <f t="shared" si="155"/>
        <v/>
      </c>
      <c r="CA70" s="146"/>
      <c r="CB70" s="10" t="str">
        <f t="shared" si="156"/>
        <v/>
      </c>
      <c r="CC70" s="7" t="str">
        <f t="shared" si="157"/>
        <v/>
      </c>
      <c r="CD70" s="147"/>
      <c r="CE70" s="147"/>
      <c r="CF70" s="6"/>
      <c r="CG70" s="4"/>
      <c r="CH70" s="148">
        <f t="shared" ca="1" si="158"/>
        <v>2026</v>
      </c>
      <c r="CI70" s="121" t="str">
        <f t="shared" ca="1" si="159"/>
        <v>令和</v>
      </c>
      <c r="CJ70" s="122" t="str">
        <f t="shared" ca="1" si="160"/>
        <v>R</v>
      </c>
      <c r="CK70" s="122" t="str">
        <f t="shared" ca="1" si="161"/>
        <v>8</v>
      </c>
      <c r="CL70" s="122">
        <f t="shared" ca="1" si="162"/>
        <v>10</v>
      </c>
      <c r="CM70" s="149">
        <f t="shared" ca="1" si="163"/>
        <v>24</v>
      </c>
      <c r="CN70" s="1"/>
      <c r="CO70" s="150">
        <f t="shared" ca="1" si="164"/>
        <v>46319</v>
      </c>
    </row>
    <row r="71" spans="1:93" ht="20.100000000000001" customHeight="1" x14ac:dyDescent="0.15">
      <c r="A71" s="7" t="str">
        <f>IF(B71="","",ROW()-ROW(会員表[#Headers]))</f>
        <v/>
      </c>
      <c r="B71" s="4" ph="1"/>
      <c r="C71" s="4" t="str" cm="1">
        <f t="array" ref="C71">_xlfn.LET(_xlpm.s,PHONETIC(B71),_xlpm.c,_xlfn.UNICODE(MID(_xlpm.s,_xlfn.SEQUENCE(LEN(_xlpm.s)),1)),IF(_xlpm.s="","",_xlfn.CONCAT(_xlfn.UNICHAR(_xlpm.c-96*(_xlpm.c&gt;=12449)*(_xlpm.c&lt;=12534)))))</f>
        <v/>
      </c>
      <c r="D71" s="4" t="str" cm="1">
        <f t="array" ref="D71">_xlfn.LET(_xlpm.s,PHONETIC(B71),_xlpm.c,_xlfn.UNICODE(MID(_xlpm.s,_xlfn.SEQUENCE(LEN(_xlpm.s)),1)),IF(_xlpm.s="","",_xlfn.CONCAT(_xlfn.UNICHAR(_xlpm.c+96*(_xlpm.c&gt;=12353)*(_xlpm.c&lt;=12438)))))</f>
        <v/>
      </c>
      <c r="E71" s="129" t="str">
        <f t="shared" ca="1" si="110"/>
        <v/>
      </c>
      <c r="F71" s="130" t="str">
        <f t="shared" si="111"/>
        <v/>
      </c>
      <c r="G71" s="130" t="str">
        <f t="shared" si="112"/>
        <v/>
      </c>
      <c r="H71" s="130" t="str">
        <f t="shared" si="113"/>
        <v/>
      </c>
      <c r="I71" s="131" t="str">
        <f t="shared" si="114"/>
        <v/>
      </c>
      <c r="J71" s="132" t="str">
        <f t="shared" si="115"/>
        <v/>
      </c>
      <c r="K71" s="121" t="str">
        <f t="shared" si="116"/>
        <v/>
      </c>
      <c r="L71" s="129" t="str">
        <f t="shared" si="117"/>
        <v/>
      </c>
      <c r="M71" s="7" t="str">
        <f t="shared" si="118"/>
        <v/>
      </c>
      <c r="N71" s="133"/>
      <c r="O71" s="8"/>
      <c r="P71" s="5" t="str">
        <f t="shared" si="119"/>
        <v/>
      </c>
      <c r="Q71" s="121" t="str">
        <f t="shared" si="120"/>
        <v/>
      </c>
      <c r="R71" s="121" t="str">
        <f t="shared" si="121"/>
        <v/>
      </c>
      <c r="S71" s="7" t="str">
        <f t="shared" si="122"/>
        <v/>
      </c>
      <c r="T71" s="5"/>
      <c r="U71" s="5" t="str">
        <f t="shared" si="123"/>
        <v/>
      </c>
      <c r="V71" s="121" t="str">
        <f t="shared" si="124"/>
        <v/>
      </c>
      <c r="W71" s="121" t="str">
        <f t="shared" si="125"/>
        <v/>
      </c>
      <c r="X71" s="7" t="str">
        <f t="shared" si="126"/>
        <v/>
      </c>
      <c r="Y71" s="136"/>
      <c r="Z71" s="5" t="str">
        <f t="shared" si="127"/>
        <v/>
      </c>
      <c r="AA71" s="137" t="s">
        <v>183</v>
      </c>
      <c r="AB71" s="7" t="str">
        <f t="shared" si="128"/>
        <v/>
      </c>
      <c r="AC71" s="9"/>
      <c r="AD71" s="4"/>
      <c r="AE71" s="138" t="str">
        <f t="shared" si="129"/>
        <v/>
      </c>
      <c r="AF71" s="139" t="str">
        <f t="shared" si="130"/>
        <v/>
      </c>
      <c r="AG71" s="139" t="str">
        <f t="shared" si="131"/>
        <v/>
      </c>
      <c r="AH71" s="139" t="str">
        <f t="shared" si="132"/>
        <v/>
      </c>
      <c r="AI71" s="139" t="str">
        <f t="shared" si="133"/>
        <v/>
      </c>
      <c r="AJ71" s="140" t="str">
        <f t="shared" si="134"/>
        <v/>
      </c>
      <c r="AK71" s="8"/>
      <c r="AL71" s="8" t="str">
        <f>IF(AM71="","",IF(各種設定金額!$B$7="","○○県",各種設定金額!$B$7))</f>
        <v/>
      </c>
      <c r="AM71" s="4"/>
      <c r="AN71" s="4"/>
      <c r="AO71" s="141" t="str">
        <f t="shared" si="135"/>
        <v/>
      </c>
      <c r="AP71" s="10"/>
      <c r="AQ71" s="129"/>
      <c r="AR71" s="142" t="s">
        <v>182</v>
      </c>
      <c r="AS71" s="131" t="str">
        <f t="shared" si="136"/>
        <v/>
      </c>
      <c r="AT71" s="132" t="str">
        <f t="shared" si="137"/>
        <v/>
      </c>
      <c r="AU71" s="132" t="str">
        <f t="shared" si="138"/>
        <v/>
      </c>
      <c r="AV71" s="132" t="str">
        <f t="shared" si="139"/>
        <v/>
      </c>
      <c r="AW71" s="132" t="str">
        <f t="shared" si="140"/>
        <v/>
      </c>
      <c r="AX71" s="143" t="str">
        <f t="shared" si="141"/>
        <v/>
      </c>
      <c r="AY71" s="144"/>
      <c r="AZ71" s="8" t="str">
        <f>IF(BA71="","",IF(各種設定金額!$B$7="","○○県",各種設定金額!$B$7))</f>
        <v/>
      </c>
      <c r="BA71" s="6"/>
      <c r="BB71" s="4"/>
      <c r="BC71" s="141" t="str">
        <f t="shared" si="142"/>
        <v/>
      </c>
      <c r="BD71" s="10"/>
      <c r="BE71" s="129"/>
      <c r="BF71" s="145" t="s">
        <v>63</v>
      </c>
      <c r="BG71" s="131" t="str">
        <f t="shared" si="143"/>
        <v/>
      </c>
      <c r="BH71" s="132" t="str">
        <f t="shared" si="144"/>
        <v/>
      </c>
      <c r="BI71" s="132" t="str">
        <f t="shared" si="145"/>
        <v/>
      </c>
      <c r="BJ71" s="132" t="str">
        <f t="shared" si="146"/>
        <v/>
      </c>
      <c r="BK71" s="132" t="str">
        <f t="shared" si="147"/>
        <v/>
      </c>
      <c r="BL71" s="132" t="str">
        <f t="shared" si="148"/>
        <v/>
      </c>
      <c r="BM71" s="146"/>
      <c r="BN71" s="8" t="str">
        <f>IF(BO71="","",IF(各種設定金額!$B$7="","○○県",各種設定金額!$B$7))</f>
        <v/>
      </c>
      <c r="BO71" s="6"/>
      <c r="BP71" s="4"/>
      <c r="BQ71" s="141" t="str">
        <f t="shared" si="149"/>
        <v/>
      </c>
      <c r="BR71" s="10"/>
      <c r="BS71" s="129"/>
      <c r="BT71" s="145" t="s">
        <v>63</v>
      </c>
      <c r="BU71" s="131" t="str">
        <f t="shared" si="150"/>
        <v/>
      </c>
      <c r="BV71" s="132" t="str">
        <f t="shared" si="151"/>
        <v/>
      </c>
      <c r="BW71" s="132" t="str">
        <f t="shared" si="152"/>
        <v/>
      </c>
      <c r="BX71" s="132" t="str">
        <f t="shared" si="153"/>
        <v/>
      </c>
      <c r="BY71" s="132" t="str">
        <f t="shared" si="154"/>
        <v/>
      </c>
      <c r="BZ71" s="132" t="str">
        <f t="shared" si="155"/>
        <v/>
      </c>
      <c r="CA71" s="146"/>
      <c r="CB71" s="10" t="str">
        <f t="shared" si="156"/>
        <v/>
      </c>
      <c r="CC71" s="7" t="str">
        <f t="shared" si="157"/>
        <v/>
      </c>
      <c r="CD71" s="147"/>
      <c r="CE71" s="147"/>
      <c r="CF71" s="6"/>
      <c r="CG71" s="4"/>
      <c r="CH71" s="148">
        <f t="shared" ca="1" si="158"/>
        <v>2026</v>
      </c>
      <c r="CI71" s="121" t="str">
        <f t="shared" ca="1" si="159"/>
        <v>令和</v>
      </c>
      <c r="CJ71" s="122" t="str">
        <f t="shared" ca="1" si="160"/>
        <v>R</v>
      </c>
      <c r="CK71" s="122" t="str">
        <f t="shared" ca="1" si="161"/>
        <v>8</v>
      </c>
      <c r="CL71" s="122">
        <f t="shared" ca="1" si="162"/>
        <v>10</v>
      </c>
      <c r="CM71" s="149">
        <f t="shared" ca="1" si="163"/>
        <v>24</v>
      </c>
      <c r="CN71" s="1"/>
      <c r="CO71" s="150">
        <f t="shared" ca="1" si="164"/>
        <v>46319</v>
      </c>
    </row>
    <row r="72" spans="1:93" ht="20.100000000000001" customHeight="1" x14ac:dyDescent="0.15">
      <c r="A72" s="7" t="str">
        <f>IF(B72="","",ROW()-ROW(会員表[#Headers]))</f>
        <v/>
      </c>
      <c r="B72" s="4" ph="1"/>
      <c r="C72" s="4" t="str" cm="1">
        <f t="array" ref="C72">_xlfn.LET(_xlpm.s,PHONETIC(B72),_xlpm.c,_xlfn.UNICODE(MID(_xlpm.s,_xlfn.SEQUENCE(LEN(_xlpm.s)),1)),IF(_xlpm.s="","",_xlfn.CONCAT(_xlfn.UNICHAR(_xlpm.c-96*(_xlpm.c&gt;=12449)*(_xlpm.c&lt;=12534)))))</f>
        <v/>
      </c>
      <c r="D72" s="4" t="str" cm="1">
        <f t="array" ref="D72">_xlfn.LET(_xlpm.s,PHONETIC(B72),_xlpm.c,_xlfn.UNICODE(MID(_xlpm.s,_xlfn.SEQUENCE(LEN(_xlpm.s)),1)),IF(_xlpm.s="","",_xlfn.CONCAT(_xlfn.UNICHAR(_xlpm.c+96*(_xlpm.c&gt;=12353)*(_xlpm.c&lt;=12438)))))</f>
        <v/>
      </c>
      <c r="E72" s="129" t="str">
        <f t="shared" ca="1" si="110"/>
        <v/>
      </c>
      <c r="F72" s="130" t="str">
        <f t="shared" si="111"/>
        <v/>
      </c>
      <c r="G72" s="130" t="str">
        <f t="shared" si="112"/>
        <v/>
      </c>
      <c r="H72" s="130" t="str">
        <f t="shared" si="113"/>
        <v/>
      </c>
      <c r="I72" s="131" t="str">
        <f t="shared" si="114"/>
        <v/>
      </c>
      <c r="J72" s="132" t="str">
        <f t="shared" si="115"/>
        <v/>
      </c>
      <c r="K72" s="121" t="str">
        <f t="shared" si="116"/>
        <v/>
      </c>
      <c r="L72" s="129" t="str">
        <f t="shared" si="117"/>
        <v/>
      </c>
      <c r="M72" s="7" t="str">
        <f t="shared" si="118"/>
        <v/>
      </c>
      <c r="N72" s="133"/>
      <c r="O72" s="8"/>
      <c r="P72" s="5" t="str">
        <f t="shared" si="119"/>
        <v/>
      </c>
      <c r="Q72" s="121" t="str">
        <f t="shared" si="120"/>
        <v/>
      </c>
      <c r="R72" s="121" t="str">
        <f t="shared" si="121"/>
        <v/>
      </c>
      <c r="S72" s="7" t="str">
        <f t="shared" si="122"/>
        <v/>
      </c>
      <c r="T72" s="5"/>
      <c r="U72" s="5" t="str">
        <f t="shared" si="123"/>
        <v/>
      </c>
      <c r="V72" s="121" t="str">
        <f t="shared" si="124"/>
        <v/>
      </c>
      <c r="W72" s="121" t="str">
        <f t="shared" si="125"/>
        <v/>
      </c>
      <c r="X72" s="7" t="str">
        <f t="shared" si="126"/>
        <v/>
      </c>
      <c r="Y72" s="136"/>
      <c r="Z72" s="5" t="str">
        <f t="shared" si="127"/>
        <v/>
      </c>
      <c r="AA72" s="137" t="s">
        <v>183</v>
      </c>
      <c r="AB72" s="7" t="str">
        <f t="shared" si="128"/>
        <v/>
      </c>
      <c r="AC72" s="9"/>
      <c r="AD72" s="4"/>
      <c r="AE72" s="138" t="str">
        <f t="shared" si="129"/>
        <v/>
      </c>
      <c r="AF72" s="139" t="str">
        <f t="shared" si="130"/>
        <v/>
      </c>
      <c r="AG72" s="139" t="str">
        <f t="shared" si="131"/>
        <v/>
      </c>
      <c r="AH72" s="139" t="str">
        <f t="shared" si="132"/>
        <v/>
      </c>
      <c r="AI72" s="139" t="str">
        <f t="shared" si="133"/>
        <v/>
      </c>
      <c r="AJ72" s="140" t="str">
        <f t="shared" si="134"/>
        <v/>
      </c>
      <c r="AK72" s="8"/>
      <c r="AL72" s="8" t="str">
        <f>IF(AM72="","",IF(各種設定金額!$B$7="","○○県",各種設定金額!$B$7))</f>
        <v/>
      </c>
      <c r="AM72" s="4"/>
      <c r="AN72" s="4"/>
      <c r="AO72" s="141" t="str">
        <f t="shared" si="135"/>
        <v/>
      </c>
      <c r="AP72" s="10"/>
      <c r="AQ72" s="129"/>
      <c r="AR72" s="142" t="s">
        <v>182</v>
      </c>
      <c r="AS72" s="131" t="str">
        <f t="shared" si="136"/>
        <v/>
      </c>
      <c r="AT72" s="132" t="str">
        <f t="shared" si="137"/>
        <v/>
      </c>
      <c r="AU72" s="132" t="str">
        <f t="shared" si="138"/>
        <v/>
      </c>
      <c r="AV72" s="132" t="str">
        <f t="shared" si="139"/>
        <v/>
      </c>
      <c r="AW72" s="132" t="str">
        <f t="shared" si="140"/>
        <v/>
      </c>
      <c r="AX72" s="143" t="str">
        <f t="shared" si="141"/>
        <v/>
      </c>
      <c r="AY72" s="144"/>
      <c r="AZ72" s="8" t="str">
        <f>IF(BA72="","",IF(各種設定金額!$B$7="","○○県",各種設定金額!$B$7))</f>
        <v/>
      </c>
      <c r="BA72" s="6"/>
      <c r="BB72" s="4"/>
      <c r="BC72" s="141" t="str">
        <f t="shared" si="142"/>
        <v/>
      </c>
      <c r="BD72" s="10"/>
      <c r="BE72" s="129"/>
      <c r="BF72" s="145" t="s">
        <v>63</v>
      </c>
      <c r="BG72" s="131" t="str">
        <f t="shared" si="143"/>
        <v/>
      </c>
      <c r="BH72" s="132" t="str">
        <f t="shared" si="144"/>
        <v/>
      </c>
      <c r="BI72" s="132" t="str">
        <f t="shared" si="145"/>
        <v/>
      </c>
      <c r="BJ72" s="132" t="str">
        <f t="shared" si="146"/>
        <v/>
      </c>
      <c r="BK72" s="132" t="str">
        <f t="shared" si="147"/>
        <v/>
      </c>
      <c r="BL72" s="132" t="str">
        <f t="shared" si="148"/>
        <v/>
      </c>
      <c r="BM72" s="146"/>
      <c r="BN72" s="8" t="str">
        <f>IF(BO72="","",IF(各種設定金額!$B$7="","○○県",各種設定金額!$B$7))</f>
        <v/>
      </c>
      <c r="BO72" s="6"/>
      <c r="BP72" s="4"/>
      <c r="BQ72" s="141" t="str">
        <f t="shared" si="149"/>
        <v/>
      </c>
      <c r="BR72" s="10"/>
      <c r="BS72" s="129"/>
      <c r="BT72" s="145" t="s">
        <v>63</v>
      </c>
      <c r="BU72" s="131" t="str">
        <f t="shared" si="150"/>
        <v/>
      </c>
      <c r="BV72" s="132" t="str">
        <f t="shared" si="151"/>
        <v/>
      </c>
      <c r="BW72" s="132" t="str">
        <f t="shared" si="152"/>
        <v/>
      </c>
      <c r="BX72" s="132" t="str">
        <f t="shared" si="153"/>
        <v/>
      </c>
      <c r="BY72" s="132" t="str">
        <f t="shared" si="154"/>
        <v/>
      </c>
      <c r="BZ72" s="132" t="str">
        <f t="shared" si="155"/>
        <v/>
      </c>
      <c r="CA72" s="146"/>
      <c r="CB72" s="10" t="str">
        <f t="shared" si="156"/>
        <v/>
      </c>
      <c r="CC72" s="7" t="str">
        <f t="shared" si="157"/>
        <v/>
      </c>
      <c r="CD72" s="147"/>
      <c r="CE72" s="147"/>
      <c r="CF72" s="6"/>
      <c r="CG72" s="4"/>
      <c r="CH72" s="148">
        <f t="shared" ca="1" si="158"/>
        <v>2026</v>
      </c>
      <c r="CI72" s="121" t="str">
        <f t="shared" ca="1" si="159"/>
        <v>令和</v>
      </c>
      <c r="CJ72" s="122" t="str">
        <f t="shared" ca="1" si="160"/>
        <v>R</v>
      </c>
      <c r="CK72" s="122" t="str">
        <f t="shared" ca="1" si="161"/>
        <v>8</v>
      </c>
      <c r="CL72" s="122">
        <f t="shared" ca="1" si="162"/>
        <v>10</v>
      </c>
      <c r="CM72" s="149">
        <f t="shared" ca="1" si="163"/>
        <v>24</v>
      </c>
      <c r="CN72" s="1"/>
      <c r="CO72" s="150">
        <f t="shared" ca="1" si="164"/>
        <v>46319</v>
      </c>
    </row>
    <row r="73" spans="1:93" ht="20.100000000000001" customHeight="1" x14ac:dyDescent="0.15">
      <c r="A73" s="7" t="str">
        <f>IF(B73="","",ROW()-ROW(会員表[#Headers]))</f>
        <v/>
      </c>
      <c r="B73" s="4" ph="1"/>
      <c r="C73" s="4" t="str" cm="1">
        <f t="array" ref="C73">_xlfn.LET(_xlpm.s,PHONETIC(B73),_xlpm.c,_xlfn.UNICODE(MID(_xlpm.s,_xlfn.SEQUENCE(LEN(_xlpm.s)),1)),IF(_xlpm.s="","",_xlfn.CONCAT(_xlfn.UNICHAR(_xlpm.c-96*(_xlpm.c&gt;=12449)*(_xlpm.c&lt;=12534)))))</f>
        <v/>
      </c>
      <c r="D73" s="4" t="str" cm="1">
        <f t="array" ref="D73">_xlfn.LET(_xlpm.s,PHONETIC(B73),_xlpm.c,_xlfn.UNICODE(MID(_xlpm.s,_xlfn.SEQUENCE(LEN(_xlpm.s)),1)),IF(_xlpm.s="","",_xlfn.CONCAT(_xlfn.UNICHAR(_xlpm.c+96*(_xlpm.c&gt;=12353)*(_xlpm.c&lt;=12438)))))</f>
        <v/>
      </c>
      <c r="E73" s="129" t="str">
        <f t="shared" ca="1" si="110"/>
        <v/>
      </c>
      <c r="F73" s="130" t="str">
        <f t="shared" si="111"/>
        <v/>
      </c>
      <c r="G73" s="130" t="str">
        <f t="shared" si="112"/>
        <v/>
      </c>
      <c r="H73" s="130" t="str">
        <f t="shared" si="113"/>
        <v/>
      </c>
      <c r="I73" s="131" t="str">
        <f t="shared" si="114"/>
        <v/>
      </c>
      <c r="J73" s="132" t="str">
        <f t="shared" si="115"/>
        <v/>
      </c>
      <c r="K73" s="121" t="str">
        <f t="shared" si="116"/>
        <v/>
      </c>
      <c r="L73" s="129" t="str">
        <f t="shared" si="117"/>
        <v/>
      </c>
      <c r="M73" s="7" t="str">
        <f t="shared" si="118"/>
        <v/>
      </c>
      <c r="N73" s="133"/>
      <c r="O73" s="8"/>
      <c r="P73" s="5" t="str">
        <f t="shared" si="119"/>
        <v/>
      </c>
      <c r="Q73" s="121" t="str">
        <f t="shared" si="120"/>
        <v/>
      </c>
      <c r="R73" s="121" t="str">
        <f t="shared" si="121"/>
        <v/>
      </c>
      <c r="S73" s="7" t="str">
        <f t="shared" si="122"/>
        <v/>
      </c>
      <c r="T73" s="5"/>
      <c r="U73" s="5" t="str">
        <f t="shared" si="123"/>
        <v/>
      </c>
      <c r="V73" s="121" t="str">
        <f t="shared" si="124"/>
        <v/>
      </c>
      <c r="W73" s="121" t="str">
        <f t="shared" si="125"/>
        <v/>
      </c>
      <c r="X73" s="7" t="str">
        <f t="shared" si="126"/>
        <v/>
      </c>
      <c r="Y73" s="136"/>
      <c r="Z73" s="5" t="str">
        <f t="shared" si="127"/>
        <v/>
      </c>
      <c r="AA73" s="137" t="s">
        <v>183</v>
      </c>
      <c r="AB73" s="7" t="str">
        <f t="shared" si="128"/>
        <v/>
      </c>
      <c r="AC73" s="9"/>
      <c r="AD73" s="4"/>
      <c r="AE73" s="138" t="str">
        <f t="shared" si="129"/>
        <v/>
      </c>
      <c r="AF73" s="139" t="str">
        <f t="shared" si="130"/>
        <v/>
      </c>
      <c r="AG73" s="139" t="str">
        <f t="shared" si="131"/>
        <v/>
      </c>
      <c r="AH73" s="139" t="str">
        <f t="shared" si="132"/>
        <v/>
      </c>
      <c r="AI73" s="139" t="str">
        <f t="shared" si="133"/>
        <v/>
      </c>
      <c r="AJ73" s="140" t="str">
        <f t="shared" si="134"/>
        <v/>
      </c>
      <c r="AK73" s="8"/>
      <c r="AL73" s="8" t="str">
        <f>IF(AM73="","",IF(各種設定金額!$B$7="","○○県",各種設定金額!$B$7))</f>
        <v/>
      </c>
      <c r="AM73" s="4"/>
      <c r="AN73" s="4"/>
      <c r="AO73" s="141" t="str">
        <f t="shared" si="135"/>
        <v/>
      </c>
      <c r="AP73" s="10"/>
      <c r="AQ73" s="129"/>
      <c r="AR73" s="142" t="s">
        <v>182</v>
      </c>
      <c r="AS73" s="131" t="str">
        <f t="shared" si="136"/>
        <v/>
      </c>
      <c r="AT73" s="132" t="str">
        <f t="shared" si="137"/>
        <v/>
      </c>
      <c r="AU73" s="132" t="str">
        <f t="shared" si="138"/>
        <v/>
      </c>
      <c r="AV73" s="132" t="str">
        <f t="shared" si="139"/>
        <v/>
      </c>
      <c r="AW73" s="132" t="str">
        <f t="shared" si="140"/>
        <v/>
      </c>
      <c r="AX73" s="143" t="str">
        <f t="shared" si="141"/>
        <v/>
      </c>
      <c r="AY73" s="144"/>
      <c r="AZ73" s="8" t="str">
        <f>IF(BA73="","",IF(各種設定金額!$B$7="","○○県",各種設定金額!$B$7))</f>
        <v/>
      </c>
      <c r="BA73" s="6"/>
      <c r="BB73" s="4"/>
      <c r="BC73" s="141" t="str">
        <f t="shared" si="142"/>
        <v/>
      </c>
      <c r="BD73" s="10"/>
      <c r="BE73" s="129"/>
      <c r="BF73" s="145" t="s">
        <v>63</v>
      </c>
      <c r="BG73" s="131" t="str">
        <f t="shared" si="143"/>
        <v/>
      </c>
      <c r="BH73" s="132" t="str">
        <f t="shared" si="144"/>
        <v/>
      </c>
      <c r="BI73" s="132" t="str">
        <f t="shared" si="145"/>
        <v/>
      </c>
      <c r="BJ73" s="132" t="str">
        <f t="shared" si="146"/>
        <v/>
      </c>
      <c r="BK73" s="132" t="str">
        <f t="shared" si="147"/>
        <v/>
      </c>
      <c r="BL73" s="132" t="str">
        <f t="shared" si="148"/>
        <v/>
      </c>
      <c r="BM73" s="146"/>
      <c r="BN73" s="8" t="str">
        <f>IF(BO73="","",IF(各種設定金額!$B$7="","○○県",各種設定金額!$B$7))</f>
        <v/>
      </c>
      <c r="BO73" s="6"/>
      <c r="BP73" s="4"/>
      <c r="BQ73" s="141" t="str">
        <f t="shared" si="149"/>
        <v/>
      </c>
      <c r="BR73" s="10"/>
      <c r="BS73" s="129"/>
      <c r="BT73" s="145" t="s">
        <v>63</v>
      </c>
      <c r="BU73" s="131" t="str">
        <f t="shared" si="150"/>
        <v/>
      </c>
      <c r="BV73" s="132" t="str">
        <f t="shared" si="151"/>
        <v/>
      </c>
      <c r="BW73" s="132" t="str">
        <f t="shared" si="152"/>
        <v/>
      </c>
      <c r="BX73" s="132" t="str">
        <f t="shared" si="153"/>
        <v/>
      </c>
      <c r="BY73" s="132" t="str">
        <f t="shared" si="154"/>
        <v/>
      </c>
      <c r="BZ73" s="132" t="str">
        <f t="shared" si="155"/>
        <v/>
      </c>
      <c r="CA73" s="146"/>
      <c r="CB73" s="10" t="str">
        <f t="shared" si="156"/>
        <v/>
      </c>
      <c r="CC73" s="7" t="str">
        <f t="shared" si="157"/>
        <v/>
      </c>
      <c r="CD73" s="147"/>
      <c r="CE73" s="147"/>
      <c r="CF73" s="6"/>
      <c r="CG73" s="4"/>
      <c r="CH73" s="148">
        <f t="shared" ca="1" si="158"/>
        <v>2026</v>
      </c>
      <c r="CI73" s="121" t="str">
        <f t="shared" ca="1" si="159"/>
        <v>令和</v>
      </c>
      <c r="CJ73" s="122" t="str">
        <f t="shared" ca="1" si="160"/>
        <v>R</v>
      </c>
      <c r="CK73" s="122" t="str">
        <f t="shared" ca="1" si="161"/>
        <v>8</v>
      </c>
      <c r="CL73" s="122">
        <f t="shared" ca="1" si="162"/>
        <v>10</v>
      </c>
      <c r="CM73" s="149">
        <f t="shared" ca="1" si="163"/>
        <v>24</v>
      </c>
      <c r="CN73" s="1"/>
      <c r="CO73" s="150">
        <f t="shared" ca="1" si="164"/>
        <v>46319</v>
      </c>
    </row>
    <row r="74" spans="1:93" ht="20.100000000000001" customHeight="1" x14ac:dyDescent="0.15">
      <c r="A74" s="7" t="str">
        <f>IF(B74="","",ROW()-ROW(会員表[#Headers]))</f>
        <v/>
      </c>
      <c r="B74" s="4" ph="1"/>
      <c r="C74" s="4" t="str" cm="1">
        <f t="array" ref="C74">_xlfn.LET(_xlpm.s,PHONETIC(B74),_xlpm.c,_xlfn.UNICODE(MID(_xlpm.s,_xlfn.SEQUENCE(LEN(_xlpm.s)),1)),IF(_xlpm.s="","",_xlfn.CONCAT(_xlfn.UNICHAR(_xlpm.c-96*(_xlpm.c&gt;=12449)*(_xlpm.c&lt;=12534)))))</f>
        <v/>
      </c>
      <c r="D74" s="4" t="str" cm="1">
        <f t="array" ref="D74">_xlfn.LET(_xlpm.s,PHONETIC(B74),_xlpm.c,_xlfn.UNICODE(MID(_xlpm.s,_xlfn.SEQUENCE(LEN(_xlpm.s)),1)),IF(_xlpm.s="","",_xlfn.CONCAT(_xlfn.UNICHAR(_xlpm.c+96*(_xlpm.c&gt;=12353)*(_xlpm.c&lt;=12438)))))</f>
        <v/>
      </c>
      <c r="E74" s="129" t="str">
        <f t="shared" ca="1" si="110"/>
        <v/>
      </c>
      <c r="F74" s="130" t="str">
        <f t="shared" si="111"/>
        <v/>
      </c>
      <c r="G74" s="130" t="str">
        <f t="shared" si="112"/>
        <v/>
      </c>
      <c r="H74" s="130" t="str">
        <f t="shared" si="113"/>
        <v/>
      </c>
      <c r="I74" s="131" t="str">
        <f t="shared" si="114"/>
        <v/>
      </c>
      <c r="J74" s="132" t="str">
        <f t="shared" si="115"/>
        <v/>
      </c>
      <c r="K74" s="121" t="str">
        <f t="shared" si="116"/>
        <v/>
      </c>
      <c r="L74" s="129" t="str">
        <f t="shared" si="117"/>
        <v/>
      </c>
      <c r="M74" s="7" t="str">
        <f t="shared" si="118"/>
        <v/>
      </c>
      <c r="N74" s="133"/>
      <c r="O74" s="8"/>
      <c r="P74" s="5" t="str">
        <f t="shared" si="119"/>
        <v/>
      </c>
      <c r="Q74" s="121" t="str">
        <f t="shared" si="120"/>
        <v/>
      </c>
      <c r="R74" s="121" t="str">
        <f t="shared" si="121"/>
        <v/>
      </c>
      <c r="S74" s="7" t="str">
        <f t="shared" si="122"/>
        <v/>
      </c>
      <c r="T74" s="5"/>
      <c r="U74" s="5" t="str">
        <f t="shared" si="123"/>
        <v/>
      </c>
      <c r="V74" s="121" t="str">
        <f t="shared" si="124"/>
        <v/>
      </c>
      <c r="W74" s="121" t="str">
        <f t="shared" si="125"/>
        <v/>
      </c>
      <c r="X74" s="7" t="str">
        <f t="shared" si="126"/>
        <v/>
      </c>
      <c r="Y74" s="136"/>
      <c r="Z74" s="5" t="str">
        <f t="shared" si="127"/>
        <v/>
      </c>
      <c r="AA74" s="137" t="s">
        <v>183</v>
      </c>
      <c r="AB74" s="7" t="str">
        <f t="shared" si="128"/>
        <v/>
      </c>
      <c r="AC74" s="9"/>
      <c r="AD74" s="4"/>
      <c r="AE74" s="138" t="str">
        <f t="shared" si="129"/>
        <v/>
      </c>
      <c r="AF74" s="139" t="str">
        <f t="shared" si="130"/>
        <v/>
      </c>
      <c r="AG74" s="139" t="str">
        <f t="shared" si="131"/>
        <v/>
      </c>
      <c r="AH74" s="139" t="str">
        <f t="shared" si="132"/>
        <v/>
      </c>
      <c r="AI74" s="139" t="str">
        <f t="shared" si="133"/>
        <v/>
      </c>
      <c r="AJ74" s="140" t="str">
        <f t="shared" si="134"/>
        <v/>
      </c>
      <c r="AK74" s="8"/>
      <c r="AL74" s="8" t="str">
        <f>IF(AM74="","",IF(各種設定金額!$B$7="","○○県",各種設定金額!$B$7))</f>
        <v/>
      </c>
      <c r="AM74" s="4"/>
      <c r="AN74" s="4"/>
      <c r="AO74" s="141" t="str">
        <f t="shared" si="135"/>
        <v/>
      </c>
      <c r="AP74" s="10"/>
      <c r="AQ74" s="129"/>
      <c r="AR74" s="142" t="s">
        <v>182</v>
      </c>
      <c r="AS74" s="131" t="str">
        <f t="shared" si="136"/>
        <v/>
      </c>
      <c r="AT74" s="132" t="str">
        <f t="shared" si="137"/>
        <v/>
      </c>
      <c r="AU74" s="132" t="str">
        <f t="shared" si="138"/>
        <v/>
      </c>
      <c r="AV74" s="132" t="str">
        <f t="shared" si="139"/>
        <v/>
      </c>
      <c r="AW74" s="132" t="str">
        <f t="shared" si="140"/>
        <v/>
      </c>
      <c r="AX74" s="143" t="str">
        <f t="shared" si="141"/>
        <v/>
      </c>
      <c r="AY74" s="144"/>
      <c r="AZ74" s="8" t="str">
        <f>IF(BA74="","",IF(各種設定金額!$B$7="","○○県",各種設定金額!$B$7))</f>
        <v/>
      </c>
      <c r="BA74" s="6"/>
      <c r="BB74" s="4"/>
      <c r="BC74" s="141" t="str">
        <f t="shared" si="142"/>
        <v/>
      </c>
      <c r="BD74" s="10"/>
      <c r="BE74" s="129"/>
      <c r="BF74" s="145" t="s">
        <v>63</v>
      </c>
      <c r="BG74" s="131" t="str">
        <f t="shared" si="143"/>
        <v/>
      </c>
      <c r="BH74" s="132" t="str">
        <f t="shared" si="144"/>
        <v/>
      </c>
      <c r="BI74" s="132" t="str">
        <f t="shared" si="145"/>
        <v/>
      </c>
      <c r="BJ74" s="132" t="str">
        <f t="shared" si="146"/>
        <v/>
      </c>
      <c r="BK74" s="132" t="str">
        <f t="shared" si="147"/>
        <v/>
      </c>
      <c r="BL74" s="132" t="str">
        <f t="shared" si="148"/>
        <v/>
      </c>
      <c r="BM74" s="146"/>
      <c r="BN74" s="8" t="str">
        <f>IF(BO74="","",IF(各種設定金額!$B$7="","○○県",各種設定金額!$B$7))</f>
        <v/>
      </c>
      <c r="BO74" s="6"/>
      <c r="BP74" s="4"/>
      <c r="BQ74" s="141" t="str">
        <f t="shared" si="149"/>
        <v/>
      </c>
      <c r="BR74" s="10"/>
      <c r="BS74" s="129"/>
      <c r="BT74" s="145" t="s">
        <v>63</v>
      </c>
      <c r="BU74" s="131" t="str">
        <f t="shared" si="150"/>
        <v/>
      </c>
      <c r="BV74" s="132" t="str">
        <f t="shared" si="151"/>
        <v/>
      </c>
      <c r="BW74" s="132" t="str">
        <f t="shared" si="152"/>
        <v/>
      </c>
      <c r="BX74" s="132" t="str">
        <f t="shared" si="153"/>
        <v/>
      </c>
      <c r="BY74" s="132" t="str">
        <f t="shared" si="154"/>
        <v/>
      </c>
      <c r="BZ74" s="132" t="str">
        <f t="shared" si="155"/>
        <v/>
      </c>
      <c r="CA74" s="146"/>
      <c r="CB74" s="10" t="str">
        <f t="shared" si="156"/>
        <v/>
      </c>
      <c r="CC74" s="7" t="str">
        <f t="shared" si="157"/>
        <v/>
      </c>
      <c r="CD74" s="147"/>
      <c r="CE74" s="147"/>
      <c r="CF74" s="6"/>
      <c r="CG74" s="4"/>
      <c r="CH74" s="148">
        <f t="shared" ca="1" si="158"/>
        <v>2026</v>
      </c>
      <c r="CI74" s="121" t="str">
        <f t="shared" ca="1" si="159"/>
        <v>令和</v>
      </c>
      <c r="CJ74" s="122" t="str">
        <f t="shared" ca="1" si="160"/>
        <v>R</v>
      </c>
      <c r="CK74" s="122" t="str">
        <f t="shared" ca="1" si="161"/>
        <v>8</v>
      </c>
      <c r="CL74" s="122">
        <f t="shared" ca="1" si="162"/>
        <v>10</v>
      </c>
      <c r="CM74" s="149">
        <f t="shared" ca="1" si="163"/>
        <v>24</v>
      </c>
      <c r="CN74" s="1"/>
      <c r="CO74" s="150">
        <f t="shared" ca="1" si="164"/>
        <v>46319</v>
      </c>
    </row>
    <row r="75" spans="1:93" ht="20.100000000000001" customHeight="1" x14ac:dyDescent="0.15">
      <c r="A75" s="7" t="str">
        <f>IF(B75="","",ROW()-ROW(会員表[#Headers]))</f>
        <v/>
      </c>
      <c r="B75" s="4" ph="1"/>
      <c r="C75" s="4" t="str" cm="1">
        <f t="array" ref="C75">_xlfn.LET(_xlpm.s,PHONETIC(B75),_xlpm.c,_xlfn.UNICODE(MID(_xlpm.s,_xlfn.SEQUENCE(LEN(_xlpm.s)),1)),IF(_xlpm.s="","",_xlfn.CONCAT(_xlfn.UNICHAR(_xlpm.c-96*(_xlpm.c&gt;=12449)*(_xlpm.c&lt;=12534)))))</f>
        <v/>
      </c>
      <c r="D75" s="4" t="str" cm="1">
        <f t="array" ref="D75">_xlfn.LET(_xlpm.s,PHONETIC(B75),_xlpm.c,_xlfn.UNICODE(MID(_xlpm.s,_xlfn.SEQUENCE(LEN(_xlpm.s)),1)),IF(_xlpm.s="","",_xlfn.CONCAT(_xlfn.UNICHAR(_xlpm.c+96*(_xlpm.c&gt;=12353)*(_xlpm.c&lt;=12438)))))</f>
        <v/>
      </c>
      <c r="E75" s="129" t="str">
        <f t="shared" ca="1" si="110"/>
        <v/>
      </c>
      <c r="F75" s="130" t="str">
        <f t="shared" si="111"/>
        <v/>
      </c>
      <c r="G75" s="130" t="str">
        <f t="shared" si="112"/>
        <v/>
      </c>
      <c r="H75" s="130" t="str">
        <f t="shared" si="113"/>
        <v/>
      </c>
      <c r="I75" s="131" t="str">
        <f t="shared" si="114"/>
        <v/>
      </c>
      <c r="J75" s="132" t="str">
        <f t="shared" si="115"/>
        <v/>
      </c>
      <c r="K75" s="121" t="str">
        <f t="shared" si="116"/>
        <v/>
      </c>
      <c r="L75" s="129" t="str">
        <f t="shared" si="117"/>
        <v/>
      </c>
      <c r="M75" s="7" t="str">
        <f t="shared" si="118"/>
        <v/>
      </c>
      <c r="N75" s="133"/>
      <c r="O75" s="8"/>
      <c r="P75" s="5" t="str">
        <f t="shared" si="119"/>
        <v/>
      </c>
      <c r="Q75" s="121" t="str">
        <f t="shared" si="120"/>
        <v/>
      </c>
      <c r="R75" s="121" t="str">
        <f t="shared" si="121"/>
        <v/>
      </c>
      <c r="S75" s="7" t="str">
        <f t="shared" si="122"/>
        <v/>
      </c>
      <c r="T75" s="5"/>
      <c r="U75" s="5" t="str">
        <f t="shared" si="123"/>
        <v/>
      </c>
      <c r="V75" s="121" t="str">
        <f t="shared" si="124"/>
        <v/>
      </c>
      <c r="W75" s="121" t="str">
        <f t="shared" si="125"/>
        <v/>
      </c>
      <c r="X75" s="7" t="str">
        <f t="shared" si="126"/>
        <v/>
      </c>
      <c r="Y75" s="136"/>
      <c r="Z75" s="5" t="str">
        <f t="shared" si="127"/>
        <v/>
      </c>
      <c r="AA75" s="137" t="s">
        <v>183</v>
      </c>
      <c r="AB75" s="7" t="str">
        <f t="shared" si="128"/>
        <v/>
      </c>
      <c r="AC75" s="9"/>
      <c r="AD75" s="4"/>
      <c r="AE75" s="138" t="str">
        <f t="shared" si="129"/>
        <v/>
      </c>
      <c r="AF75" s="139" t="str">
        <f t="shared" si="130"/>
        <v/>
      </c>
      <c r="AG75" s="139" t="str">
        <f t="shared" si="131"/>
        <v/>
      </c>
      <c r="AH75" s="139" t="str">
        <f t="shared" si="132"/>
        <v/>
      </c>
      <c r="AI75" s="139" t="str">
        <f t="shared" si="133"/>
        <v/>
      </c>
      <c r="AJ75" s="140" t="str">
        <f t="shared" si="134"/>
        <v/>
      </c>
      <c r="AK75" s="8"/>
      <c r="AL75" s="8" t="str">
        <f>IF(AM75="","",IF(各種設定金額!$B$7="","○○県",各種設定金額!$B$7))</f>
        <v/>
      </c>
      <c r="AM75" s="4"/>
      <c r="AN75" s="4"/>
      <c r="AO75" s="141" t="str">
        <f t="shared" si="135"/>
        <v/>
      </c>
      <c r="AP75" s="10"/>
      <c r="AQ75" s="129"/>
      <c r="AR75" s="142" t="s">
        <v>182</v>
      </c>
      <c r="AS75" s="131" t="str">
        <f t="shared" si="136"/>
        <v/>
      </c>
      <c r="AT75" s="132" t="str">
        <f t="shared" si="137"/>
        <v/>
      </c>
      <c r="AU75" s="132" t="str">
        <f t="shared" si="138"/>
        <v/>
      </c>
      <c r="AV75" s="132" t="str">
        <f t="shared" si="139"/>
        <v/>
      </c>
      <c r="AW75" s="132" t="str">
        <f t="shared" si="140"/>
        <v/>
      </c>
      <c r="AX75" s="143" t="str">
        <f t="shared" si="141"/>
        <v/>
      </c>
      <c r="AY75" s="144"/>
      <c r="AZ75" s="8" t="str">
        <f>IF(BA75="","",IF(各種設定金額!$B$7="","○○県",各種設定金額!$B$7))</f>
        <v/>
      </c>
      <c r="BA75" s="6"/>
      <c r="BB75" s="4"/>
      <c r="BC75" s="141" t="str">
        <f t="shared" si="142"/>
        <v/>
      </c>
      <c r="BD75" s="10"/>
      <c r="BE75" s="129"/>
      <c r="BF75" s="145" t="s">
        <v>63</v>
      </c>
      <c r="BG75" s="131" t="str">
        <f t="shared" si="143"/>
        <v/>
      </c>
      <c r="BH75" s="132" t="str">
        <f t="shared" si="144"/>
        <v/>
      </c>
      <c r="BI75" s="132" t="str">
        <f t="shared" si="145"/>
        <v/>
      </c>
      <c r="BJ75" s="132" t="str">
        <f t="shared" si="146"/>
        <v/>
      </c>
      <c r="BK75" s="132" t="str">
        <f t="shared" si="147"/>
        <v/>
      </c>
      <c r="BL75" s="132" t="str">
        <f t="shared" si="148"/>
        <v/>
      </c>
      <c r="BM75" s="146"/>
      <c r="BN75" s="8" t="str">
        <f>IF(BO75="","",IF(各種設定金額!$B$7="","○○県",各種設定金額!$B$7))</f>
        <v/>
      </c>
      <c r="BO75" s="6"/>
      <c r="BP75" s="4"/>
      <c r="BQ75" s="141" t="str">
        <f t="shared" si="149"/>
        <v/>
      </c>
      <c r="BR75" s="10"/>
      <c r="BS75" s="129"/>
      <c r="BT75" s="145" t="s">
        <v>63</v>
      </c>
      <c r="BU75" s="131" t="str">
        <f t="shared" si="150"/>
        <v/>
      </c>
      <c r="BV75" s="132" t="str">
        <f t="shared" si="151"/>
        <v/>
      </c>
      <c r="BW75" s="132" t="str">
        <f t="shared" si="152"/>
        <v/>
      </c>
      <c r="BX75" s="132" t="str">
        <f t="shared" si="153"/>
        <v/>
      </c>
      <c r="BY75" s="132" t="str">
        <f t="shared" si="154"/>
        <v/>
      </c>
      <c r="BZ75" s="132" t="str">
        <f t="shared" si="155"/>
        <v/>
      </c>
      <c r="CA75" s="146"/>
      <c r="CB75" s="10" t="str">
        <f t="shared" si="156"/>
        <v/>
      </c>
      <c r="CC75" s="7" t="str">
        <f t="shared" si="157"/>
        <v/>
      </c>
      <c r="CD75" s="147"/>
      <c r="CE75" s="147"/>
      <c r="CF75" s="6"/>
      <c r="CG75" s="4"/>
      <c r="CH75" s="148">
        <f t="shared" ca="1" si="158"/>
        <v>2026</v>
      </c>
      <c r="CI75" s="121" t="str">
        <f t="shared" ca="1" si="159"/>
        <v>令和</v>
      </c>
      <c r="CJ75" s="122" t="str">
        <f t="shared" ca="1" si="160"/>
        <v>R</v>
      </c>
      <c r="CK75" s="122" t="str">
        <f t="shared" ca="1" si="161"/>
        <v>8</v>
      </c>
      <c r="CL75" s="122">
        <f t="shared" ca="1" si="162"/>
        <v>10</v>
      </c>
      <c r="CM75" s="149">
        <f t="shared" ca="1" si="163"/>
        <v>24</v>
      </c>
      <c r="CN75" s="1"/>
      <c r="CO75" s="150">
        <f t="shared" ca="1" si="164"/>
        <v>46319</v>
      </c>
    </row>
    <row r="76" spans="1:93" ht="20.100000000000001" customHeight="1" x14ac:dyDescent="0.15">
      <c r="A76" s="7" t="str">
        <f>IF(B76="","",ROW()-ROW(会員表[#Headers]))</f>
        <v/>
      </c>
      <c r="B76" s="4" ph="1"/>
      <c r="C76" s="4" t="str" cm="1">
        <f t="array" ref="C76">_xlfn.LET(_xlpm.s,PHONETIC(B76),_xlpm.c,_xlfn.UNICODE(MID(_xlpm.s,_xlfn.SEQUENCE(LEN(_xlpm.s)),1)),IF(_xlpm.s="","",_xlfn.CONCAT(_xlfn.UNICHAR(_xlpm.c-96*(_xlpm.c&gt;=12449)*(_xlpm.c&lt;=12534)))))</f>
        <v/>
      </c>
      <c r="D76" s="4" t="str" cm="1">
        <f t="array" ref="D76">_xlfn.LET(_xlpm.s,PHONETIC(B76),_xlpm.c,_xlfn.UNICODE(MID(_xlpm.s,_xlfn.SEQUENCE(LEN(_xlpm.s)),1)),IF(_xlpm.s="","",_xlfn.CONCAT(_xlfn.UNICHAR(_xlpm.c+96*(_xlpm.c&gt;=12353)*(_xlpm.c&lt;=12438)))))</f>
        <v/>
      </c>
      <c r="E76" s="129" t="str">
        <f t="shared" ca="1" si="110"/>
        <v/>
      </c>
      <c r="F76" s="130" t="str">
        <f t="shared" si="111"/>
        <v/>
      </c>
      <c r="G76" s="130" t="str">
        <f t="shared" si="112"/>
        <v/>
      </c>
      <c r="H76" s="130" t="str">
        <f t="shared" si="113"/>
        <v/>
      </c>
      <c r="I76" s="131" t="str">
        <f t="shared" si="114"/>
        <v/>
      </c>
      <c r="J76" s="132" t="str">
        <f t="shared" si="115"/>
        <v/>
      </c>
      <c r="K76" s="121" t="str">
        <f t="shared" si="116"/>
        <v/>
      </c>
      <c r="L76" s="129" t="str">
        <f t="shared" si="117"/>
        <v/>
      </c>
      <c r="M76" s="7" t="str">
        <f t="shared" si="118"/>
        <v/>
      </c>
      <c r="N76" s="133"/>
      <c r="O76" s="8"/>
      <c r="P76" s="5" t="str">
        <f t="shared" si="119"/>
        <v/>
      </c>
      <c r="Q76" s="121" t="str">
        <f t="shared" si="120"/>
        <v/>
      </c>
      <c r="R76" s="121" t="str">
        <f t="shared" si="121"/>
        <v/>
      </c>
      <c r="S76" s="7" t="str">
        <f t="shared" si="122"/>
        <v/>
      </c>
      <c r="T76" s="5"/>
      <c r="U76" s="5" t="str">
        <f t="shared" si="123"/>
        <v/>
      </c>
      <c r="V76" s="121" t="str">
        <f t="shared" si="124"/>
        <v/>
      </c>
      <c r="W76" s="121" t="str">
        <f t="shared" si="125"/>
        <v/>
      </c>
      <c r="X76" s="7" t="str">
        <f t="shared" si="126"/>
        <v/>
      </c>
      <c r="Y76" s="136"/>
      <c r="Z76" s="5" t="str">
        <f t="shared" si="127"/>
        <v/>
      </c>
      <c r="AA76" s="137" t="s">
        <v>183</v>
      </c>
      <c r="AB76" s="7" t="str">
        <f t="shared" si="128"/>
        <v/>
      </c>
      <c r="AC76" s="9"/>
      <c r="AD76" s="4"/>
      <c r="AE76" s="138" t="str">
        <f t="shared" si="129"/>
        <v/>
      </c>
      <c r="AF76" s="139" t="str">
        <f t="shared" si="130"/>
        <v/>
      </c>
      <c r="AG76" s="139" t="str">
        <f t="shared" si="131"/>
        <v/>
      </c>
      <c r="AH76" s="139" t="str">
        <f t="shared" si="132"/>
        <v/>
      </c>
      <c r="AI76" s="139" t="str">
        <f t="shared" si="133"/>
        <v/>
      </c>
      <c r="AJ76" s="140" t="str">
        <f t="shared" si="134"/>
        <v/>
      </c>
      <c r="AK76" s="8"/>
      <c r="AL76" s="8" t="str">
        <f>IF(AM76="","",IF(各種設定金額!$B$7="","○○県",各種設定金額!$B$7))</f>
        <v/>
      </c>
      <c r="AM76" s="4"/>
      <c r="AN76" s="4"/>
      <c r="AO76" s="141" t="str">
        <f t="shared" si="135"/>
        <v/>
      </c>
      <c r="AP76" s="10"/>
      <c r="AQ76" s="129"/>
      <c r="AR76" s="142" t="s">
        <v>182</v>
      </c>
      <c r="AS76" s="131" t="str">
        <f t="shared" si="136"/>
        <v/>
      </c>
      <c r="AT76" s="132" t="str">
        <f t="shared" si="137"/>
        <v/>
      </c>
      <c r="AU76" s="132" t="str">
        <f t="shared" si="138"/>
        <v/>
      </c>
      <c r="AV76" s="132" t="str">
        <f t="shared" si="139"/>
        <v/>
      </c>
      <c r="AW76" s="132" t="str">
        <f t="shared" si="140"/>
        <v/>
      </c>
      <c r="AX76" s="143" t="str">
        <f t="shared" si="141"/>
        <v/>
      </c>
      <c r="AY76" s="144"/>
      <c r="AZ76" s="8" t="str">
        <f>IF(BA76="","",IF(各種設定金額!$B$7="","○○県",各種設定金額!$B$7))</f>
        <v/>
      </c>
      <c r="BA76" s="6"/>
      <c r="BB76" s="4"/>
      <c r="BC76" s="141" t="str">
        <f t="shared" si="142"/>
        <v/>
      </c>
      <c r="BD76" s="10"/>
      <c r="BE76" s="129"/>
      <c r="BF76" s="145" t="s">
        <v>63</v>
      </c>
      <c r="BG76" s="131" t="str">
        <f t="shared" si="143"/>
        <v/>
      </c>
      <c r="BH76" s="132" t="str">
        <f t="shared" si="144"/>
        <v/>
      </c>
      <c r="BI76" s="132" t="str">
        <f t="shared" si="145"/>
        <v/>
      </c>
      <c r="BJ76" s="132" t="str">
        <f t="shared" si="146"/>
        <v/>
      </c>
      <c r="BK76" s="132" t="str">
        <f t="shared" si="147"/>
        <v/>
      </c>
      <c r="BL76" s="132" t="str">
        <f t="shared" si="148"/>
        <v/>
      </c>
      <c r="BM76" s="146"/>
      <c r="BN76" s="8" t="str">
        <f>IF(BO76="","",IF(各種設定金額!$B$7="","○○県",各種設定金額!$B$7))</f>
        <v/>
      </c>
      <c r="BO76" s="6"/>
      <c r="BP76" s="4"/>
      <c r="BQ76" s="141" t="str">
        <f t="shared" si="149"/>
        <v/>
      </c>
      <c r="BR76" s="10"/>
      <c r="BS76" s="129"/>
      <c r="BT76" s="145" t="s">
        <v>63</v>
      </c>
      <c r="BU76" s="131" t="str">
        <f t="shared" si="150"/>
        <v/>
      </c>
      <c r="BV76" s="132" t="str">
        <f t="shared" si="151"/>
        <v/>
      </c>
      <c r="BW76" s="132" t="str">
        <f t="shared" si="152"/>
        <v/>
      </c>
      <c r="BX76" s="132" t="str">
        <f t="shared" si="153"/>
        <v/>
      </c>
      <c r="BY76" s="132" t="str">
        <f t="shared" si="154"/>
        <v/>
      </c>
      <c r="BZ76" s="132" t="str">
        <f t="shared" si="155"/>
        <v/>
      </c>
      <c r="CA76" s="146"/>
      <c r="CB76" s="10" t="str">
        <f t="shared" si="156"/>
        <v/>
      </c>
      <c r="CC76" s="7" t="str">
        <f t="shared" si="157"/>
        <v/>
      </c>
      <c r="CD76" s="147"/>
      <c r="CE76" s="147"/>
      <c r="CF76" s="6"/>
      <c r="CG76" s="4"/>
      <c r="CH76" s="148">
        <f t="shared" ca="1" si="158"/>
        <v>2026</v>
      </c>
      <c r="CI76" s="121" t="str">
        <f t="shared" ca="1" si="159"/>
        <v>令和</v>
      </c>
      <c r="CJ76" s="122" t="str">
        <f t="shared" ca="1" si="160"/>
        <v>R</v>
      </c>
      <c r="CK76" s="122" t="str">
        <f t="shared" ca="1" si="161"/>
        <v>8</v>
      </c>
      <c r="CL76" s="122">
        <f t="shared" ca="1" si="162"/>
        <v>10</v>
      </c>
      <c r="CM76" s="149">
        <f t="shared" ca="1" si="163"/>
        <v>24</v>
      </c>
      <c r="CN76" s="1"/>
      <c r="CO76" s="150">
        <f t="shared" ca="1" si="164"/>
        <v>46319</v>
      </c>
    </row>
    <row r="77" spans="1:93" ht="20.100000000000001" customHeight="1" x14ac:dyDescent="0.15">
      <c r="A77" s="7" t="str">
        <f>IF(B77="","",ROW()-ROW(会員表[#Headers]))</f>
        <v/>
      </c>
      <c r="B77" s="4" ph="1"/>
      <c r="C77" s="4" t="str" cm="1">
        <f t="array" ref="C77">_xlfn.LET(_xlpm.s,PHONETIC(B77),_xlpm.c,_xlfn.UNICODE(MID(_xlpm.s,_xlfn.SEQUENCE(LEN(_xlpm.s)),1)),IF(_xlpm.s="","",_xlfn.CONCAT(_xlfn.UNICHAR(_xlpm.c-96*(_xlpm.c&gt;=12449)*(_xlpm.c&lt;=12534)))))</f>
        <v/>
      </c>
      <c r="D77" s="4" t="str" cm="1">
        <f t="array" ref="D77">_xlfn.LET(_xlpm.s,PHONETIC(B77),_xlpm.c,_xlfn.UNICODE(MID(_xlpm.s,_xlfn.SEQUENCE(LEN(_xlpm.s)),1)),IF(_xlpm.s="","",_xlfn.CONCAT(_xlfn.UNICHAR(_xlpm.c+96*(_xlpm.c&gt;=12353)*(_xlpm.c&lt;=12438)))))</f>
        <v/>
      </c>
      <c r="E77" s="129" t="str">
        <f t="shared" ca="1" si="110"/>
        <v/>
      </c>
      <c r="F77" s="130" t="str">
        <f t="shared" si="111"/>
        <v/>
      </c>
      <c r="G77" s="130" t="str">
        <f t="shared" si="112"/>
        <v/>
      </c>
      <c r="H77" s="130" t="str">
        <f t="shared" si="113"/>
        <v/>
      </c>
      <c r="I77" s="131" t="str">
        <f t="shared" si="114"/>
        <v/>
      </c>
      <c r="J77" s="132" t="str">
        <f t="shared" si="115"/>
        <v/>
      </c>
      <c r="K77" s="121" t="str">
        <f t="shared" si="116"/>
        <v/>
      </c>
      <c r="L77" s="129" t="str">
        <f t="shared" si="117"/>
        <v/>
      </c>
      <c r="M77" s="7" t="str">
        <f t="shared" si="118"/>
        <v/>
      </c>
      <c r="N77" s="133"/>
      <c r="O77" s="8"/>
      <c r="P77" s="5" t="str">
        <f t="shared" si="119"/>
        <v/>
      </c>
      <c r="Q77" s="121" t="str">
        <f t="shared" si="120"/>
        <v/>
      </c>
      <c r="R77" s="121" t="str">
        <f t="shared" si="121"/>
        <v/>
      </c>
      <c r="S77" s="7" t="str">
        <f t="shared" si="122"/>
        <v/>
      </c>
      <c r="T77" s="5"/>
      <c r="U77" s="5" t="str">
        <f t="shared" si="123"/>
        <v/>
      </c>
      <c r="V77" s="121" t="str">
        <f t="shared" si="124"/>
        <v/>
      </c>
      <c r="W77" s="121" t="str">
        <f t="shared" si="125"/>
        <v/>
      </c>
      <c r="X77" s="7" t="str">
        <f t="shared" si="126"/>
        <v/>
      </c>
      <c r="Y77" s="136"/>
      <c r="Z77" s="5" t="str">
        <f t="shared" si="127"/>
        <v/>
      </c>
      <c r="AA77" s="137" t="s">
        <v>183</v>
      </c>
      <c r="AB77" s="7" t="str">
        <f t="shared" si="128"/>
        <v/>
      </c>
      <c r="AC77" s="9"/>
      <c r="AD77" s="4"/>
      <c r="AE77" s="138" t="str">
        <f t="shared" si="129"/>
        <v/>
      </c>
      <c r="AF77" s="139" t="str">
        <f t="shared" si="130"/>
        <v/>
      </c>
      <c r="AG77" s="139" t="str">
        <f t="shared" si="131"/>
        <v/>
      </c>
      <c r="AH77" s="139" t="str">
        <f t="shared" si="132"/>
        <v/>
      </c>
      <c r="AI77" s="139" t="str">
        <f t="shared" si="133"/>
        <v/>
      </c>
      <c r="AJ77" s="140" t="str">
        <f t="shared" si="134"/>
        <v/>
      </c>
      <c r="AK77" s="8"/>
      <c r="AL77" s="8" t="str">
        <f>IF(AM77="","",IF(各種設定金額!$B$7="","○○県",各種設定金額!$B$7))</f>
        <v/>
      </c>
      <c r="AM77" s="4"/>
      <c r="AN77" s="4"/>
      <c r="AO77" s="141" t="str">
        <f t="shared" si="135"/>
        <v/>
      </c>
      <c r="AP77" s="10"/>
      <c r="AQ77" s="129"/>
      <c r="AR77" s="142" t="s">
        <v>182</v>
      </c>
      <c r="AS77" s="131" t="str">
        <f t="shared" si="136"/>
        <v/>
      </c>
      <c r="AT77" s="132" t="str">
        <f t="shared" si="137"/>
        <v/>
      </c>
      <c r="AU77" s="132" t="str">
        <f t="shared" si="138"/>
        <v/>
      </c>
      <c r="AV77" s="132" t="str">
        <f t="shared" si="139"/>
        <v/>
      </c>
      <c r="AW77" s="132" t="str">
        <f t="shared" si="140"/>
        <v/>
      </c>
      <c r="AX77" s="143" t="str">
        <f t="shared" si="141"/>
        <v/>
      </c>
      <c r="AY77" s="144"/>
      <c r="AZ77" s="8" t="str">
        <f>IF(BA77="","",IF(各種設定金額!$B$7="","○○県",各種設定金額!$B$7))</f>
        <v/>
      </c>
      <c r="BA77" s="6"/>
      <c r="BB77" s="4"/>
      <c r="BC77" s="141" t="str">
        <f t="shared" si="142"/>
        <v/>
      </c>
      <c r="BD77" s="10"/>
      <c r="BE77" s="129"/>
      <c r="BF77" s="145" t="s">
        <v>63</v>
      </c>
      <c r="BG77" s="131" t="str">
        <f t="shared" si="143"/>
        <v/>
      </c>
      <c r="BH77" s="132" t="str">
        <f t="shared" si="144"/>
        <v/>
      </c>
      <c r="BI77" s="132" t="str">
        <f t="shared" si="145"/>
        <v/>
      </c>
      <c r="BJ77" s="132" t="str">
        <f t="shared" si="146"/>
        <v/>
      </c>
      <c r="BK77" s="132" t="str">
        <f t="shared" si="147"/>
        <v/>
      </c>
      <c r="BL77" s="132" t="str">
        <f t="shared" si="148"/>
        <v/>
      </c>
      <c r="BM77" s="146"/>
      <c r="BN77" s="8" t="str">
        <f>IF(BO77="","",IF(各種設定金額!$B$7="","○○県",各種設定金額!$B$7))</f>
        <v/>
      </c>
      <c r="BO77" s="6"/>
      <c r="BP77" s="4"/>
      <c r="BQ77" s="141" t="str">
        <f t="shared" si="149"/>
        <v/>
      </c>
      <c r="BR77" s="10"/>
      <c r="BS77" s="129"/>
      <c r="BT77" s="145" t="s">
        <v>63</v>
      </c>
      <c r="BU77" s="131" t="str">
        <f t="shared" si="150"/>
        <v/>
      </c>
      <c r="BV77" s="132" t="str">
        <f t="shared" si="151"/>
        <v/>
      </c>
      <c r="BW77" s="132" t="str">
        <f t="shared" si="152"/>
        <v/>
      </c>
      <c r="BX77" s="132" t="str">
        <f t="shared" si="153"/>
        <v/>
      </c>
      <c r="BY77" s="132" t="str">
        <f t="shared" si="154"/>
        <v/>
      </c>
      <c r="BZ77" s="132" t="str">
        <f t="shared" si="155"/>
        <v/>
      </c>
      <c r="CA77" s="146"/>
      <c r="CB77" s="10" t="str">
        <f t="shared" si="156"/>
        <v/>
      </c>
      <c r="CC77" s="7" t="str">
        <f t="shared" si="157"/>
        <v/>
      </c>
      <c r="CD77" s="147"/>
      <c r="CE77" s="147"/>
      <c r="CF77" s="6"/>
      <c r="CG77" s="4"/>
      <c r="CH77" s="148">
        <f t="shared" ca="1" si="158"/>
        <v>2026</v>
      </c>
      <c r="CI77" s="121" t="str">
        <f t="shared" ca="1" si="159"/>
        <v>令和</v>
      </c>
      <c r="CJ77" s="122" t="str">
        <f t="shared" ca="1" si="160"/>
        <v>R</v>
      </c>
      <c r="CK77" s="122" t="str">
        <f t="shared" ca="1" si="161"/>
        <v>8</v>
      </c>
      <c r="CL77" s="122">
        <f t="shared" ca="1" si="162"/>
        <v>10</v>
      </c>
      <c r="CM77" s="149">
        <f t="shared" ca="1" si="163"/>
        <v>24</v>
      </c>
      <c r="CN77" s="1"/>
      <c r="CO77" s="150">
        <f t="shared" ca="1" si="164"/>
        <v>46319</v>
      </c>
    </row>
    <row r="78" spans="1:93" ht="20.100000000000001" customHeight="1" x14ac:dyDescent="0.15">
      <c r="A78" s="7" t="str">
        <f>IF(B78="","",ROW()-ROW(会員表[#Headers]))</f>
        <v/>
      </c>
      <c r="B78" s="4" ph="1"/>
      <c r="C78" s="4" t="str" cm="1">
        <f t="array" ref="C78">_xlfn.LET(_xlpm.s,PHONETIC(B78),_xlpm.c,_xlfn.UNICODE(MID(_xlpm.s,_xlfn.SEQUENCE(LEN(_xlpm.s)),1)),IF(_xlpm.s="","",_xlfn.CONCAT(_xlfn.UNICHAR(_xlpm.c-96*(_xlpm.c&gt;=12449)*(_xlpm.c&lt;=12534)))))</f>
        <v/>
      </c>
      <c r="D78" s="4" t="str" cm="1">
        <f t="array" ref="D78">_xlfn.LET(_xlpm.s,PHONETIC(B78),_xlpm.c,_xlfn.UNICODE(MID(_xlpm.s,_xlfn.SEQUENCE(LEN(_xlpm.s)),1)),IF(_xlpm.s="","",_xlfn.CONCAT(_xlfn.UNICHAR(_xlpm.c+96*(_xlpm.c&gt;=12353)*(_xlpm.c&lt;=12438)))))</f>
        <v/>
      </c>
      <c r="E78" s="129" t="str">
        <f t="shared" ca="1" si="110"/>
        <v/>
      </c>
      <c r="F78" s="130" t="str">
        <f t="shared" si="111"/>
        <v/>
      </c>
      <c r="G78" s="130" t="str">
        <f t="shared" si="112"/>
        <v/>
      </c>
      <c r="H78" s="130" t="str">
        <f t="shared" si="113"/>
        <v/>
      </c>
      <c r="I78" s="131" t="str">
        <f t="shared" si="114"/>
        <v/>
      </c>
      <c r="J78" s="132" t="str">
        <f t="shared" si="115"/>
        <v/>
      </c>
      <c r="K78" s="121" t="str">
        <f t="shared" si="116"/>
        <v/>
      </c>
      <c r="L78" s="129" t="str">
        <f t="shared" si="117"/>
        <v/>
      </c>
      <c r="M78" s="7" t="str">
        <f t="shared" si="118"/>
        <v/>
      </c>
      <c r="N78" s="133"/>
      <c r="O78" s="8"/>
      <c r="P78" s="5" t="str">
        <f t="shared" si="119"/>
        <v/>
      </c>
      <c r="Q78" s="121" t="str">
        <f t="shared" si="120"/>
        <v/>
      </c>
      <c r="R78" s="121" t="str">
        <f t="shared" si="121"/>
        <v/>
      </c>
      <c r="S78" s="7" t="str">
        <f t="shared" si="122"/>
        <v/>
      </c>
      <c r="T78" s="5"/>
      <c r="U78" s="5" t="str">
        <f t="shared" si="123"/>
        <v/>
      </c>
      <c r="V78" s="121" t="str">
        <f t="shared" si="124"/>
        <v/>
      </c>
      <c r="W78" s="121" t="str">
        <f t="shared" si="125"/>
        <v/>
      </c>
      <c r="X78" s="7" t="str">
        <f t="shared" si="126"/>
        <v/>
      </c>
      <c r="Y78" s="136"/>
      <c r="Z78" s="5" t="str">
        <f t="shared" si="127"/>
        <v/>
      </c>
      <c r="AA78" s="137" t="s">
        <v>183</v>
      </c>
      <c r="AB78" s="7" t="str">
        <f t="shared" si="128"/>
        <v/>
      </c>
      <c r="AC78" s="9"/>
      <c r="AD78" s="4"/>
      <c r="AE78" s="138" t="str">
        <f t="shared" si="129"/>
        <v/>
      </c>
      <c r="AF78" s="139" t="str">
        <f t="shared" si="130"/>
        <v/>
      </c>
      <c r="AG78" s="139" t="str">
        <f t="shared" si="131"/>
        <v/>
      </c>
      <c r="AH78" s="139" t="str">
        <f t="shared" si="132"/>
        <v/>
      </c>
      <c r="AI78" s="139" t="str">
        <f t="shared" si="133"/>
        <v/>
      </c>
      <c r="AJ78" s="140" t="str">
        <f t="shared" si="134"/>
        <v/>
      </c>
      <c r="AK78" s="8"/>
      <c r="AL78" s="8" t="str">
        <f>IF(AM78="","",IF(各種設定金額!$B$7="","○○県",各種設定金額!$B$7))</f>
        <v/>
      </c>
      <c r="AM78" s="4"/>
      <c r="AN78" s="4"/>
      <c r="AO78" s="141" t="str">
        <f t="shared" si="135"/>
        <v/>
      </c>
      <c r="AP78" s="10"/>
      <c r="AQ78" s="129"/>
      <c r="AR78" s="142" t="s">
        <v>182</v>
      </c>
      <c r="AS78" s="131" t="str">
        <f t="shared" si="136"/>
        <v/>
      </c>
      <c r="AT78" s="132" t="str">
        <f t="shared" si="137"/>
        <v/>
      </c>
      <c r="AU78" s="132" t="str">
        <f t="shared" si="138"/>
        <v/>
      </c>
      <c r="AV78" s="132" t="str">
        <f t="shared" si="139"/>
        <v/>
      </c>
      <c r="AW78" s="132" t="str">
        <f t="shared" si="140"/>
        <v/>
      </c>
      <c r="AX78" s="143" t="str">
        <f t="shared" si="141"/>
        <v/>
      </c>
      <c r="AY78" s="144"/>
      <c r="AZ78" s="8" t="str">
        <f>IF(BA78="","",IF(各種設定金額!$B$7="","○○県",各種設定金額!$B$7))</f>
        <v/>
      </c>
      <c r="BA78" s="6"/>
      <c r="BB78" s="4"/>
      <c r="BC78" s="141" t="str">
        <f t="shared" si="142"/>
        <v/>
      </c>
      <c r="BD78" s="10"/>
      <c r="BE78" s="129"/>
      <c r="BF78" s="145" t="s">
        <v>63</v>
      </c>
      <c r="BG78" s="131" t="str">
        <f t="shared" si="143"/>
        <v/>
      </c>
      <c r="BH78" s="132" t="str">
        <f t="shared" si="144"/>
        <v/>
      </c>
      <c r="BI78" s="132" t="str">
        <f t="shared" si="145"/>
        <v/>
      </c>
      <c r="BJ78" s="132" t="str">
        <f t="shared" si="146"/>
        <v/>
      </c>
      <c r="BK78" s="132" t="str">
        <f t="shared" si="147"/>
        <v/>
      </c>
      <c r="BL78" s="132" t="str">
        <f t="shared" si="148"/>
        <v/>
      </c>
      <c r="BM78" s="146"/>
      <c r="BN78" s="8" t="str">
        <f>IF(BO78="","",IF(各種設定金額!$B$7="","○○県",各種設定金額!$B$7))</f>
        <v/>
      </c>
      <c r="BO78" s="6"/>
      <c r="BP78" s="4"/>
      <c r="BQ78" s="141" t="str">
        <f t="shared" si="149"/>
        <v/>
      </c>
      <c r="BR78" s="10"/>
      <c r="BS78" s="129"/>
      <c r="BT78" s="145" t="s">
        <v>63</v>
      </c>
      <c r="BU78" s="131" t="str">
        <f t="shared" si="150"/>
        <v/>
      </c>
      <c r="BV78" s="132" t="str">
        <f t="shared" si="151"/>
        <v/>
      </c>
      <c r="BW78" s="132" t="str">
        <f t="shared" si="152"/>
        <v/>
      </c>
      <c r="BX78" s="132" t="str">
        <f t="shared" si="153"/>
        <v/>
      </c>
      <c r="BY78" s="132" t="str">
        <f t="shared" si="154"/>
        <v/>
      </c>
      <c r="BZ78" s="132" t="str">
        <f t="shared" si="155"/>
        <v/>
      </c>
      <c r="CA78" s="146"/>
      <c r="CB78" s="10" t="str">
        <f t="shared" si="156"/>
        <v/>
      </c>
      <c r="CC78" s="7" t="str">
        <f t="shared" si="157"/>
        <v/>
      </c>
      <c r="CD78" s="147"/>
      <c r="CE78" s="147"/>
      <c r="CF78" s="6"/>
      <c r="CG78" s="4"/>
      <c r="CH78" s="148">
        <f t="shared" ca="1" si="158"/>
        <v>2026</v>
      </c>
      <c r="CI78" s="121" t="str">
        <f t="shared" ca="1" si="159"/>
        <v>令和</v>
      </c>
      <c r="CJ78" s="122" t="str">
        <f t="shared" ca="1" si="160"/>
        <v>R</v>
      </c>
      <c r="CK78" s="122" t="str">
        <f t="shared" ca="1" si="161"/>
        <v>8</v>
      </c>
      <c r="CL78" s="122">
        <f t="shared" ca="1" si="162"/>
        <v>10</v>
      </c>
      <c r="CM78" s="149">
        <f t="shared" ca="1" si="163"/>
        <v>24</v>
      </c>
      <c r="CN78" s="1"/>
      <c r="CO78" s="150">
        <f t="shared" ca="1" si="164"/>
        <v>46319</v>
      </c>
    </row>
    <row r="79" spans="1:93" ht="20.100000000000001" customHeight="1" x14ac:dyDescent="0.15">
      <c r="A79" s="7" t="str">
        <f>IF(B79="","",ROW()-ROW(会員表[#Headers]))</f>
        <v/>
      </c>
      <c r="B79" s="4" ph="1"/>
      <c r="C79" s="4" t="str" cm="1">
        <f t="array" ref="C79">_xlfn.LET(_xlpm.s,PHONETIC(B79),_xlpm.c,_xlfn.UNICODE(MID(_xlpm.s,_xlfn.SEQUENCE(LEN(_xlpm.s)),1)),IF(_xlpm.s="","",_xlfn.CONCAT(_xlfn.UNICHAR(_xlpm.c-96*(_xlpm.c&gt;=12449)*(_xlpm.c&lt;=12534)))))</f>
        <v/>
      </c>
      <c r="D79" s="4" t="str" cm="1">
        <f t="array" ref="D79">_xlfn.LET(_xlpm.s,PHONETIC(B79),_xlpm.c,_xlfn.UNICODE(MID(_xlpm.s,_xlfn.SEQUENCE(LEN(_xlpm.s)),1)),IF(_xlpm.s="","",_xlfn.CONCAT(_xlfn.UNICHAR(_xlpm.c+96*(_xlpm.c&gt;=12353)*(_xlpm.c&lt;=12438)))))</f>
        <v/>
      </c>
      <c r="E79" s="129" t="str">
        <f t="shared" ca="1" si="110"/>
        <v/>
      </c>
      <c r="F79" s="130" t="str">
        <f t="shared" si="111"/>
        <v/>
      </c>
      <c r="G79" s="130" t="str">
        <f t="shared" si="112"/>
        <v/>
      </c>
      <c r="H79" s="130" t="str">
        <f t="shared" si="113"/>
        <v/>
      </c>
      <c r="I79" s="131" t="str">
        <f t="shared" si="114"/>
        <v/>
      </c>
      <c r="J79" s="132" t="str">
        <f t="shared" si="115"/>
        <v/>
      </c>
      <c r="K79" s="121" t="str">
        <f t="shared" si="116"/>
        <v/>
      </c>
      <c r="L79" s="129" t="str">
        <f t="shared" si="117"/>
        <v/>
      </c>
      <c r="M79" s="7" t="str">
        <f t="shared" si="118"/>
        <v/>
      </c>
      <c r="N79" s="133"/>
      <c r="O79" s="8"/>
      <c r="P79" s="5" t="str">
        <f t="shared" si="119"/>
        <v/>
      </c>
      <c r="Q79" s="121" t="str">
        <f t="shared" si="120"/>
        <v/>
      </c>
      <c r="R79" s="121" t="str">
        <f t="shared" si="121"/>
        <v/>
      </c>
      <c r="S79" s="7" t="str">
        <f t="shared" si="122"/>
        <v/>
      </c>
      <c r="T79" s="5"/>
      <c r="U79" s="5" t="str">
        <f t="shared" si="123"/>
        <v/>
      </c>
      <c r="V79" s="121" t="str">
        <f t="shared" si="124"/>
        <v/>
      </c>
      <c r="W79" s="121" t="str">
        <f t="shared" si="125"/>
        <v/>
      </c>
      <c r="X79" s="7" t="str">
        <f t="shared" si="126"/>
        <v/>
      </c>
      <c r="Y79" s="136"/>
      <c r="Z79" s="5" t="str">
        <f t="shared" si="127"/>
        <v/>
      </c>
      <c r="AA79" s="137" t="s">
        <v>183</v>
      </c>
      <c r="AB79" s="7" t="str">
        <f t="shared" si="128"/>
        <v/>
      </c>
      <c r="AC79" s="9"/>
      <c r="AD79" s="4"/>
      <c r="AE79" s="138" t="str">
        <f t="shared" si="129"/>
        <v/>
      </c>
      <c r="AF79" s="139" t="str">
        <f t="shared" si="130"/>
        <v/>
      </c>
      <c r="AG79" s="139" t="str">
        <f t="shared" si="131"/>
        <v/>
      </c>
      <c r="AH79" s="139" t="str">
        <f t="shared" si="132"/>
        <v/>
      </c>
      <c r="AI79" s="139" t="str">
        <f t="shared" si="133"/>
        <v/>
      </c>
      <c r="AJ79" s="140" t="str">
        <f t="shared" si="134"/>
        <v/>
      </c>
      <c r="AK79" s="8"/>
      <c r="AL79" s="8" t="str">
        <f>IF(AM79="","",IF(各種設定金額!$B$7="","○○県",各種設定金額!$B$7))</f>
        <v/>
      </c>
      <c r="AM79" s="4"/>
      <c r="AN79" s="4"/>
      <c r="AO79" s="141" t="str">
        <f t="shared" si="135"/>
        <v/>
      </c>
      <c r="AP79" s="10"/>
      <c r="AQ79" s="129"/>
      <c r="AR79" s="142" t="s">
        <v>182</v>
      </c>
      <c r="AS79" s="131" t="str">
        <f t="shared" si="136"/>
        <v/>
      </c>
      <c r="AT79" s="132" t="str">
        <f t="shared" si="137"/>
        <v/>
      </c>
      <c r="AU79" s="132" t="str">
        <f t="shared" si="138"/>
        <v/>
      </c>
      <c r="AV79" s="132" t="str">
        <f t="shared" si="139"/>
        <v/>
      </c>
      <c r="AW79" s="132" t="str">
        <f t="shared" si="140"/>
        <v/>
      </c>
      <c r="AX79" s="143" t="str">
        <f t="shared" si="141"/>
        <v/>
      </c>
      <c r="AY79" s="144"/>
      <c r="AZ79" s="8" t="str">
        <f>IF(BA79="","",IF(各種設定金額!$B$7="","○○県",各種設定金額!$B$7))</f>
        <v/>
      </c>
      <c r="BA79" s="6"/>
      <c r="BB79" s="4"/>
      <c r="BC79" s="141" t="str">
        <f t="shared" si="142"/>
        <v/>
      </c>
      <c r="BD79" s="10"/>
      <c r="BE79" s="129"/>
      <c r="BF79" s="145" t="s">
        <v>63</v>
      </c>
      <c r="BG79" s="131" t="str">
        <f t="shared" si="143"/>
        <v/>
      </c>
      <c r="BH79" s="132" t="str">
        <f t="shared" si="144"/>
        <v/>
      </c>
      <c r="BI79" s="132" t="str">
        <f t="shared" si="145"/>
        <v/>
      </c>
      <c r="BJ79" s="132" t="str">
        <f t="shared" si="146"/>
        <v/>
      </c>
      <c r="BK79" s="132" t="str">
        <f t="shared" si="147"/>
        <v/>
      </c>
      <c r="BL79" s="132" t="str">
        <f t="shared" si="148"/>
        <v/>
      </c>
      <c r="BM79" s="146"/>
      <c r="BN79" s="8" t="str">
        <f>IF(BO79="","",IF(各種設定金額!$B$7="","○○県",各種設定金額!$B$7))</f>
        <v/>
      </c>
      <c r="BO79" s="6"/>
      <c r="BP79" s="4"/>
      <c r="BQ79" s="141" t="str">
        <f t="shared" si="149"/>
        <v/>
      </c>
      <c r="BR79" s="10"/>
      <c r="BS79" s="129"/>
      <c r="BT79" s="145" t="s">
        <v>63</v>
      </c>
      <c r="BU79" s="131" t="str">
        <f t="shared" si="150"/>
        <v/>
      </c>
      <c r="BV79" s="132" t="str">
        <f t="shared" si="151"/>
        <v/>
      </c>
      <c r="BW79" s="132" t="str">
        <f t="shared" si="152"/>
        <v/>
      </c>
      <c r="BX79" s="132" t="str">
        <f t="shared" si="153"/>
        <v/>
      </c>
      <c r="BY79" s="132" t="str">
        <f t="shared" si="154"/>
        <v/>
      </c>
      <c r="BZ79" s="132" t="str">
        <f t="shared" si="155"/>
        <v/>
      </c>
      <c r="CA79" s="146"/>
      <c r="CB79" s="10" t="str">
        <f t="shared" si="156"/>
        <v/>
      </c>
      <c r="CC79" s="7" t="str">
        <f t="shared" si="157"/>
        <v/>
      </c>
      <c r="CD79" s="147"/>
      <c r="CE79" s="147"/>
      <c r="CF79" s="6"/>
      <c r="CG79" s="4"/>
      <c r="CH79" s="148">
        <f t="shared" ca="1" si="158"/>
        <v>2026</v>
      </c>
      <c r="CI79" s="121" t="str">
        <f t="shared" ca="1" si="159"/>
        <v>令和</v>
      </c>
      <c r="CJ79" s="122" t="str">
        <f t="shared" ca="1" si="160"/>
        <v>R</v>
      </c>
      <c r="CK79" s="122" t="str">
        <f t="shared" ca="1" si="161"/>
        <v>8</v>
      </c>
      <c r="CL79" s="122">
        <f t="shared" ca="1" si="162"/>
        <v>10</v>
      </c>
      <c r="CM79" s="149">
        <f t="shared" ca="1" si="163"/>
        <v>24</v>
      </c>
      <c r="CN79" s="1"/>
      <c r="CO79" s="150">
        <f t="shared" ca="1" si="164"/>
        <v>46319</v>
      </c>
    </row>
    <row r="80" spans="1:93" ht="20.100000000000001" customHeight="1" x14ac:dyDescent="0.15">
      <c r="A80" s="7" t="str">
        <f>IF(B80="","",ROW()-ROW(会員表[#Headers]))</f>
        <v/>
      </c>
      <c r="B80" s="4" ph="1"/>
      <c r="C80" s="4" t="str" cm="1">
        <f t="array" ref="C80">_xlfn.LET(_xlpm.s,PHONETIC(B80),_xlpm.c,_xlfn.UNICODE(MID(_xlpm.s,_xlfn.SEQUENCE(LEN(_xlpm.s)),1)),IF(_xlpm.s="","",_xlfn.CONCAT(_xlfn.UNICHAR(_xlpm.c-96*(_xlpm.c&gt;=12449)*(_xlpm.c&lt;=12534)))))</f>
        <v/>
      </c>
      <c r="D80" s="4" t="str" cm="1">
        <f t="array" ref="D80">_xlfn.LET(_xlpm.s,PHONETIC(B80),_xlpm.c,_xlfn.UNICODE(MID(_xlpm.s,_xlfn.SEQUENCE(LEN(_xlpm.s)),1)),IF(_xlpm.s="","",_xlfn.CONCAT(_xlfn.UNICHAR(_xlpm.c+96*(_xlpm.c&gt;=12353)*(_xlpm.c&lt;=12438)))))</f>
        <v/>
      </c>
      <c r="E80" s="129" t="str">
        <f t="shared" ca="1" si="110"/>
        <v/>
      </c>
      <c r="F80" s="130" t="str">
        <f t="shared" si="111"/>
        <v/>
      </c>
      <c r="G80" s="130" t="str">
        <f t="shared" si="112"/>
        <v/>
      </c>
      <c r="H80" s="130" t="str">
        <f t="shared" si="113"/>
        <v/>
      </c>
      <c r="I80" s="131" t="str">
        <f t="shared" si="114"/>
        <v/>
      </c>
      <c r="J80" s="132" t="str">
        <f t="shared" si="115"/>
        <v/>
      </c>
      <c r="K80" s="121" t="str">
        <f t="shared" si="116"/>
        <v/>
      </c>
      <c r="L80" s="129" t="str">
        <f t="shared" si="117"/>
        <v/>
      </c>
      <c r="M80" s="7" t="str">
        <f t="shared" si="118"/>
        <v/>
      </c>
      <c r="N80" s="133"/>
      <c r="O80" s="8"/>
      <c r="P80" s="5" t="str">
        <f t="shared" si="119"/>
        <v/>
      </c>
      <c r="Q80" s="121" t="str">
        <f t="shared" si="120"/>
        <v/>
      </c>
      <c r="R80" s="121" t="str">
        <f t="shared" si="121"/>
        <v/>
      </c>
      <c r="S80" s="7" t="str">
        <f t="shared" si="122"/>
        <v/>
      </c>
      <c r="T80" s="5"/>
      <c r="U80" s="5" t="str">
        <f t="shared" si="123"/>
        <v/>
      </c>
      <c r="V80" s="121" t="str">
        <f t="shared" si="124"/>
        <v/>
      </c>
      <c r="W80" s="121" t="str">
        <f t="shared" si="125"/>
        <v/>
      </c>
      <c r="X80" s="7" t="str">
        <f t="shared" si="126"/>
        <v/>
      </c>
      <c r="Y80" s="136"/>
      <c r="Z80" s="5" t="str">
        <f t="shared" si="127"/>
        <v/>
      </c>
      <c r="AA80" s="137" t="s">
        <v>183</v>
      </c>
      <c r="AB80" s="7" t="str">
        <f t="shared" si="128"/>
        <v/>
      </c>
      <c r="AC80" s="9"/>
      <c r="AD80" s="4"/>
      <c r="AE80" s="138" t="str">
        <f t="shared" si="129"/>
        <v/>
      </c>
      <c r="AF80" s="139" t="str">
        <f t="shared" si="130"/>
        <v/>
      </c>
      <c r="AG80" s="139" t="str">
        <f t="shared" si="131"/>
        <v/>
      </c>
      <c r="AH80" s="139" t="str">
        <f t="shared" si="132"/>
        <v/>
      </c>
      <c r="AI80" s="139" t="str">
        <f t="shared" si="133"/>
        <v/>
      </c>
      <c r="AJ80" s="140" t="str">
        <f t="shared" si="134"/>
        <v/>
      </c>
      <c r="AK80" s="8"/>
      <c r="AL80" s="8" t="str">
        <f>IF(AM80="","",IF(各種設定金額!$B$7="","○○県",各種設定金額!$B$7))</f>
        <v/>
      </c>
      <c r="AM80" s="4"/>
      <c r="AN80" s="4"/>
      <c r="AO80" s="141" t="str">
        <f t="shared" si="135"/>
        <v/>
      </c>
      <c r="AP80" s="10"/>
      <c r="AQ80" s="129"/>
      <c r="AR80" s="142" t="s">
        <v>182</v>
      </c>
      <c r="AS80" s="131" t="str">
        <f t="shared" si="136"/>
        <v/>
      </c>
      <c r="AT80" s="132" t="str">
        <f t="shared" si="137"/>
        <v/>
      </c>
      <c r="AU80" s="132" t="str">
        <f t="shared" si="138"/>
        <v/>
      </c>
      <c r="AV80" s="132" t="str">
        <f t="shared" si="139"/>
        <v/>
      </c>
      <c r="AW80" s="132" t="str">
        <f t="shared" si="140"/>
        <v/>
      </c>
      <c r="AX80" s="143" t="str">
        <f t="shared" si="141"/>
        <v/>
      </c>
      <c r="AY80" s="144"/>
      <c r="AZ80" s="8" t="str">
        <f>IF(BA80="","",IF(各種設定金額!$B$7="","○○県",各種設定金額!$B$7))</f>
        <v/>
      </c>
      <c r="BA80" s="6"/>
      <c r="BB80" s="4"/>
      <c r="BC80" s="141" t="str">
        <f t="shared" si="142"/>
        <v/>
      </c>
      <c r="BD80" s="10"/>
      <c r="BE80" s="129"/>
      <c r="BF80" s="145" t="s">
        <v>63</v>
      </c>
      <c r="BG80" s="131" t="str">
        <f t="shared" si="143"/>
        <v/>
      </c>
      <c r="BH80" s="132" t="str">
        <f t="shared" si="144"/>
        <v/>
      </c>
      <c r="BI80" s="132" t="str">
        <f t="shared" si="145"/>
        <v/>
      </c>
      <c r="BJ80" s="132" t="str">
        <f t="shared" si="146"/>
        <v/>
      </c>
      <c r="BK80" s="132" t="str">
        <f t="shared" si="147"/>
        <v/>
      </c>
      <c r="BL80" s="132" t="str">
        <f t="shared" si="148"/>
        <v/>
      </c>
      <c r="BM80" s="146"/>
      <c r="BN80" s="8" t="str">
        <f>IF(BO80="","",IF(各種設定金額!$B$7="","○○県",各種設定金額!$B$7))</f>
        <v/>
      </c>
      <c r="BO80" s="6"/>
      <c r="BP80" s="4"/>
      <c r="BQ80" s="141" t="str">
        <f t="shared" si="149"/>
        <v/>
      </c>
      <c r="BR80" s="10"/>
      <c r="BS80" s="129"/>
      <c r="BT80" s="145" t="s">
        <v>63</v>
      </c>
      <c r="BU80" s="131" t="str">
        <f t="shared" si="150"/>
        <v/>
      </c>
      <c r="BV80" s="132" t="str">
        <f t="shared" si="151"/>
        <v/>
      </c>
      <c r="BW80" s="132" t="str">
        <f t="shared" si="152"/>
        <v/>
      </c>
      <c r="BX80" s="132" t="str">
        <f t="shared" si="153"/>
        <v/>
      </c>
      <c r="BY80" s="132" t="str">
        <f t="shared" si="154"/>
        <v/>
      </c>
      <c r="BZ80" s="132" t="str">
        <f t="shared" si="155"/>
        <v/>
      </c>
      <c r="CA80" s="146"/>
      <c r="CB80" s="10" t="str">
        <f t="shared" si="156"/>
        <v/>
      </c>
      <c r="CC80" s="7" t="str">
        <f t="shared" si="157"/>
        <v/>
      </c>
      <c r="CD80" s="147"/>
      <c r="CE80" s="147"/>
      <c r="CF80" s="6"/>
      <c r="CG80" s="4"/>
      <c r="CH80" s="148">
        <f t="shared" ca="1" si="158"/>
        <v>2026</v>
      </c>
      <c r="CI80" s="121" t="str">
        <f t="shared" ca="1" si="159"/>
        <v>令和</v>
      </c>
      <c r="CJ80" s="122" t="str">
        <f t="shared" ca="1" si="160"/>
        <v>R</v>
      </c>
      <c r="CK80" s="122" t="str">
        <f t="shared" ca="1" si="161"/>
        <v>8</v>
      </c>
      <c r="CL80" s="122">
        <f t="shared" ca="1" si="162"/>
        <v>10</v>
      </c>
      <c r="CM80" s="149">
        <f t="shared" ca="1" si="163"/>
        <v>24</v>
      </c>
      <c r="CN80" s="1"/>
      <c r="CO80" s="150">
        <f t="shared" ca="1" si="164"/>
        <v>46319</v>
      </c>
    </row>
    <row r="81" spans="1:93" ht="20.100000000000001" customHeight="1" x14ac:dyDescent="0.15">
      <c r="A81" s="7" t="str">
        <f>IF(B81="","",ROW()-ROW(会員表[#Headers]))</f>
        <v/>
      </c>
      <c r="B81" s="4" ph="1"/>
      <c r="C81" s="4" t="str" cm="1">
        <f t="array" ref="C81">_xlfn.LET(_xlpm.s,PHONETIC(B81),_xlpm.c,_xlfn.UNICODE(MID(_xlpm.s,_xlfn.SEQUENCE(LEN(_xlpm.s)),1)),IF(_xlpm.s="","",_xlfn.CONCAT(_xlfn.UNICHAR(_xlpm.c-96*(_xlpm.c&gt;=12449)*(_xlpm.c&lt;=12534)))))</f>
        <v/>
      </c>
      <c r="D81" s="4" t="str" cm="1">
        <f t="array" ref="D81">_xlfn.LET(_xlpm.s,PHONETIC(B81),_xlpm.c,_xlfn.UNICODE(MID(_xlpm.s,_xlfn.SEQUENCE(LEN(_xlpm.s)),1)),IF(_xlpm.s="","",_xlfn.CONCAT(_xlfn.UNICHAR(_xlpm.c+96*(_xlpm.c&gt;=12353)*(_xlpm.c&lt;=12438)))))</f>
        <v/>
      </c>
      <c r="E81" s="129" t="str">
        <f t="shared" ca="1" si="110"/>
        <v/>
      </c>
      <c r="F81" s="130" t="str">
        <f t="shared" si="111"/>
        <v/>
      </c>
      <c r="G81" s="130" t="str">
        <f t="shared" si="112"/>
        <v/>
      </c>
      <c r="H81" s="130" t="str">
        <f t="shared" si="113"/>
        <v/>
      </c>
      <c r="I81" s="131" t="str">
        <f t="shared" si="114"/>
        <v/>
      </c>
      <c r="J81" s="132" t="str">
        <f t="shared" si="115"/>
        <v/>
      </c>
      <c r="K81" s="121" t="str">
        <f t="shared" si="116"/>
        <v/>
      </c>
      <c r="L81" s="129" t="str">
        <f t="shared" si="117"/>
        <v/>
      </c>
      <c r="M81" s="7" t="str">
        <f t="shared" si="118"/>
        <v/>
      </c>
      <c r="N81" s="133"/>
      <c r="O81" s="8"/>
      <c r="P81" s="5" t="str">
        <f t="shared" si="119"/>
        <v/>
      </c>
      <c r="Q81" s="121" t="str">
        <f t="shared" si="120"/>
        <v/>
      </c>
      <c r="R81" s="121" t="str">
        <f t="shared" si="121"/>
        <v/>
      </c>
      <c r="S81" s="7" t="str">
        <f t="shared" si="122"/>
        <v/>
      </c>
      <c r="T81" s="5"/>
      <c r="U81" s="5" t="str">
        <f t="shared" si="123"/>
        <v/>
      </c>
      <c r="V81" s="121" t="str">
        <f t="shared" si="124"/>
        <v/>
      </c>
      <c r="W81" s="121" t="str">
        <f t="shared" si="125"/>
        <v/>
      </c>
      <c r="X81" s="7" t="str">
        <f t="shared" si="126"/>
        <v/>
      </c>
      <c r="Y81" s="136"/>
      <c r="Z81" s="5" t="str">
        <f t="shared" si="127"/>
        <v/>
      </c>
      <c r="AA81" s="137" t="s">
        <v>183</v>
      </c>
      <c r="AB81" s="7" t="str">
        <f t="shared" si="128"/>
        <v/>
      </c>
      <c r="AC81" s="9"/>
      <c r="AD81" s="4"/>
      <c r="AE81" s="138" t="str">
        <f t="shared" si="129"/>
        <v/>
      </c>
      <c r="AF81" s="139" t="str">
        <f t="shared" si="130"/>
        <v/>
      </c>
      <c r="AG81" s="139" t="str">
        <f t="shared" si="131"/>
        <v/>
      </c>
      <c r="AH81" s="139" t="str">
        <f t="shared" si="132"/>
        <v/>
      </c>
      <c r="AI81" s="139" t="str">
        <f t="shared" si="133"/>
        <v/>
      </c>
      <c r="AJ81" s="140" t="str">
        <f t="shared" si="134"/>
        <v/>
      </c>
      <c r="AK81" s="8"/>
      <c r="AL81" s="8" t="str">
        <f>IF(AM81="","",IF(各種設定金額!$B$7="","○○県",各種設定金額!$B$7))</f>
        <v/>
      </c>
      <c r="AM81" s="4"/>
      <c r="AN81" s="4"/>
      <c r="AO81" s="141" t="str">
        <f t="shared" si="135"/>
        <v/>
      </c>
      <c r="AP81" s="10"/>
      <c r="AQ81" s="129"/>
      <c r="AR81" s="142" t="s">
        <v>182</v>
      </c>
      <c r="AS81" s="131" t="str">
        <f t="shared" si="136"/>
        <v/>
      </c>
      <c r="AT81" s="132" t="str">
        <f t="shared" si="137"/>
        <v/>
      </c>
      <c r="AU81" s="132" t="str">
        <f t="shared" si="138"/>
        <v/>
      </c>
      <c r="AV81" s="132" t="str">
        <f t="shared" si="139"/>
        <v/>
      </c>
      <c r="AW81" s="132" t="str">
        <f t="shared" si="140"/>
        <v/>
      </c>
      <c r="AX81" s="143" t="str">
        <f t="shared" si="141"/>
        <v/>
      </c>
      <c r="AY81" s="144"/>
      <c r="AZ81" s="8" t="str">
        <f>IF(BA81="","",IF(各種設定金額!$B$7="","○○県",各種設定金額!$B$7))</f>
        <v/>
      </c>
      <c r="BA81" s="6"/>
      <c r="BB81" s="4"/>
      <c r="BC81" s="141" t="str">
        <f t="shared" si="142"/>
        <v/>
      </c>
      <c r="BD81" s="10"/>
      <c r="BE81" s="129"/>
      <c r="BF81" s="145" t="s">
        <v>63</v>
      </c>
      <c r="BG81" s="131" t="str">
        <f t="shared" si="143"/>
        <v/>
      </c>
      <c r="BH81" s="132" t="str">
        <f t="shared" si="144"/>
        <v/>
      </c>
      <c r="BI81" s="132" t="str">
        <f t="shared" si="145"/>
        <v/>
      </c>
      <c r="BJ81" s="132" t="str">
        <f t="shared" si="146"/>
        <v/>
      </c>
      <c r="BK81" s="132" t="str">
        <f t="shared" si="147"/>
        <v/>
      </c>
      <c r="BL81" s="132" t="str">
        <f t="shared" si="148"/>
        <v/>
      </c>
      <c r="BM81" s="146"/>
      <c r="BN81" s="8" t="str">
        <f>IF(BO81="","",IF(各種設定金額!$B$7="","○○県",各種設定金額!$B$7))</f>
        <v/>
      </c>
      <c r="BO81" s="6"/>
      <c r="BP81" s="4"/>
      <c r="BQ81" s="141" t="str">
        <f t="shared" si="149"/>
        <v/>
      </c>
      <c r="BR81" s="10"/>
      <c r="BS81" s="129"/>
      <c r="BT81" s="145" t="s">
        <v>63</v>
      </c>
      <c r="BU81" s="131" t="str">
        <f t="shared" si="150"/>
        <v/>
      </c>
      <c r="BV81" s="132" t="str">
        <f t="shared" si="151"/>
        <v/>
      </c>
      <c r="BW81" s="132" t="str">
        <f t="shared" si="152"/>
        <v/>
      </c>
      <c r="BX81" s="132" t="str">
        <f t="shared" si="153"/>
        <v/>
      </c>
      <c r="BY81" s="132" t="str">
        <f t="shared" si="154"/>
        <v/>
      </c>
      <c r="BZ81" s="132" t="str">
        <f t="shared" si="155"/>
        <v/>
      </c>
      <c r="CA81" s="146"/>
      <c r="CB81" s="10" t="str">
        <f t="shared" si="156"/>
        <v/>
      </c>
      <c r="CC81" s="7" t="str">
        <f t="shared" si="157"/>
        <v/>
      </c>
      <c r="CD81" s="147"/>
      <c r="CE81" s="147"/>
      <c r="CF81" s="6"/>
      <c r="CG81" s="4"/>
      <c r="CH81" s="148">
        <f t="shared" ca="1" si="158"/>
        <v>2026</v>
      </c>
      <c r="CI81" s="121" t="str">
        <f t="shared" ca="1" si="159"/>
        <v>令和</v>
      </c>
      <c r="CJ81" s="122" t="str">
        <f t="shared" ca="1" si="160"/>
        <v>R</v>
      </c>
      <c r="CK81" s="122" t="str">
        <f t="shared" ca="1" si="161"/>
        <v>8</v>
      </c>
      <c r="CL81" s="122">
        <f t="shared" ca="1" si="162"/>
        <v>10</v>
      </c>
      <c r="CM81" s="149">
        <f t="shared" ca="1" si="163"/>
        <v>24</v>
      </c>
      <c r="CN81" s="1"/>
      <c r="CO81" s="150">
        <f t="shared" ca="1" si="164"/>
        <v>46319</v>
      </c>
    </row>
    <row r="82" spans="1:93" ht="20.100000000000001" customHeight="1" x14ac:dyDescent="0.15">
      <c r="A82" s="7" t="str">
        <f>IF(B82="","",ROW()-ROW(会員表[#Headers]))</f>
        <v/>
      </c>
      <c r="B82" s="4" ph="1"/>
      <c r="C82" s="4" t="str" cm="1">
        <f t="array" ref="C82">_xlfn.LET(_xlpm.s,PHONETIC(B82),_xlpm.c,_xlfn.UNICODE(MID(_xlpm.s,_xlfn.SEQUENCE(LEN(_xlpm.s)),1)),IF(_xlpm.s="","",_xlfn.CONCAT(_xlfn.UNICHAR(_xlpm.c-96*(_xlpm.c&gt;=12449)*(_xlpm.c&lt;=12534)))))</f>
        <v/>
      </c>
      <c r="D82" s="4" t="str" cm="1">
        <f t="array" ref="D82">_xlfn.LET(_xlpm.s,PHONETIC(B82),_xlpm.c,_xlfn.UNICODE(MID(_xlpm.s,_xlfn.SEQUENCE(LEN(_xlpm.s)),1)),IF(_xlpm.s="","",_xlfn.CONCAT(_xlfn.UNICHAR(_xlpm.c+96*(_xlpm.c&gt;=12353)*(_xlpm.c&lt;=12438)))))</f>
        <v/>
      </c>
      <c r="E82" s="129" t="str">
        <f t="shared" ca="1" si="110"/>
        <v/>
      </c>
      <c r="F82" s="130" t="str">
        <f t="shared" si="111"/>
        <v/>
      </c>
      <c r="G82" s="130" t="str">
        <f t="shared" si="112"/>
        <v/>
      </c>
      <c r="H82" s="130" t="str">
        <f t="shared" si="113"/>
        <v/>
      </c>
      <c r="I82" s="131" t="str">
        <f t="shared" si="114"/>
        <v/>
      </c>
      <c r="J82" s="132" t="str">
        <f t="shared" si="115"/>
        <v/>
      </c>
      <c r="K82" s="121" t="str">
        <f t="shared" si="116"/>
        <v/>
      </c>
      <c r="L82" s="129" t="str">
        <f t="shared" si="117"/>
        <v/>
      </c>
      <c r="M82" s="7" t="str">
        <f t="shared" si="118"/>
        <v/>
      </c>
      <c r="N82" s="133"/>
      <c r="O82" s="8"/>
      <c r="P82" s="5" t="str">
        <f t="shared" si="119"/>
        <v/>
      </c>
      <c r="Q82" s="121" t="str">
        <f t="shared" si="120"/>
        <v/>
      </c>
      <c r="R82" s="121" t="str">
        <f t="shared" si="121"/>
        <v/>
      </c>
      <c r="S82" s="7" t="str">
        <f t="shared" si="122"/>
        <v/>
      </c>
      <c r="T82" s="5"/>
      <c r="U82" s="5" t="str">
        <f t="shared" si="123"/>
        <v/>
      </c>
      <c r="V82" s="121" t="str">
        <f t="shared" si="124"/>
        <v/>
      </c>
      <c r="W82" s="121" t="str">
        <f t="shared" si="125"/>
        <v/>
      </c>
      <c r="X82" s="7" t="str">
        <f t="shared" si="126"/>
        <v/>
      </c>
      <c r="Y82" s="136"/>
      <c r="Z82" s="5" t="str">
        <f t="shared" si="127"/>
        <v/>
      </c>
      <c r="AA82" s="137" t="s">
        <v>183</v>
      </c>
      <c r="AB82" s="7" t="str">
        <f t="shared" si="128"/>
        <v/>
      </c>
      <c r="AC82" s="9"/>
      <c r="AD82" s="4"/>
      <c r="AE82" s="138" t="str">
        <f t="shared" si="129"/>
        <v/>
      </c>
      <c r="AF82" s="139" t="str">
        <f t="shared" si="130"/>
        <v/>
      </c>
      <c r="AG82" s="139" t="str">
        <f t="shared" si="131"/>
        <v/>
      </c>
      <c r="AH82" s="139" t="str">
        <f t="shared" si="132"/>
        <v/>
      </c>
      <c r="AI82" s="139" t="str">
        <f t="shared" si="133"/>
        <v/>
      </c>
      <c r="AJ82" s="140" t="str">
        <f t="shared" si="134"/>
        <v/>
      </c>
      <c r="AK82" s="8"/>
      <c r="AL82" s="8" t="str">
        <f>IF(AM82="","",IF(各種設定金額!$B$7="","○○県",各種設定金額!$B$7))</f>
        <v/>
      </c>
      <c r="AM82" s="4"/>
      <c r="AN82" s="4"/>
      <c r="AO82" s="141" t="str">
        <f t="shared" si="135"/>
        <v/>
      </c>
      <c r="AP82" s="10"/>
      <c r="AQ82" s="129"/>
      <c r="AR82" s="142" t="s">
        <v>182</v>
      </c>
      <c r="AS82" s="131" t="str">
        <f t="shared" si="136"/>
        <v/>
      </c>
      <c r="AT82" s="132" t="str">
        <f t="shared" si="137"/>
        <v/>
      </c>
      <c r="AU82" s="132" t="str">
        <f t="shared" si="138"/>
        <v/>
      </c>
      <c r="AV82" s="132" t="str">
        <f t="shared" si="139"/>
        <v/>
      </c>
      <c r="AW82" s="132" t="str">
        <f t="shared" si="140"/>
        <v/>
      </c>
      <c r="AX82" s="143" t="str">
        <f t="shared" si="141"/>
        <v/>
      </c>
      <c r="AY82" s="144"/>
      <c r="AZ82" s="8" t="str">
        <f>IF(BA82="","",IF(各種設定金額!$B$7="","○○県",各種設定金額!$B$7))</f>
        <v/>
      </c>
      <c r="BA82" s="6"/>
      <c r="BB82" s="4"/>
      <c r="BC82" s="141" t="str">
        <f t="shared" si="142"/>
        <v/>
      </c>
      <c r="BD82" s="10"/>
      <c r="BE82" s="129"/>
      <c r="BF82" s="145" t="s">
        <v>63</v>
      </c>
      <c r="BG82" s="131" t="str">
        <f t="shared" si="143"/>
        <v/>
      </c>
      <c r="BH82" s="132" t="str">
        <f t="shared" si="144"/>
        <v/>
      </c>
      <c r="BI82" s="132" t="str">
        <f t="shared" si="145"/>
        <v/>
      </c>
      <c r="BJ82" s="132" t="str">
        <f t="shared" si="146"/>
        <v/>
      </c>
      <c r="BK82" s="132" t="str">
        <f t="shared" si="147"/>
        <v/>
      </c>
      <c r="BL82" s="132" t="str">
        <f t="shared" si="148"/>
        <v/>
      </c>
      <c r="BM82" s="146"/>
      <c r="BN82" s="8" t="str">
        <f>IF(BO82="","",IF(各種設定金額!$B$7="","○○県",各種設定金額!$B$7))</f>
        <v/>
      </c>
      <c r="BO82" s="6"/>
      <c r="BP82" s="4"/>
      <c r="BQ82" s="141" t="str">
        <f t="shared" si="149"/>
        <v/>
      </c>
      <c r="BR82" s="10"/>
      <c r="BS82" s="129"/>
      <c r="BT82" s="145" t="s">
        <v>63</v>
      </c>
      <c r="BU82" s="131" t="str">
        <f t="shared" si="150"/>
        <v/>
      </c>
      <c r="BV82" s="132" t="str">
        <f t="shared" si="151"/>
        <v/>
      </c>
      <c r="BW82" s="132" t="str">
        <f t="shared" si="152"/>
        <v/>
      </c>
      <c r="BX82" s="132" t="str">
        <f t="shared" si="153"/>
        <v/>
      </c>
      <c r="BY82" s="132" t="str">
        <f t="shared" si="154"/>
        <v/>
      </c>
      <c r="BZ82" s="132" t="str">
        <f t="shared" si="155"/>
        <v/>
      </c>
      <c r="CA82" s="146"/>
      <c r="CB82" s="10" t="str">
        <f t="shared" si="156"/>
        <v/>
      </c>
      <c r="CC82" s="7" t="str">
        <f t="shared" si="157"/>
        <v/>
      </c>
      <c r="CD82" s="147"/>
      <c r="CE82" s="147"/>
      <c r="CF82" s="6"/>
      <c r="CG82" s="4"/>
      <c r="CH82" s="148">
        <f t="shared" ca="1" si="158"/>
        <v>2026</v>
      </c>
      <c r="CI82" s="121" t="str">
        <f t="shared" ca="1" si="159"/>
        <v>令和</v>
      </c>
      <c r="CJ82" s="122" t="str">
        <f t="shared" ca="1" si="160"/>
        <v>R</v>
      </c>
      <c r="CK82" s="122" t="str">
        <f t="shared" ca="1" si="161"/>
        <v>8</v>
      </c>
      <c r="CL82" s="122">
        <f t="shared" ca="1" si="162"/>
        <v>10</v>
      </c>
      <c r="CM82" s="149">
        <f t="shared" ca="1" si="163"/>
        <v>24</v>
      </c>
      <c r="CN82" s="1"/>
      <c r="CO82" s="150">
        <f t="shared" ca="1" si="164"/>
        <v>46319</v>
      </c>
    </row>
    <row r="83" spans="1:93" ht="20.100000000000001" customHeight="1" x14ac:dyDescent="0.15">
      <c r="A83" s="7" t="str">
        <f>IF(B83="","",ROW()-ROW(会員表[#Headers]))</f>
        <v/>
      </c>
      <c r="B83" s="4" ph="1"/>
      <c r="C83" s="4" t="str" cm="1">
        <f t="array" ref="C83">_xlfn.LET(_xlpm.s,PHONETIC(B83),_xlpm.c,_xlfn.UNICODE(MID(_xlpm.s,_xlfn.SEQUENCE(LEN(_xlpm.s)),1)),IF(_xlpm.s="","",_xlfn.CONCAT(_xlfn.UNICHAR(_xlpm.c-96*(_xlpm.c&gt;=12449)*(_xlpm.c&lt;=12534)))))</f>
        <v/>
      </c>
      <c r="D83" s="4" t="str" cm="1">
        <f t="array" ref="D83">_xlfn.LET(_xlpm.s,PHONETIC(B83),_xlpm.c,_xlfn.UNICODE(MID(_xlpm.s,_xlfn.SEQUENCE(LEN(_xlpm.s)),1)),IF(_xlpm.s="","",_xlfn.CONCAT(_xlfn.UNICHAR(_xlpm.c+96*(_xlpm.c&gt;=12353)*(_xlpm.c&lt;=12438)))))</f>
        <v/>
      </c>
      <c r="E83" s="129" t="str">
        <f t="shared" ca="1" si="110"/>
        <v/>
      </c>
      <c r="F83" s="130" t="str">
        <f t="shared" si="111"/>
        <v/>
      </c>
      <c r="G83" s="130" t="str">
        <f t="shared" si="112"/>
        <v/>
      </c>
      <c r="H83" s="130" t="str">
        <f t="shared" si="113"/>
        <v/>
      </c>
      <c r="I83" s="131" t="str">
        <f t="shared" si="114"/>
        <v/>
      </c>
      <c r="J83" s="132" t="str">
        <f t="shared" si="115"/>
        <v/>
      </c>
      <c r="K83" s="121" t="str">
        <f t="shared" si="116"/>
        <v/>
      </c>
      <c r="L83" s="129" t="str">
        <f t="shared" si="117"/>
        <v/>
      </c>
      <c r="M83" s="7" t="str">
        <f t="shared" si="118"/>
        <v/>
      </c>
      <c r="N83" s="133"/>
      <c r="O83" s="8"/>
      <c r="P83" s="5" t="str">
        <f t="shared" si="119"/>
        <v/>
      </c>
      <c r="Q83" s="121" t="str">
        <f t="shared" si="120"/>
        <v/>
      </c>
      <c r="R83" s="121" t="str">
        <f t="shared" si="121"/>
        <v/>
      </c>
      <c r="S83" s="7" t="str">
        <f t="shared" si="122"/>
        <v/>
      </c>
      <c r="T83" s="5"/>
      <c r="U83" s="5" t="str">
        <f t="shared" si="123"/>
        <v/>
      </c>
      <c r="V83" s="121" t="str">
        <f t="shared" si="124"/>
        <v/>
      </c>
      <c r="W83" s="121" t="str">
        <f t="shared" si="125"/>
        <v/>
      </c>
      <c r="X83" s="7" t="str">
        <f t="shared" si="126"/>
        <v/>
      </c>
      <c r="Y83" s="136"/>
      <c r="Z83" s="5" t="str">
        <f t="shared" si="127"/>
        <v/>
      </c>
      <c r="AA83" s="137" t="s">
        <v>183</v>
      </c>
      <c r="AB83" s="7" t="str">
        <f t="shared" si="128"/>
        <v/>
      </c>
      <c r="AC83" s="9"/>
      <c r="AD83" s="4"/>
      <c r="AE83" s="138" t="str">
        <f t="shared" si="129"/>
        <v/>
      </c>
      <c r="AF83" s="139" t="str">
        <f t="shared" si="130"/>
        <v/>
      </c>
      <c r="AG83" s="139" t="str">
        <f t="shared" si="131"/>
        <v/>
      </c>
      <c r="AH83" s="139" t="str">
        <f t="shared" si="132"/>
        <v/>
      </c>
      <c r="AI83" s="139" t="str">
        <f t="shared" si="133"/>
        <v/>
      </c>
      <c r="AJ83" s="140" t="str">
        <f t="shared" si="134"/>
        <v/>
      </c>
      <c r="AK83" s="8"/>
      <c r="AL83" s="8" t="str">
        <f>IF(AM83="","",IF(各種設定金額!$B$7="","○○県",各種設定金額!$B$7))</f>
        <v/>
      </c>
      <c r="AM83" s="4"/>
      <c r="AN83" s="4"/>
      <c r="AO83" s="141" t="str">
        <f t="shared" si="135"/>
        <v/>
      </c>
      <c r="AP83" s="10"/>
      <c r="AQ83" s="129"/>
      <c r="AR83" s="142" t="s">
        <v>182</v>
      </c>
      <c r="AS83" s="131" t="str">
        <f t="shared" si="136"/>
        <v/>
      </c>
      <c r="AT83" s="132" t="str">
        <f t="shared" si="137"/>
        <v/>
      </c>
      <c r="AU83" s="132" t="str">
        <f t="shared" si="138"/>
        <v/>
      </c>
      <c r="AV83" s="132" t="str">
        <f t="shared" si="139"/>
        <v/>
      </c>
      <c r="AW83" s="132" t="str">
        <f t="shared" si="140"/>
        <v/>
      </c>
      <c r="AX83" s="143" t="str">
        <f t="shared" si="141"/>
        <v/>
      </c>
      <c r="AY83" s="144"/>
      <c r="AZ83" s="8" t="str">
        <f>IF(BA83="","",IF(各種設定金額!$B$7="","○○県",各種設定金額!$B$7))</f>
        <v/>
      </c>
      <c r="BA83" s="6"/>
      <c r="BB83" s="4"/>
      <c r="BC83" s="141" t="str">
        <f t="shared" si="142"/>
        <v/>
      </c>
      <c r="BD83" s="10"/>
      <c r="BE83" s="129"/>
      <c r="BF83" s="145" t="s">
        <v>63</v>
      </c>
      <c r="BG83" s="131" t="str">
        <f t="shared" si="143"/>
        <v/>
      </c>
      <c r="BH83" s="132" t="str">
        <f t="shared" si="144"/>
        <v/>
      </c>
      <c r="BI83" s="132" t="str">
        <f t="shared" si="145"/>
        <v/>
      </c>
      <c r="BJ83" s="132" t="str">
        <f t="shared" si="146"/>
        <v/>
      </c>
      <c r="BK83" s="132" t="str">
        <f t="shared" si="147"/>
        <v/>
      </c>
      <c r="BL83" s="132" t="str">
        <f t="shared" si="148"/>
        <v/>
      </c>
      <c r="BM83" s="146"/>
      <c r="BN83" s="8" t="str">
        <f>IF(BO83="","",IF(各種設定金額!$B$7="","○○県",各種設定金額!$B$7))</f>
        <v/>
      </c>
      <c r="BO83" s="6"/>
      <c r="BP83" s="4"/>
      <c r="BQ83" s="141" t="str">
        <f t="shared" si="149"/>
        <v/>
      </c>
      <c r="BR83" s="10"/>
      <c r="BS83" s="129"/>
      <c r="BT83" s="145" t="s">
        <v>63</v>
      </c>
      <c r="BU83" s="131" t="str">
        <f t="shared" si="150"/>
        <v/>
      </c>
      <c r="BV83" s="132" t="str">
        <f t="shared" si="151"/>
        <v/>
      </c>
      <c r="BW83" s="132" t="str">
        <f t="shared" si="152"/>
        <v/>
      </c>
      <c r="BX83" s="132" t="str">
        <f t="shared" si="153"/>
        <v/>
      </c>
      <c r="BY83" s="132" t="str">
        <f t="shared" si="154"/>
        <v/>
      </c>
      <c r="BZ83" s="132" t="str">
        <f t="shared" si="155"/>
        <v/>
      </c>
      <c r="CA83" s="146"/>
      <c r="CB83" s="10" t="str">
        <f t="shared" si="156"/>
        <v/>
      </c>
      <c r="CC83" s="7" t="str">
        <f t="shared" si="157"/>
        <v/>
      </c>
      <c r="CD83" s="147"/>
      <c r="CE83" s="147"/>
      <c r="CF83" s="6"/>
      <c r="CG83" s="4"/>
      <c r="CH83" s="148">
        <f t="shared" ca="1" si="158"/>
        <v>2026</v>
      </c>
      <c r="CI83" s="121" t="str">
        <f t="shared" ca="1" si="159"/>
        <v>令和</v>
      </c>
      <c r="CJ83" s="122" t="str">
        <f t="shared" ca="1" si="160"/>
        <v>R</v>
      </c>
      <c r="CK83" s="122" t="str">
        <f t="shared" ca="1" si="161"/>
        <v>8</v>
      </c>
      <c r="CL83" s="122">
        <f t="shared" ca="1" si="162"/>
        <v>10</v>
      </c>
      <c r="CM83" s="149">
        <f t="shared" ca="1" si="163"/>
        <v>24</v>
      </c>
      <c r="CN83" s="1"/>
      <c r="CO83" s="150">
        <f t="shared" ca="1" si="164"/>
        <v>46319</v>
      </c>
    </row>
    <row r="84" spans="1:93" ht="20.100000000000001" customHeight="1" x14ac:dyDescent="0.15">
      <c r="A84" s="7" t="str">
        <f>IF(B84="","",ROW()-ROW(会員表[#Headers]))</f>
        <v/>
      </c>
      <c r="B84" s="4" ph="1"/>
      <c r="C84" s="4" t="str" cm="1">
        <f t="array" ref="C84">_xlfn.LET(_xlpm.s,PHONETIC(B84),_xlpm.c,_xlfn.UNICODE(MID(_xlpm.s,_xlfn.SEQUENCE(LEN(_xlpm.s)),1)),IF(_xlpm.s="","",_xlfn.CONCAT(_xlfn.UNICHAR(_xlpm.c-96*(_xlpm.c&gt;=12449)*(_xlpm.c&lt;=12534)))))</f>
        <v/>
      </c>
      <c r="D84" s="4" t="str" cm="1">
        <f t="array" ref="D84">_xlfn.LET(_xlpm.s,PHONETIC(B84),_xlpm.c,_xlfn.UNICODE(MID(_xlpm.s,_xlfn.SEQUENCE(LEN(_xlpm.s)),1)),IF(_xlpm.s="","",_xlfn.CONCAT(_xlfn.UNICHAR(_xlpm.c+96*(_xlpm.c&gt;=12353)*(_xlpm.c&lt;=12438)))))</f>
        <v/>
      </c>
      <c r="E84" s="129" t="str">
        <f t="shared" ca="1" si="110"/>
        <v/>
      </c>
      <c r="F84" s="130" t="str">
        <f t="shared" si="111"/>
        <v/>
      </c>
      <c r="G84" s="130" t="str">
        <f t="shared" si="112"/>
        <v/>
      </c>
      <c r="H84" s="130" t="str">
        <f t="shared" si="113"/>
        <v/>
      </c>
      <c r="I84" s="131" t="str">
        <f t="shared" si="114"/>
        <v/>
      </c>
      <c r="J84" s="132" t="str">
        <f t="shared" si="115"/>
        <v/>
      </c>
      <c r="K84" s="121" t="str">
        <f t="shared" si="116"/>
        <v/>
      </c>
      <c r="L84" s="129" t="str">
        <f t="shared" si="117"/>
        <v/>
      </c>
      <c r="M84" s="7" t="str">
        <f t="shared" si="118"/>
        <v/>
      </c>
      <c r="N84" s="133"/>
      <c r="O84" s="8"/>
      <c r="P84" s="5" t="str">
        <f t="shared" si="119"/>
        <v/>
      </c>
      <c r="Q84" s="121" t="str">
        <f t="shared" si="120"/>
        <v/>
      </c>
      <c r="R84" s="121" t="str">
        <f t="shared" si="121"/>
        <v/>
      </c>
      <c r="S84" s="7" t="str">
        <f t="shared" si="122"/>
        <v/>
      </c>
      <c r="T84" s="5"/>
      <c r="U84" s="5" t="str">
        <f t="shared" si="123"/>
        <v/>
      </c>
      <c r="V84" s="121" t="str">
        <f t="shared" si="124"/>
        <v/>
      </c>
      <c r="W84" s="121" t="str">
        <f t="shared" si="125"/>
        <v/>
      </c>
      <c r="X84" s="7" t="str">
        <f t="shared" si="126"/>
        <v/>
      </c>
      <c r="Y84" s="136"/>
      <c r="Z84" s="5" t="str">
        <f t="shared" si="127"/>
        <v/>
      </c>
      <c r="AA84" s="137" t="s">
        <v>183</v>
      </c>
      <c r="AB84" s="7" t="str">
        <f t="shared" si="128"/>
        <v/>
      </c>
      <c r="AC84" s="9"/>
      <c r="AD84" s="4"/>
      <c r="AE84" s="138" t="str">
        <f t="shared" si="129"/>
        <v/>
      </c>
      <c r="AF84" s="139" t="str">
        <f t="shared" si="130"/>
        <v/>
      </c>
      <c r="AG84" s="139" t="str">
        <f t="shared" si="131"/>
        <v/>
      </c>
      <c r="AH84" s="139" t="str">
        <f t="shared" si="132"/>
        <v/>
      </c>
      <c r="AI84" s="139" t="str">
        <f t="shared" si="133"/>
        <v/>
      </c>
      <c r="AJ84" s="140" t="str">
        <f t="shared" si="134"/>
        <v/>
      </c>
      <c r="AK84" s="8"/>
      <c r="AL84" s="8" t="str">
        <f>IF(AM84="","",IF(各種設定金額!$B$7="","○○県",各種設定金額!$B$7))</f>
        <v/>
      </c>
      <c r="AM84" s="4"/>
      <c r="AN84" s="4"/>
      <c r="AO84" s="141" t="str">
        <f t="shared" si="135"/>
        <v/>
      </c>
      <c r="AP84" s="10"/>
      <c r="AQ84" s="129"/>
      <c r="AR84" s="142" t="s">
        <v>182</v>
      </c>
      <c r="AS84" s="131" t="str">
        <f t="shared" si="136"/>
        <v/>
      </c>
      <c r="AT84" s="132" t="str">
        <f t="shared" si="137"/>
        <v/>
      </c>
      <c r="AU84" s="132" t="str">
        <f t="shared" si="138"/>
        <v/>
      </c>
      <c r="AV84" s="132" t="str">
        <f t="shared" si="139"/>
        <v/>
      </c>
      <c r="AW84" s="132" t="str">
        <f t="shared" si="140"/>
        <v/>
      </c>
      <c r="AX84" s="143" t="str">
        <f t="shared" si="141"/>
        <v/>
      </c>
      <c r="AY84" s="144"/>
      <c r="AZ84" s="8" t="str">
        <f>IF(BA84="","",IF(各種設定金額!$B$7="","○○県",各種設定金額!$B$7))</f>
        <v/>
      </c>
      <c r="BA84" s="6"/>
      <c r="BB84" s="4"/>
      <c r="BC84" s="141" t="str">
        <f t="shared" si="142"/>
        <v/>
      </c>
      <c r="BD84" s="10"/>
      <c r="BE84" s="129"/>
      <c r="BF84" s="145" t="s">
        <v>63</v>
      </c>
      <c r="BG84" s="131" t="str">
        <f t="shared" si="143"/>
        <v/>
      </c>
      <c r="BH84" s="132" t="str">
        <f t="shared" si="144"/>
        <v/>
      </c>
      <c r="BI84" s="132" t="str">
        <f t="shared" si="145"/>
        <v/>
      </c>
      <c r="BJ84" s="132" t="str">
        <f t="shared" si="146"/>
        <v/>
      </c>
      <c r="BK84" s="132" t="str">
        <f t="shared" si="147"/>
        <v/>
      </c>
      <c r="BL84" s="132" t="str">
        <f t="shared" si="148"/>
        <v/>
      </c>
      <c r="BM84" s="146"/>
      <c r="BN84" s="8" t="str">
        <f>IF(BO84="","",IF(各種設定金額!$B$7="","○○県",各種設定金額!$B$7))</f>
        <v/>
      </c>
      <c r="BO84" s="6"/>
      <c r="BP84" s="4"/>
      <c r="BQ84" s="141" t="str">
        <f t="shared" si="149"/>
        <v/>
      </c>
      <c r="BR84" s="10"/>
      <c r="BS84" s="129"/>
      <c r="BT84" s="145" t="s">
        <v>63</v>
      </c>
      <c r="BU84" s="131" t="str">
        <f t="shared" si="150"/>
        <v/>
      </c>
      <c r="BV84" s="132" t="str">
        <f t="shared" si="151"/>
        <v/>
      </c>
      <c r="BW84" s="132" t="str">
        <f t="shared" si="152"/>
        <v/>
      </c>
      <c r="BX84" s="132" t="str">
        <f t="shared" si="153"/>
        <v/>
      </c>
      <c r="BY84" s="132" t="str">
        <f t="shared" si="154"/>
        <v/>
      </c>
      <c r="BZ84" s="132" t="str">
        <f t="shared" si="155"/>
        <v/>
      </c>
      <c r="CA84" s="146"/>
      <c r="CB84" s="10" t="str">
        <f t="shared" si="156"/>
        <v/>
      </c>
      <c r="CC84" s="7" t="str">
        <f t="shared" si="157"/>
        <v/>
      </c>
      <c r="CD84" s="147"/>
      <c r="CE84" s="147"/>
      <c r="CF84" s="6"/>
      <c r="CG84" s="4"/>
      <c r="CH84" s="148">
        <f t="shared" ca="1" si="158"/>
        <v>2026</v>
      </c>
      <c r="CI84" s="121" t="str">
        <f t="shared" ca="1" si="159"/>
        <v>令和</v>
      </c>
      <c r="CJ84" s="122" t="str">
        <f t="shared" ca="1" si="160"/>
        <v>R</v>
      </c>
      <c r="CK84" s="122" t="str">
        <f t="shared" ca="1" si="161"/>
        <v>8</v>
      </c>
      <c r="CL84" s="122">
        <f t="shared" ca="1" si="162"/>
        <v>10</v>
      </c>
      <c r="CM84" s="149">
        <f t="shared" ca="1" si="163"/>
        <v>24</v>
      </c>
      <c r="CN84" s="1"/>
      <c r="CO84" s="150">
        <f t="shared" ca="1" si="164"/>
        <v>46319</v>
      </c>
    </row>
    <row r="85" spans="1:93" ht="20.100000000000001" customHeight="1" x14ac:dyDescent="0.15">
      <c r="A85" s="7" t="str">
        <f>IF(B85="","",ROW()-ROW(会員表[#Headers]))</f>
        <v/>
      </c>
      <c r="B85" s="4" ph="1"/>
      <c r="C85" s="4" t="str" cm="1">
        <f t="array" ref="C85">_xlfn.LET(_xlpm.s,PHONETIC(B85),_xlpm.c,_xlfn.UNICODE(MID(_xlpm.s,_xlfn.SEQUENCE(LEN(_xlpm.s)),1)),IF(_xlpm.s="","",_xlfn.CONCAT(_xlfn.UNICHAR(_xlpm.c-96*(_xlpm.c&gt;=12449)*(_xlpm.c&lt;=12534)))))</f>
        <v/>
      </c>
      <c r="D85" s="4" t="str" cm="1">
        <f t="array" ref="D85">_xlfn.LET(_xlpm.s,PHONETIC(B85),_xlpm.c,_xlfn.UNICODE(MID(_xlpm.s,_xlfn.SEQUENCE(LEN(_xlpm.s)),1)),IF(_xlpm.s="","",_xlfn.CONCAT(_xlfn.UNICHAR(_xlpm.c+96*(_xlpm.c&gt;=12353)*(_xlpm.c&lt;=12438)))))</f>
        <v/>
      </c>
      <c r="E85" s="129" t="str">
        <f t="shared" ca="1" si="110"/>
        <v/>
      </c>
      <c r="F85" s="130" t="str">
        <f t="shared" si="111"/>
        <v/>
      </c>
      <c r="G85" s="130" t="str">
        <f t="shared" si="112"/>
        <v/>
      </c>
      <c r="H85" s="130" t="str">
        <f t="shared" si="113"/>
        <v/>
      </c>
      <c r="I85" s="131" t="str">
        <f t="shared" si="114"/>
        <v/>
      </c>
      <c r="J85" s="132" t="str">
        <f t="shared" si="115"/>
        <v/>
      </c>
      <c r="K85" s="121" t="str">
        <f t="shared" si="116"/>
        <v/>
      </c>
      <c r="L85" s="129" t="str">
        <f t="shared" si="117"/>
        <v/>
      </c>
      <c r="M85" s="7" t="str">
        <f t="shared" si="118"/>
        <v/>
      </c>
      <c r="N85" s="133"/>
      <c r="O85" s="8"/>
      <c r="P85" s="5" t="str">
        <f t="shared" si="119"/>
        <v/>
      </c>
      <c r="Q85" s="121" t="str">
        <f t="shared" si="120"/>
        <v/>
      </c>
      <c r="R85" s="121" t="str">
        <f t="shared" si="121"/>
        <v/>
      </c>
      <c r="S85" s="7" t="str">
        <f t="shared" si="122"/>
        <v/>
      </c>
      <c r="T85" s="5"/>
      <c r="U85" s="5" t="str">
        <f t="shared" si="123"/>
        <v/>
      </c>
      <c r="V85" s="121" t="str">
        <f t="shared" si="124"/>
        <v/>
      </c>
      <c r="W85" s="121" t="str">
        <f t="shared" si="125"/>
        <v/>
      </c>
      <c r="X85" s="7" t="str">
        <f t="shared" si="126"/>
        <v/>
      </c>
      <c r="Y85" s="136"/>
      <c r="Z85" s="5" t="str">
        <f t="shared" si="127"/>
        <v/>
      </c>
      <c r="AA85" s="137" t="s">
        <v>183</v>
      </c>
      <c r="AB85" s="7" t="str">
        <f t="shared" si="128"/>
        <v/>
      </c>
      <c r="AC85" s="9"/>
      <c r="AD85" s="4"/>
      <c r="AE85" s="138" t="str">
        <f t="shared" si="129"/>
        <v/>
      </c>
      <c r="AF85" s="139" t="str">
        <f t="shared" si="130"/>
        <v/>
      </c>
      <c r="AG85" s="139" t="str">
        <f t="shared" si="131"/>
        <v/>
      </c>
      <c r="AH85" s="139" t="str">
        <f t="shared" si="132"/>
        <v/>
      </c>
      <c r="AI85" s="139" t="str">
        <f t="shared" si="133"/>
        <v/>
      </c>
      <c r="AJ85" s="140" t="str">
        <f t="shared" si="134"/>
        <v/>
      </c>
      <c r="AK85" s="8"/>
      <c r="AL85" s="8" t="str">
        <f>IF(AM85="","",IF(各種設定金額!$B$7="","○○県",各種設定金額!$B$7))</f>
        <v/>
      </c>
      <c r="AM85" s="4"/>
      <c r="AN85" s="4"/>
      <c r="AO85" s="141" t="str">
        <f t="shared" si="135"/>
        <v/>
      </c>
      <c r="AP85" s="10"/>
      <c r="AQ85" s="129"/>
      <c r="AR85" s="142" t="s">
        <v>182</v>
      </c>
      <c r="AS85" s="131" t="str">
        <f t="shared" si="136"/>
        <v/>
      </c>
      <c r="AT85" s="132" t="str">
        <f t="shared" si="137"/>
        <v/>
      </c>
      <c r="AU85" s="132" t="str">
        <f t="shared" si="138"/>
        <v/>
      </c>
      <c r="AV85" s="132" t="str">
        <f t="shared" si="139"/>
        <v/>
      </c>
      <c r="AW85" s="132" t="str">
        <f t="shared" si="140"/>
        <v/>
      </c>
      <c r="AX85" s="143" t="str">
        <f t="shared" si="141"/>
        <v/>
      </c>
      <c r="AY85" s="144"/>
      <c r="AZ85" s="8" t="str">
        <f>IF(BA85="","",IF(各種設定金額!$B$7="","○○県",各種設定金額!$B$7))</f>
        <v/>
      </c>
      <c r="BA85" s="6"/>
      <c r="BB85" s="4"/>
      <c r="BC85" s="141" t="str">
        <f t="shared" si="142"/>
        <v/>
      </c>
      <c r="BD85" s="10"/>
      <c r="BE85" s="129"/>
      <c r="BF85" s="145" t="s">
        <v>63</v>
      </c>
      <c r="BG85" s="131" t="str">
        <f t="shared" si="143"/>
        <v/>
      </c>
      <c r="BH85" s="132" t="str">
        <f t="shared" si="144"/>
        <v/>
      </c>
      <c r="BI85" s="132" t="str">
        <f t="shared" si="145"/>
        <v/>
      </c>
      <c r="BJ85" s="132" t="str">
        <f t="shared" si="146"/>
        <v/>
      </c>
      <c r="BK85" s="132" t="str">
        <f t="shared" si="147"/>
        <v/>
      </c>
      <c r="BL85" s="132" t="str">
        <f t="shared" si="148"/>
        <v/>
      </c>
      <c r="BM85" s="146"/>
      <c r="BN85" s="8" t="str">
        <f>IF(BO85="","",IF(各種設定金額!$B$7="","○○県",各種設定金額!$B$7))</f>
        <v/>
      </c>
      <c r="BO85" s="6"/>
      <c r="BP85" s="4"/>
      <c r="BQ85" s="141" t="str">
        <f t="shared" si="149"/>
        <v/>
      </c>
      <c r="BR85" s="10"/>
      <c r="BS85" s="129"/>
      <c r="BT85" s="145" t="s">
        <v>63</v>
      </c>
      <c r="BU85" s="131" t="str">
        <f t="shared" si="150"/>
        <v/>
      </c>
      <c r="BV85" s="132" t="str">
        <f t="shared" si="151"/>
        <v/>
      </c>
      <c r="BW85" s="132" t="str">
        <f t="shared" si="152"/>
        <v/>
      </c>
      <c r="BX85" s="132" t="str">
        <f t="shared" si="153"/>
        <v/>
      </c>
      <c r="BY85" s="132" t="str">
        <f t="shared" si="154"/>
        <v/>
      </c>
      <c r="BZ85" s="132" t="str">
        <f t="shared" si="155"/>
        <v/>
      </c>
      <c r="CA85" s="146"/>
      <c r="CB85" s="10" t="str">
        <f t="shared" si="156"/>
        <v/>
      </c>
      <c r="CC85" s="7" t="str">
        <f t="shared" si="157"/>
        <v/>
      </c>
      <c r="CD85" s="147"/>
      <c r="CE85" s="147"/>
      <c r="CF85" s="6"/>
      <c r="CG85" s="4"/>
      <c r="CH85" s="148">
        <f t="shared" ca="1" si="158"/>
        <v>2026</v>
      </c>
      <c r="CI85" s="121" t="str">
        <f t="shared" ca="1" si="159"/>
        <v>令和</v>
      </c>
      <c r="CJ85" s="122" t="str">
        <f t="shared" ca="1" si="160"/>
        <v>R</v>
      </c>
      <c r="CK85" s="122" t="str">
        <f t="shared" ca="1" si="161"/>
        <v>8</v>
      </c>
      <c r="CL85" s="122">
        <f t="shared" ca="1" si="162"/>
        <v>10</v>
      </c>
      <c r="CM85" s="149">
        <f t="shared" ca="1" si="163"/>
        <v>24</v>
      </c>
      <c r="CN85" s="1"/>
      <c r="CO85" s="150">
        <f t="shared" ca="1" si="164"/>
        <v>46319</v>
      </c>
    </row>
    <row r="86" spans="1:93" ht="20.100000000000001" customHeight="1" x14ac:dyDescent="0.15">
      <c r="A86" s="7" t="str">
        <f>IF(B86="","",ROW()-ROW(会員表[#Headers]))</f>
        <v/>
      </c>
      <c r="B86" s="4" ph="1"/>
      <c r="C86" s="4" t="str" cm="1">
        <f t="array" ref="C86">_xlfn.LET(_xlpm.s,PHONETIC(B86),_xlpm.c,_xlfn.UNICODE(MID(_xlpm.s,_xlfn.SEQUENCE(LEN(_xlpm.s)),1)),IF(_xlpm.s="","",_xlfn.CONCAT(_xlfn.UNICHAR(_xlpm.c-96*(_xlpm.c&gt;=12449)*(_xlpm.c&lt;=12534)))))</f>
        <v/>
      </c>
      <c r="D86" s="4" t="str" cm="1">
        <f t="array" ref="D86">_xlfn.LET(_xlpm.s,PHONETIC(B86),_xlpm.c,_xlfn.UNICODE(MID(_xlpm.s,_xlfn.SEQUENCE(LEN(_xlpm.s)),1)),IF(_xlpm.s="","",_xlfn.CONCAT(_xlfn.UNICHAR(_xlpm.c+96*(_xlpm.c&gt;=12353)*(_xlpm.c&lt;=12438)))))</f>
        <v/>
      </c>
      <c r="E86" s="129" t="str">
        <f t="shared" ca="1" si="110"/>
        <v/>
      </c>
      <c r="F86" s="130" t="str">
        <f t="shared" si="111"/>
        <v/>
      </c>
      <c r="G86" s="130" t="str">
        <f t="shared" si="112"/>
        <v/>
      </c>
      <c r="H86" s="130" t="str">
        <f t="shared" si="113"/>
        <v/>
      </c>
      <c r="I86" s="131" t="str">
        <f t="shared" si="114"/>
        <v/>
      </c>
      <c r="J86" s="132" t="str">
        <f t="shared" si="115"/>
        <v/>
      </c>
      <c r="K86" s="121" t="str">
        <f t="shared" si="116"/>
        <v/>
      </c>
      <c r="L86" s="129" t="str">
        <f t="shared" si="117"/>
        <v/>
      </c>
      <c r="M86" s="7" t="str">
        <f t="shared" si="118"/>
        <v/>
      </c>
      <c r="N86" s="133"/>
      <c r="O86" s="8"/>
      <c r="P86" s="5" t="str">
        <f t="shared" si="119"/>
        <v/>
      </c>
      <c r="Q86" s="121" t="str">
        <f t="shared" si="120"/>
        <v/>
      </c>
      <c r="R86" s="121" t="str">
        <f t="shared" si="121"/>
        <v/>
      </c>
      <c r="S86" s="7" t="str">
        <f t="shared" si="122"/>
        <v/>
      </c>
      <c r="T86" s="5"/>
      <c r="U86" s="5" t="str">
        <f t="shared" si="123"/>
        <v/>
      </c>
      <c r="V86" s="121" t="str">
        <f t="shared" si="124"/>
        <v/>
      </c>
      <c r="W86" s="121" t="str">
        <f t="shared" si="125"/>
        <v/>
      </c>
      <c r="X86" s="7" t="str">
        <f t="shared" si="126"/>
        <v/>
      </c>
      <c r="Y86" s="136"/>
      <c r="Z86" s="5" t="str">
        <f t="shared" si="127"/>
        <v/>
      </c>
      <c r="AA86" s="137" t="s">
        <v>183</v>
      </c>
      <c r="AB86" s="7" t="str">
        <f t="shared" si="128"/>
        <v/>
      </c>
      <c r="AC86" s="9"/>
      <c r="AD86" s="4"/>
      <c r="AE86" s="138" t="str">
        <f t="shared" si="129"/>
        <v/>
      </c>
      <c r="AF86" s="139" t="str">
        <f t="shared" si="130"/>
        <v/>
      </c>
      <c r="AG86" s="139" t="str">
        <f t="shared" si="131"/>
        <v/>
      </c>
      <c r="AH86" s="139" t="str">
        <f t="shared" si="132"/>
        <v/>
      </c>
      <c r="AI86" s="139" t="str">
        <f t="shared" si="133"/>
        <v/>
      </c>
      <c r="AJ86" s="140" t="str">
        <f t="shared" si="134"/>
        <v/>
      </c>
      <c r="AK86" s="8"/>
      <c r="AL86" s="8" t="str">
        <f>IF(AM86="","",IF(各種設定金額!$B$7="","○○県",各種設定金額!$B$7))</f>
        <v/>
      </c>
      <c r="AM86" s="4"/>
      <c r="AN86" s="4"/>
      <c r="AO86" s="141" t="str">
        <f t="shared" si="135"/>
        <v/>
      </c>
      <c r="AP86" s="10"/>
      <c r="AQ86" s="129"/>
      <c r="AR86" s="142" t="s">
        <v>182</v>
      </c>
      <c r="AS86" s="131" t="str">
        <f t="shared" si="136"/>
        <v/>
      </c>
      <c r="AT86" s="132" t="str">
        <f t="shared" si="137"/>
        <v/>
      </c>
      <c r="AU86" s="132" t="str">
        <f t="shared" si="138"/>
        <v/>
      </c>
      <c r="AV86" s="132" t="str">
        <f t="shared" si="139"/>
        <v/>
      </c>
      <c r="AW86" s="132" t="str">
        <f t="shared" si="140"/>
        <v/>
      </c>
      <c r="AX86" s="143" t="str">
        <f t="shared" si="141"/>
        <v/>
      </c>
      <c r="AY86" s="144"/>
      <c r="AZ86" s="8" t="str">
        <f>IF(BA86="","",IF(各種設定金額!$B$7="","○○県",各種設定金額!$B$7))</f>
        <v/>
      </c>
      <c r="BA86" s="6"/>
      <c r="BB86" s="4"/>
      <c r="BC86" s="141" t="str">
        <f t="shared" si="142"/>
        <v/>
      </c>
      <c r="BD86" s="10"/>
      <c r="BE86" s="129"/>
      <c r="BF86" s="145" t="s">
        <v>63</v>
      </c>
      <c r="BG86" s="131" t="str">
        <f t="shared" si="143"/>
        <v/>
      </c>
      <c r="BH86" s="132" t="str">
        <f t="shared" si="144"/>
        <v/>
      </c>
      <c r="BI86" s="132" t="str">
        <f t="shared" si="145"/>
        <v/>
      </c>
      <c r="BJ86" s="132" t="str">
        <f t="shared" si="146"/>
        <v/>
      </c>
      <c r="BK86" s="132" t="str">
        <f t="shared" si="147"/>
        <v/>
      </c>
      <c r="BL86" s="132" t="str">
        <f t="shared" si="148"/>
        <v/>
      </c>
      <c r="BM86" s="146"/>
      <c r="BN86" s="8" t="str">
        <f>IF(BO86="","",IF(各種設定金額!$B$7="","○○県",各種設定金額!$B$7))</f>
        <v/>
      </c>
      <c r="BO86" s="6"/>
      <c r="BP86" s="4"/>
      <c r="BQ86" s="141" t="str">
        <f t="shared" si="149"/>
        <v/>
      </c>
      <c r="BR86" s="10"/>
      <c r="BS86" s="129"/>
      <c r="BT86" s="145" t="s">
        <v>63</v>
      </c>
      <c r="BU86" s="131" t="str">
        <f t="shared" si="150"/>
        <v/>
      </c>
      <c r="BV86" s="132" t="str">
        <f t="shared" si="151"/>
        <v/>
      </c>
      <c r="BW86" s="132" t="str">
        <f t="shared" si="152"/>
        <v/>
      </c>
      <c r="BX86" s="132" t="str">
        <f t="shared" si="153"/>
        <v/>
      </c>
      <c r="BY86" s="132" t="str">
        <f t="shared" si="154"/>
        <v/>
      </c>
      <c r="BZ86" s="132" t="str">
        <f t="shared" si="155"/>
        <v/>
      </c>
      <c r="CA86" s="146"/>
      <c r="CB86" s="10" t="str">
        <f t="shared" si="156"/>
        <v/>
      </c>
      <c r="CC86" s="7" t="str">
        <f t="shared" si="157"/>
        <v/>
      </c>
      <c r="CD86" s="147"/>
      <c r="CE86" s="147"/>
      <c r="CF86" s="6"/>
      <c r="CG86" s="4"/>
      <c r="CH86" s="148">
        <f t="shared" ca="1" si="158"/>
        <v>2026</v>
      </c>
      <c r="CI86" s="121" t="str">
        <f t="shared" ca="1" si="159"/>
        <v>令和</v>
      </c>
      <c r="CJ86" s="122" t="str">
        <f t="shared" ca="1" si="160"/>
        <v>R</v>
      </c>
      <c r="CK86" s="122" t="str">
        <f t="shared" ca="1" si="161"/>
        <v>8</v>
      </c>
      <c r="CL86" s="122">
        <f t="shared" ca="1" si="162"/>
        <v>10</v>
      </c>
      <c r="CM86" s="149">
        <f t="shared" ca="1" si="163"/>
        <v>24</v>
      </c>
      <c r="CN86" s="1"/>
      <c r="CO86" s="150">
        <f t="shared" ca="1" si="164"/>
        <v>46319</v>
      </c>
    </row>
    <row r="87" spans="1:93" ht="20.100000000000001" customHeight="1" x14ac:dyDescent="0.15">
      <c r="A87" s="7" t="str">
        <f>IF(B87="","",ROW()-ROW(会員表[#Headers]))</f>
        <v/>
      </c>
      <c r="B87" s="4" ph="1"/>
      <c r="C87" s="4" t="str" cm="1">
        <f t="array" ref="C87">_xlfn.LET(_xlpm.s,PHONETIC(B87),_xlpm.c,_xlfn.UNICODE(MID(_xlpm.s,_xlfn.SEQUENCE(LEN(_xlpm.s)),1)),IF(_xlpm.s="","",_xlfn.CONCAT(_xlfn.UNICHAR(_xlpm.c-96*(_xlpm.c&gt;=12449)*(_xlpm.c&lt;=12534)))))</f>
        <v/>
      </c>
      <c r="D87" s="4" t="str" cm="1">
        <f t="array" ref="D87">_xlfn.LET(_xlpm.s,PHONETIC(B87),_xlpm.c,_xlfn.UNICODE(MID(_xlpm.s,_xlfn.SEQUENCE(LEN(_xlpm.s)),1)),IF(_xlpm.s="","",_xlfn.CONCAT(_xlfn.UNICHAR(_xlpm.c+96*(_xlpm.c&gt;=12353)*(_xlpm.c&lt;=12438)))))</f>
        <v/>
      </c>
      <c r="E87" s="129" t="str">
        <f t="shared" ca="1" si="110"/>
        <v/>
      </c>
      <c r="F87" s="130" t="str">
        <f t="shared" si="111"/>
        <v/>
      </c>
      <c r="G87" s="130" t="str">
        <f t="shared" si="112"/>
        <v/>
      </c>
      <c r="H87" s="130" t="str">
        <f t="shared" si="113"/>
        <v/>
      </c>
      <c r="I87" s="131" t="str">
        <f t="shared" si="114"/>
        <v/>
      </c>
      <c r="J87" s="132" t="str">
        <f t="shared" si="115"/>
        <v/>
      </c>
      <c r="K87" s="121" t="str">
        <f t="shared" si="116"/>
        <v/>
      </c>
      <c r="L87" s="129" t="str">
        <f t="shared" si="117"/>
        <v/>
      </c>
      <c r="M87" s="7" t="str">
        <f t="shared" si="118"/>
        <v/>
      </c>
      <c r="N87" s="133"/>
      <c r="O87" s="8"/>
      <c r="P87" s="5" t="str">
        <f t="shared" si="119"/>
        <v/>
      </c>
      <c r="Q87" s="121" t="str">
        <f t="shared" si="120"/>
        <v/>
      </c>
      <c r="R87" s="121" t="str">
        <f t="shared" si="121"/>
        <v/>
      </c>
      <c r="S87" s="7" t="str">
        <f t="shared" si="122"/>
        <v/>
      </c>
      <c r="T87" s="5"/>
      <c r="U87" s="5" t="str">
        <f t="shared" si="123"/>
        <v/>
      </c>
      <c r="V87" s="121" t="str">
        <f t="shared" si="124"/>
        <v/>
      </c>
      <c r="W87" s="121" t="str">
        <f t="shared" si="125"/>
        <v/>
      </c>
      <c r="X87" s="7" t="str">
        <f t="shared" si="126"/>
        <v/>
      </c>
      <c r="Y87" s="136"/>
      <c r="Z87" s="5" t="str">
        <f t="shared" si="127"/>
        <v/>
      </c>
      <c r="AA87" s="137" t="s">
        <v>183</v>
      </c>
      <c r="AB87" s="7" t="str">
        <f t="shared" si="128"/>
        <v/>
      </c>
      <c r="AC87" s="9"/>
      <c r="AD87" s="4"/>
      <c r="AE87" s="138" t="str">
        <f t="shared" si="129"/>
        <v/>
      </c>
      <c r="AF87" s="139" t="str">
        <f t="shared" si="130"/>
        <v/>
      </c>
      <c r="AG87" s="139" t="str">
        <f t="shared" si="131"/>
        <v/>
      </c>
      <c r="AH87" s="139" t="str">
        <f t="shared" si="132"/>
        <v/>
      </c>
      <c r="AI87" s="139" t="str">
        <f t="shared" si="133"/>
        <v/>
      </c>
      <c r="AJ87" s="140" t="str">
        <f t="shared" si="134"/>
        <v/>
      </c>
      <c r="AK87" s="8"/>
      <c r="AL87" s="8" t="str">
        <f>IF(AM87="","",IF(各種設定金額!$B$7="","○○県",各種設定金額!$B$7))</f>
        <v/>
      </c>
      <c r="AM87" s="4"/>
      <c r="AN87" s="4"/>
      <c r="AO87" s="141" t="str">
        <f t="shared" si="135"/>
        <v/>
      </c>
      <c r="AP87" s="10"/>
      <c r="AQ87" s="129"/>
      <c r="AR87" s="142" t="s">
        <v>182</v>
      </c>
      <c r="AS87" s="131" t="str">
        <f t="shared" si="136"/>
        <v/>
      </c>
      <c r="AT87" s="132" t="str">
        <f t="shared" si="137"/>
        <v/>
      </c>
      <c r="AU87" s="132" t="str">
        <f t="shared" si="138"/>
        <v/>
      </c>
      <c r="AV87" s="132" t="str">
        <f t="shared" si="139"/>
        <v/>
      </c>
      <c r="AW87" s="132" t="str">
        <f t="shared" si="140"/>
        <v/>
      </c>
      <c r="AX87" s="143" t="str">
        <f t="shared" si="141"/>
        <v/>
      </c>
      <c r="AY87" s="144"/>
      <c r="AZ87" s="8" t="str">
        <f>IF(BA87="","",IF(各種設定金額!$B$7="","○○県",各種設定金額!$B$7))</f>
        <v/>
      </c>
      <c r="BA87" s="6"/>
      <c r="BB87" s="4"/>
      <c r="BC87" s="141" t="str">
        <f t="shared" si="142"/>
        <v/>
      </c>
      <c r="BD87" s="10"/>
      <c r="BE87" s="129"/>
      <c r="BF87" s="145" t="s">
        <v>63</v>
      </c>
      <c r="BG87" s="131" t="str">
        <f t="shared" si="143"/>
        <v/>
      </c>
      <c r="BH87" s="132" t="str">
        <f t="shared" si="144"/>
        <v/>
      </c>
      <c r="BI87" s="132" t="str">
        <f t="shared" si="145"/>
        <v/>
      </c>
      <c r="BJ87" s="132" t="str">
        <f t="shared" si="146"/>
        <v/>
      </c>
      <c r="BK87" s="132" t="str">
        <f t="shared" si="147"/>
        <v/>
      </c>
      <c r="BL87" s="132" t="str">
        <f t="shared" si="148"/>
        <v/>
      </c>
      <c r="BM87" s="146"/>
      <c r="BN87" s="8" t="str">
        <f>IF(BO87="","",IF(各種設定金額!$B$7="","○○県",各種設定金額!$B$7))</f>
        <v/>
      </c>
      <c r="BO87" s="6"/>
      <c r="BP87" s="4"/>
      <c r="BQ87" s="141" t="str">
        <f t="shared" si="149"/>
        <v/>
      </c>
      <c r="BR87" s="10"/>
      <c r="BS87" s="129"/>
      <c r="BT87" s="145" t="s">
        <v>63</v>
      </c>
      <c r="BU87" s="131" t="str">
        <f t="shared" si="150"/>
        <v/>
      </c>
      <c r="BV87" s="132" t="str">
        <f t="shared" si="151"/>
        <v/>
      </c>
      <c r="BW87" s="132" t="str">
        <f t="shared" si="152"/>
        <v/>
      </c>
      <c r="BX87" s="132" t="str">
        <f t="shared" si="153"/>
        <v/>
      </c>
      <c r="BY87" s="132" t="str">
        <f t="shared" si="154"/>
        <v/>
      </c>
      <c r="BZ87" s="132" t="str">
        <f t="shared" si="155"/>
        <v/>
      </c>
      <c r="CA87" s="146"/>
      <c r="CB87" s="10" t="str">
        <f t="shared" si="156"/>
        <v/>
      </c>
      <c r="CC87" s="7" t="str">
        <f t="shared" si="157"/>
        <v/>
      </c>
      <c r="CD87" s="147"/>
      <c r="CE87" s="147"/>
      <c r="CF87" s="6"/>
      <c r="CG87" s="4"/>
      <c r="CH87" s="148">
        <f t="shared" ca="1" si="158"/>
        <v>2026</v>
      </c>
      <c r="CI87" s="121" t="str">
        <f t="shared" ca="1" si="159"/>
        <v>令和</v>
      </c>
      <c r="CJ87" s="122" t="str">
        <f t="shared" ca="1" si="160"/>
        <v>R</v>
      </c>
      <c r="CK87" s="122" t="str">
        <f t="shared" ca="1" si="161"/>
        <v>8</v>
      </c>
      <c r="CL87" s="122">
        <f t="shared" ca="1" si="162"/>
        <v>10</v>
      </c>
      <c r="CM87" s="149">
        <f t="shared" ca="1" si="163"/>
        <v>24</v>
      </c>
      <c r="CN87" s="1"/>
      <c r="CO87" s="150">
        <f t="shared" ca="1" si="164"/>
        <v>46319</v>
      </c>
    </row>
    <row r="88" spans="1:93" ht="20.100000000000001" customHeight="1" x14ac:dyDescent="0.15">
      <c r="A88" s="7" t="str">
        <f>IF(B88="","",ROW()-ROW(会員表[#Headers]))</f>
        <v/>
      </c>
      <c r="B88" s="4" ph="1"/>
      <c r="C88" s="4" t="str" cm="1">
        <f t="array" ref="C88">_xlfn.LET(_xlpm.s,PHONETIC(B88),_xlpm.c,_xlfn.UNICODE(MID(_xlpm.s,_xlfn.SEQUENCE(LEN(_xlpm.s)),1)),IF(_xlpm.s="","",_xlfn.CONCAT(_xlfn.UNICHAR(_xlpm.c-96*(_xlpm.c&gt;=12449)*(_xlpm.c&lt;=12534)))))</f>
        <v/>
      </c>
      <c r="D88" s="4" t="str" cm="1">
        <f t="array" ref="D88">_xlfn.LET(_xlpm.s,PHONETIC(B88),_xlpm.c,_xlfn.UNICODE(MID(_xlpm.s,_xlfn.SEQUENCE(LEN(_xlpm.s)),1)),IF(_xlpm.s="","",_xlfn.CONCAT(_xlfn.UNICHAR(_xlpm.c+96*(_xlpm.c&gt;=12353)*(_xlpm.c&lt;=12438)))))</f>
        <v/>
      </c>
      <c r="E88" s="129" t="str">
        <f t="shared" ca="1" si="110"/>
        <v/>
      </c>
      <c r="F88" s="130" t="str">
        <f t="shared" si="111"/>
        <v/>
      </c>
      <c r="G88" s="130" t="str">
        <f t="shared" si="112"/>
        <v/>
      </c>
      <c r="H88" s="130" t="str">
        <f t="shared" si="113"/>
        <v/>
      </c>
      <c r="I88" s="131" t="str">
        <f t="shared" si="114"/>
        <v/>
      </c>
      <c r="J88" s="132" t="str">
        <f t="shared" si="115"/>
        <v/>
      </c>
      <c r="K88" s="121" t="str">
        <f t="shared" si="116"/>
        <v/>
      </c>
      <c r="L88" s="129" t="str">
        <f t="shared" si="117"/>
        <v/>
      </c>
      <c r="M88" s="7" t="str">
        <f t="shared" si="118"/>
        <v/>
      </c>
      <c r="N88" s="133"/>
      <c r="O88" s="8"/>
      <c r="P88" s="5" t="str">
        <f t="shared" si="119"/>
        <v/>
      </c>
      <c r="Q88" s="121" t="str">
        <f t="shared" si="120"/>
        <v/>
      </c>
      <c r="R88" s="121" t="str">
        <f t="shared" si="121"/>
        <v/>
      </c>
      <c r="S88" s="7" t="str">
        <f t="shared" si="122"/>
        <v/>
      </c>
      <c r="T88" s="5"/>
      <c r="U88" s="5" t="str">
        <f t="shared" si="123"/>
        <v/>
      </c>
      <c r="V88" s="121" t="str">
        <f t="shared" si="124"/>
        <v/>
      </c>
      <c r="W88" s="121" t="str">
        <f t="shared" si="125"/>
        <v/>
      </c>
      <c r="X88" s="7" t="str">
        <f t="shared" si="126"/>
        <v/>
      </c>
      <c r="Y88" s="136"/>
      <c r="Z88" s="5" t="str">
        <f t="shared" si="127"/>
        <v/>
      </c>
      <c r="AA88" s="137" t="s">
        <v>183</v>
      </c>
      <c r="AB88" s="7" t="str">
        <f t="shared" si="128"/>
        <v/>
      </c>
      <c r="AC88" s="9"/>
      <c r="AD88" s="4"/>
      <c r="AE88" s="138" t="str">
        <f t="shared" si="129"/>
        <v/>
      </c>
      <c r="AF88" s="139" t="str">
        <f t="shared" si="130"/>
        <v/>
      </c>
      <c r="AG88" s="139" t="str">
        <f t="shared" si="131"/>
        <v/>
      </c>
      <c r="AH88" s="139" t="str">
        <f t="shared" si="132"/>
        <v/>
      </c>
      <c r="AI88" s="139" t="str">
        <f t="shared" si="133"/>
        <v/>
      </c>
      <c r="AJ88" s="140" t="str">
        <f t="shared" si="134"/>
        <v/>
      </c>
      <c r="AK88" s="8"/>
      <c r="AL88" s="8" t="str">
        <f>IF(AM88="","",IF(各種設定金額!$B$7="","○○県",各種設定金額!$B$7))</f>
        <v/>
      </c>
      <c r="AM88" s="4"/>
      <c r="AN88" s="4"/>
      <c r="AO88" s="141" t="str">
        <f t="shared" si="135"/>
        <v/>
      </c>
      <c r="AP88" s="10"/>
      <c r="AQ88" s="129"/>
      <c r="AR88" s="142" t="s">
        <v>182</v>
      </c>
      <c r="AS88" s="131" t="str">
        <f t="shared" si="136"/>
        <v/>
      </c>
      <c r="AT88" s="132" t="str">
        <f t="shared" si="137"/>
        <v/>
      </c>
      <c r="AU88" s="132" t="str">
        <f t="shared" si="138"/>
        <v/>
      </c>
      <c r="AV88" s="132" t="str">
        <f t="shared" si="139"/>
        <v/>
      </c>
      <c r="AW88" s="132" t="str">
        <f t="shared" si="140"/>
        <v/>
      </c>
      <c r="AX88" s="143" t="str">
        <f t="shared" si="141"/>
        <v/>
      </c>
      <c r="AY88" s="144"/>
      <c r="AZ88" s="8" t="str">
        <f>IF(BA88="","",IF(各種設定金額!$B$7="","○○県",各種設定金額!$B$7))</f>
        <v/>
      </c>
      <c r="BA88" s="6"/>
      <c r="BB88" s="4"/>
      <c r="BC88" s="141" t="str">
        <f t="shared" si="142"/>
        <v/>
      </c>
      <c r="BD88" s="10"/>
      <c r="BE88" s="129"/>
      <c r="BF88" s="145" t="s">
        <v>63</v>
      </c>
      <c r="BG88" s="131" t="str">
        <f t="shared" si="143"/>
        <v/>
      </c>
      <c r="BH88" s="132" t="str">
        <f t="shared" si="144"/>
        <v/>
      </c>
      <c r="BI88" s="132" t="str">
        <f t="shared" si="145"/>
        <v/>
      </c>
      <c r="BJ88" s="132" t="str">
        <f t="shared" si="146"/>
        <v/>
      </c>
      <c r="BK88" s="132" t="str">
        <f t="shared" si="147"/>
        <v/>
      </c>
      <c r="BL88" s="132" t="str">
        <f t="shared" si="148"/>
        <v/>
      </c>
      <c r="BM88" s="146"/>
      <c r="BN88" s="8" t="str">
        <f>IF(BO88="","",IF(各種設定金額!$B$7="","○○県",各種設定金額!$B$7))</f>
        <v/>
      </c>
      <c r="BO88" s="6"/>
      <c r="BP88" s="4"/>
      <c r="BQ88" s="141" t="str">
        <f t="shared" si="149"/>
        <v/>
      </c>
      <c r="BR88" s="10"/>
      <c r="BS88" s="129"/>
      <c r="BT88" s="145" t="s">
        <v>63</v>
      </c>
      <c r="BU88" s="131" t="str">
        <f t="shared" si="150"/>
        <v/>
      </c>
      <c r="BV88" s="132" t="str">
        <f t="shared" si="151"/>
        <v/>
      </c>
      <c r="BW88" s="132" t="str">
        <f t="shared" si="152"/>
        <v/>
      </c>
      <c r="BX88" s="132" t="str">
        <f t="shared" si="153"/>
        <v/>
      </c>
      <c r="BY88" s="132" t="str">
        <f t="shared" si="154"/>
        <v/>
      </c>
      <c r="BZ88" s="132" t="str">
        <f t="shared" si="155"/>
        <v/>
      </c>
      <c r="CA88" s="146"/>
      <c r="CB88" s="10" t="str">
        <f t="shared" si="156"/>
        <v/>
      </c>
      <c r="CC88" s="7" t="str">
        <f t="shared" si="157"/>
        <v/>
      </c>
      <c r="CD88" s="147"/>
      <c r="CE88" s="147"/>
      <c r="CF88" s="6"/>
      <c r="CG88" s="4"/>
      <c r="CH88" s="148">
        <f t="shared" ca="1" si="158"/>
        <v>2026</v>
      </c>
      <c r="CI88" s="121" t="str">
        <f t="shared" ca="1" si="159"/>
        <v>令和</v>
      </c>
      <c r="CJ88" s="122" t="str">
        <f t="shared" ca="1" si="160"/>
        <v>R</v>
      </c>
      <c r="CK88" s="122" t="str">
        <f t="shared" ca="1" si="161"/>
        <v>8</v>
      </c>
      <c r="CL88" s="122">
        <f t="shared" ca="1" si="162"/>
        <v>10</v>
      </c>
      <c r="CM88" s="149">
        <f t="shared" ca="1" si="163"/>
        <v>24</v>
      </c>
      <c r="CN88" s="1"/>
      <c r="CO88" s="150">
        <f t="shared" ca="1" si="164"/>
        <v>46319</v>
      </c>
    </row>
    <row r="89" spans="1:93" ht="20.100000000000001" customHeight="1" x14ac:dyDescent="0.15">
      <c r="A89" s="7" t="str">
        <f>IF(B89="","",ROW()-ROW(会員表[#Headers]))</f>
        <v/>
      </c>
      <c r="B89" s="4" ph="1"/>
      <c r="C89" s="4" t="str" cm="1">
        <f t="array" ref="C89">_xlfn.LET(_xlpm.s,PHONETIC(B89),_xlpm.c,_xlfn.UNICODE(MID(_xlpm.s,_xlfn.SEQUENCE(LEN(_xlpm.s)),1)),IF(_xlpm.s="","",_xlfn.CONCAT(_xlfn.UNICHAR(_xlpm.c-96*(_xlpm.c&gt;=12449)*(_xlpm.c&lt;=12534)))))</f>
        <v/>
      </c>
      <c r="D89" s="4" t="str" cm="1">
        <f t="array" ref="D89">_xlfn.LET(_xlpm.s,PHONETIC(B89),_xlpm.c,_xlfn.UNICODE(MID(_xlpm.s,_xlfn.SEQUENCE(LEN(_xlpm.s)),1)),IF(_xlpm.s="","",_xlfn.CONCAT(_xlfn.UNICHAR(_xlpm.c+96*(_xlpm.c&gt;=12353)*(_xlpm.c&lt;=12438)))))</f>
        <v/>
      </c>
      <c r="E89" s="129" t="str">
        <f t="shared" ca="1" si="110"/>
        <v/>
      </c>
      <c r="F89" s="130" t="str">
        <f t="shared" si="111"/>
        <v/>
      </c>
      <c r="G89" s="130" t="str">
        <f t="shared" si="112"/>
        <v/>
      </c>
      <c r="H89" s="130" t="str">
        <f t="shared" si="113"/>
        <v/>
      </c>
      <c r="I89" s="131" t="str">
        <f t="shared" si="114"/>
        <v/>
      </c>
      <c r="J89" s="132" t="str">
        <f t="shared" si="115"/>
        <v/>
      </c>
      <c r="K89" s="121" t="str">
        <f t="shared" si="116"/>
        <v/>
      </c>
      <c r="L89" s="129" t="str">
        <f t="shared" si="117"/>
        <v/>
      </c>
      <c r="M89" s="7" t="str">
        <f t="shared" si="118"/>
        <v/>
      </c>
      <c r="N89" s="133"/>
      <c r="O89" s="8"/>
      <c r="P89" s="5" t="str">
        <f t="shared" si="119"/>
        <v/>
      </c>
      <c r="Q89" s="121" t="str">
        <f t="shared" si="120"/>
        <v/>
      </c>
      <c r="R89" s="121" t="str">
        <f t="shared" si="121"/>
        <v/>
      </c>
      <c r="S89" s="7" t="str">
        <f t="shared" si="122"/>
        <v/>
      </c>
      <c r="T89" s="5"/>
      <c r="U89" s="5" t="str">
        <f t="shared" si="123"/>
        <v/>
      </c>
      <c r="V89" s="121" t="str">
        <f t="shared" si="124"/>
        <v/>
      </c>
      <c r="W89" s="121" t="str">
        <f t="shared" si="125"/>
        <v/>
      </c>
      <c r="X89" s="7" t="str">
        <f t="shared" si="126"/>
        <v/>
      </c>
      <c r="Y89" s="136"/>
      <c r="Z89" s="5" t="str">
        <f t="shared" si="127"/>
        <v/>
      </c>
      <c r="AA89" s="137" t="s">
        <v>183</v>
      </c>
      <c r="AB89" s="7" t="str">
        <f t="shared" si="128"/>
        <v/>
      </c>
      <c r="AC89" s="9"/>
      <c r="AD89" s="4"/>
      <c r="AE89" s="138" t="str">
        <f t="shared" si="129"/>
        <v/>
      </c>
      <c r="AF89" s="139" t="str">
        <f t="shared" si="130"/>
        <v/>
      </c>
      <c r="AG89" s="139" t="str">
        <f t="shared" si="131"/>
        <v/>
      </c>
      <c r="AH89" s="139" t="str">
        <f t="shared" si="132"/>
        <v/>
      </c>
      <c r="AI89" s="139" t="str">
        <f t="shared" si="133"/>
        <v/>
      </c>
      <c r="AJ89" s="140" t="str">
        <f t="shared" si="134"/>
        <v/>
      </c>
      <c r="AK89" s="8"/>
      <c r="AL89" s="8" t="str">
        <f>IF(AM89="","",IF(各種設定金額!$B$7="","○○県",各種設定金額!$B$7))</f>
        <v/>
      </c>
      <c r="AM89" s="4"/>
      <c r="AN89" s="4"/>
      <c r="AO89" s="141" t="str">
        <f t="shared" si="135"/>
        <v/>
      </c>
      <c r="AP89" s="10"/>
      <c r="AQ89" s="129"/>
      <c r="AR89" s="142" t="s">
        <v>182</v>
      </c>
      <c r="AS89" s="131" t="str">
        <f t="shared" si="136"/>
        <v/>
      </c>
      <c r="AT89" s="132" t="str">
        <f t="shared" si="137"/>
        <v/>
      </c>
      <c r="AU89" s="132" t="str">
        <f t="shared" si="138"/>
        <v/>
      </c>
      <c r="AV89" s="132" t="str">
        <f t="shared" si="139"/>
        <v/>
      </c>
      <c r="AW89" s="132" t="str">
        <f t="shared" si="140"/>
        <v/>
      </c>
      <c r="AX89" s="143" t="str">
        <f t="shared" si="141"/>
        <v/>
      </c>
      <c r="AY89" s="144"/>
      <c r="AZ89" s="8" t="str">
        <f>IF(BA89="","",IF(各種設定金額!$B$7="","○○県",各種設定金額!$B$7))</f>
        <v/>
      </c>
      <c r="BA89" s="6"/>
      <c r="BB89" s="4"/>
      <c r="BC89" s="141" t="str">
        <f t="shared" si="142"/>
        <v/>
      </c>
      <c r="BD89" s="10"/>
      <c r="BE89" s="129"/>
      <c r="BF89" s="145" t="s">
        <v>63</v>
      </c>
      <c r="BG89" s="131" t="str">
        <f t="shared" si="143"/>
        <v/>
      </c>
      <c r="BH89" s="132" t="str">
        <f t="shared" si="144"/>
        <v/>
      </c>
      <c r="BI89" s="132" t="str">
        <f t="shared" si="145"/>
        <v/>
      </c>
      <c r="BJ89" s="132" t="str">
        <f t="shared" si="146"/>
        <v/>
      </c>
      <c r="BK89" s="132" t="str">
        <f t="shared" si="147"/>
        <v/>
      </c>
      <c r="BL89" s="132" t="str">
        <f t="shared" si="148"/>
        <v/>
      </c>
      <c r="BM89" s="146"/>
      <c r="BN89" s="8" t="str">
        <f>IF(BO89="","",IF(各種設定金額!$B$7="","○○県",各種設定金額!$B$7))</f>
        <v/>
      </c>
      <c r="BO89" s="6"/>
      <c r="BP89" s="4"/>
      <c r="BQ89" s="141" t="str">
        <f t="shared" si="149"/>
        <v/>
      </c>
      <c r="BR89" s="10"/>
      <c r="BS89" s="129"/>
      <c r="BT89" s="145" t="s">
        <v>63</v>
      </c>
      <c r="BU89" s="131" t="str">
        <f t="shared" si="150"/>
        <v/>
      </c>
      <c r="BV89" s="132" t="str">
        <f t="shared" si="151"/>
        <v/>
      </c>
      <c r="BW89" s="132" t="str">
        <f t="shared" si="152"/>
        <v/>
      </c>
      <c r="BX89" s="132" t="str">
        <f t="shared" si="153"/>
        <v/>
      </c>
      <c r="BY89" s="132" t="str">
        <f t="shared" si="154"/>
        <v/>
      </c>
      <c r="BZ89" s="132" t="str">
        <f t="shared" si="155"/>
        <v/>
      </c>
      <c r="CA89" s="146"/>
      <c r="CB89" s="10" t="str">
        <f t="shared" si="156"/>
        <v/>
      </c>
      <c r="CC89" s="7" t="str">
        <f t="shared" si="157"/>
        <v/>
      </c>
      <c r="CD89" s="147"/>
      <c r="CE89" s="147"/>
      <c r="CF89" s="6"/>
      <c r="CG89" s="4"/>
      <c r="CH89" s="148">
        <f t="shared" ca="1" si="158"/>
        <v>2026</v>
      </c>
      <c r="CI89" s="121" t="str">
        <f t="shared" ca="1" si="159"/>
        <v>令和</v>
      </c>
      <c r="CJ89" s="122" t="str">
        <f t="shared" ca="1" si="160"/>
        <v>R</v>
      </c>
      <c r="CK89" s="122" t="str">
        <f t="shared" ca="1" si="161"/>
        <v>8</v>
      </c>
      <c r="CL89" s="122">
        <f t="shared" ca="1" si="162"/>
        <v>10</v>
      </c>
      <c r="CM89" s="149">
        <f t="shared" ca="1" si="163"/>
        <v>24</v>
      </c>
      <c r="CN89" s="1"/>
      <c r="CO89" s="150">
        <f t="shared" ca="1" si="164"/>
        <v>46319</v>
      </c>
    </row>
    <row r="90" spans="1:93" ht="20.100000000000001" customHeight="1" x14ac:dyDescent="0.15">
      <c r="A90" s="7" t="str">
        <f>IF(B90="","",ROW()-ROW(会員表[#Headers]))</f>
        <v/>
      </c>
      <c r="B90" s="4" ph="1"/>
      <c r="C90" s="4" t="str" cm="1">
        <f t="array" ref="C90">_xlfn.LET(_xlpm.s,PHONETIC(B90),_xlpm.c,_xlfn.UNICODE(MID(_xlpm.s,_xlfn.SEQUENCE(LEN(_xlpm.s)),1)),IF(_xlpm.s="","",_xlfn.CONCAT(_xlfn.UNICHAR(_xlpm.c-96*(_xlpm.c&gt;=12449)*(_xlpm.c&lt;=12534)))))</f>
        <v/>
      </c>
      <c r="D90" s="4" t="str" cm="1">
        <f t="array" ref="D90">_xlfn.LET(_xlpm.s,PHONETIC(B90),_xlpm.c,_xlfn.UNICODE(MID(_xlpm.s,_xlfn.SEQUENCE(LEN(_xlpm.s)),1)),IF(_xlpm.s="","",_xlfn.CONCAT(_xlfn.UNICHAR(_xlpm.c+96*(_xlpm.c&gt;=12353)*(_xlpm.c&lt;=12438)))))</f>
        <v/>
      </c>
      <c r="E90" s="129" t="str">
        <f t="shared" ca="1" si="110"/>
        <v/>
      </c>
      <c r="F90" s="130" t="str">
        <f t="shared" si="111"/>
        <v/>
      </c>
      <c r="G90" s="130" t="str">
        <f t="shared" si="112"/>
        <v/>
      </c>
      <c r="H90" s="130" t="str">
        <f t="shared" si="113"/>
        <v/>
      </c>
      <c r="I90" s="131" t="str">
        <f t="shared" si="114"/>
        <v/>
      </c>
      <c r="J90" s="132" t="str">
        <f t="shared" si="115"/>
        <v/>
      </c>
      <c r="K90" s="121" t="str">
        <f t="shared" si="116"/>
        <v/>
      </c>
      <c r="L90" s="129" t="str">
        <f t="shared" si="117"/>
        <v/>
      </c>
      <c r="M90" s="7" t="str">
        <f t="shared" si="118"/>
        <v/>
      </c>
      <c r="N90" s="133"/>
      <c r="O90" s="8"/>
      <c r="P90" s="5" t="str">
        <f t="shared" si="119"/>
        <v/>
      </c>
      <c r="Q90" s="121" t="str">
        <f t="shared" si="120"/>
        <v/>
      </c>
      <c r="R90" s="121" t="str">
        <f t="shared" si="121"/>
        <v/>
      </c>
      <c r="S90" s="7" t="str">
        <f t="shared" si="122"/>
        <v/>
      </c>
      <c r="T90" s="5"/>
      <c r="U90" s="5" t="str">
        <f t="shared" si="123"/>
        <v/>
      </c>
      <c r="V90" s="121" t="str">
        <f t="shared" si="124"/>
        <v/>
      </c>
      <c r="W90" s="121" t="str">
        <f t="shared" si="125"/>
        <v/>
      </c>
      <c r="X90" s="7" t="str">
        <f t="shared" si="126"/>
        <v/>
      </c>
      <c r="Y90" s="136"/>
      <c r="Z90" s="5" t="str">
        <f t="shared" si="127"/>
        <v/>
      </c>
      <c r="AA90" s="137" t="s">
        <v>183</v>
      </c>
      <c r="AB90" s="7" t="str">
        <f t="shared" si="128"/>
        <v/>
      </c>
      <c r="AC90" s="9"/>
      <c r="AD90" s="4"/>
      <c r="AE90" s="138" t="str">
        <f t="shared" si="129"/>
        <v/>
      </c>
      <c r="AF90" s="139" t="str">
        <f t="shared" si="130"/>
        <v/>
      </c>
      <c r="AG90" s="139" t="str">
        <f t="shared" si="131"/>
        <v/>
      </c>
      <c r="AH90" s="139" t="str">
        <f t="shared" si="132"/>
        <v/>
      </c>
      <c r="AI90" s="139" t="str">
        <f t="shared" si="133"/>
        <v/>
      </c>
      <c r="AJ90" s="140" t="str">
        <f t="shared" si="134"/>
        <v/>
      </c>
      <c r="AK90" s="8"/>
      <c r="AL90" s="8" t="str">
        <f>IF(AM90="","",IF(各種設定金額!$B$7="","○○県",各種設定金額!$B$7))</f>
        <v/>
      </c>
      <c r="AM90" s="4"/>
      <c r="AN90" s="4"/>
      <c r="AO90" s="141" t="str">
        <f t="shared" si="135"/>
        <v/>
      </c>
      <c r="AP90" s="10"/>
      <c r="AQ90" s="129"/>
      <c r="AR90" s="142" t="s">
        <v>182</v>
      </c>
      <c r="AS90" s="131" t="str">
        <f t="shared" si="136"/>
        <v/>
      </c>
      <c r="AT90" s="132" t="str">
        <f t="shared" si="137"/>
        <v/>
      </c>
      <c r="AU90" s="132" t="str">
        <f t="shared" si="138"/>
        <v/>
      </c>
      <c r="AV90" s="132" t="str">
        <f t="shared" si="139"/>
        <v/>
      </c>
      <c r="AW90" s="132" t="str">
        <f t="shared" si="140"/>
        <v/>
      </c>
      <c r="AX90" s="143" t="str">
        <f t="shared" si="141"/>
        <v/>
      </c>
      <c r="AY90" s="144"/>
      <c r="AZ90" s="8" t="str">
        <f>IF(BA90="","",IF(各種設定金額!$B$7="","○○県",各種設定金額!$B$7))</f>
        <v/>
      </c>
      <c r="BA90" s="6"/>
      <c r="BB90" s="4"/>
      <c r="BC90" s="141" t="str">
        <f t="shared" si="142"/>
        <v/>
      </c>
      <c r="BD90" s="10"/>
      <c r="BE90" s="129"/>
      <c r="BF90" s="145" t="s">
        <v>63</v>
      </c>
      <c r="BG90" s="131" t="str">
        <f t="shared" si="143"/>
        <v/>
      </c>
      <c r="BH90" s="132" t="str">
        <f t="shared" si="144"/>
        <v/>
      </c>
      <c r="BI90" s="132" t="str">
        <f t="shared" si="145"/>
        <v/>
      </c>
      <c r="BJ90" s="132" t="str">
        <f t="shared" si="146"/>
        <v/>
      </c>
      <c r="BK90" s="132" t="str">
        <f t="shared" si="147"/>
        <v/>
      </c>
      <c r="BL90" s="132" t="str">
        <f t="shared" si="148"/>
        <v/>
      </c>
      <c r="BM90" s="146"/>
      <c r="BN90" s="8" t="str">
        <f>IF(BO90="","",IF(各種設定金額!$B$7="","○○県",各種設定金額!$B$7))</f>
        <v/>
      </c>
      <c r="BO90" s="6"/>
      <c r="BP90" s="4"/>
      <c r="BQ90" s="141" t="str">
        <f t="shared" si="149"/>
        <v/>
      </c>
      <c r="BR90" s="10"/>
      <c r="BS90" s="129"/>
      <c r="BT90" s="145" t="s">
        <v>63</v>
      </c>
      <c r="BU90" s="131" t="str">
        <f t="shared" si="150"/>
        <v/>
      </c>
      <c r="BV90" s="132" t="str">
        <f t="shared" si="151"/>
        <v/>
      </c>
      <c r="BW90" s="132" t="str">
        <f t="shared" si="152"/>
        <v/>
      </c>
      <c r="BX90" s="132" t="str">
        <f t="shared" si="153"/>
        <v/>
      </c>
      <c r="BY90" s="132" t="str">
        <f t="shared" si="154"/>
        <v/>
      </c>
      <c r="BZ90" s="132" t="str">
        <f t="shared" si="155"/>
        <v/>
      </c>
      <c r="CA90" s="146"/>
      <c r="CB90" s="10" t="str">
        <f t="shared" si="156"/>
        <v/>
      </c>
      <c r="CC90" s="7" t="str">
        <f t="shared" si="157"/>
        <v/>
      </c>
      <c r="CD90" s="147"/>
      <c r="CE90" s="147"/>
      <c r="CF90" s="6"/>
      <c r="CG90" s="4"/>
      <c r="CH90" s="148">
        <f t="shared" ca="1" si="158"/>
        <v>2026</v>
      </c>
      <c r="CI90" s="121" t="str">
        <f t="shared" ca="1" si="159"/>
        <v>令和</v>
      </c>
      <c r="CJ90" s="122" t="str">
        <f t="shared" ca="1" si="160"/>
        <v>R</v>
      </c>
      <c r="CK90" s="122" t="str">
        <f t="shared" ca="1" si="161"/>
        <v>8</v>
      </c>
      <c r="CL90" s="122">
        <f t="shared" ca="1" si="162"/>
        <v>10</v>
      </c>
      <c r="CM90" s="149">
        <f t="shared" ca="1" si="163"/>
        <v>24</v>
      </c>
      <c r="CN90" s="1"/>
      <c r="CO90" s="150">
        <f t="shared" ca="1" si="164"/>
        <v>46319</v>
      </c>
    </row>
    <row r="91" spans="1:93" ht="20.100000000000001" customHeight="1" x14ac:dyDescent="0.15">
      <c r="A91" s="7" t="str">
        <f>IF(B91="","",ROW()-ROW(会員表[#Headers]))</f>
        <v/>
      </c>
      <c r="B91" s="4" ph="1"/>
      <c r="C91" s="4" t="str" cm="1">
        <f t="array" ref="C91">_xlfn.LET(_xlpm.s,PHONETIC(B91),_xlpm.c,_xlfn.UNICODE(MID(_xlpm.s,_xlfn.SEQUENCE(LEN(_xlpm.s)),1)),IF(_xlpm.s="","",_xlfn.CONCAT(_xlfn.UNICHAR(_xlpm.c-96*(_xlpm.c&gt;=12449)*(_xlpm.c&lt;=12534)))))</f>
        <v/>
      </c>
      <c r="D91" s="4" t="str" cm="1">
        <f t="array" ref="D91">_xlfn.LET(_xlpm.s,PHONETIC(B91),_xlpm.c,_xlfn.UNICODE(MID(_xlpm.s,_xlfn.SEQUENCE(LEN(_xlpm.s)),1)),IF(_xlpm.s="","",_xlfn.CONCAT(_xlfn.UNICHAR(_xlpm.c+96*(_xlpm.c&gt;=12353)*(_xlpm.c&lt;=12438)))))</f>
        <v/>
      </c>
      <c r="E91" s="129" t="str">
        <f t="shared" ca="1" si="110"/>
        <v/>
      </c>
      <c r="F91" s="130" t="str">
        <f t="shared" si="111"/>
        <v/>
      </c>
      <c r="G91" s="130" t="str">
        <f t="shared" si="112"/>
        <v/>
      </c>
      <c r="H91" s="130" t="str">
        <f t="shared" si="113"/>
        <v/>
      </c>
      <c r="I91" s="131" t="str">
        <f t="shared" si="114"/>
        <v/>
      </c>
      <c r="J91" s="132" t="str">
        <f t="shared" si="115"/>
        <v/>
      </c>
      <c r="K91" s="121" t="str">
        <f t="shared" si="116"/>
        <v/>
      </c>
      <c r="L91" s="129" t="str">
        <f t="shared" si="117"/>
        <v/>
      </c>
      <c r="M91" s="7" t="str">
        <f t="shared" si="118"/>
        <v/>
      </c>
      <c r="N91" s="133"/>
      <c r="O91" s="8"/>
      <c r="P91" s="5" t="str">
        <f t="shared" si="119"/>
        <v/>
      </c>
      <c r="Q91" s="121" t="str">
        <f t="shared" si="120"/>
        <v/>
      </c>
      <c r="R91" s="121" t="str">
        <f t="shared" si="121"/>
        <v/>
      </c>
      <c r="S91" s="7" t="str">
        <f t="shared" si="122"/>
        <v/>
      </c>
      <c r="T91" s="5"/>
      <c r="U91" s="5" t="str">
        <f t="shared" si="123"/>
        <v/>
      </c>
      <c r="V91" s="121" t="str">
        <f t="shared" si="124"/>
        <v/>
      </c>
      <c r="W91" s="121" t="str">
        <f t="shared" si="125"/>
        <v/>
      </c>
      <c r="X91" s="7" t="str">
        <f t="shared" si="126"/>
        <v/>
      </c>
      <c r="Y91" s="136"/>
      <c r="Z91" s="5" t="str">
        <f t="shared" si="127"/>
        <v/>
      </c>
      <c r="AA91" s="137" t="s">
        <v>183</v>
      </c>
      <c r="AB91" s="7" t="str">
        <f t="shared" si="128"/>
        <v/>
      </c>
      <c r="AC91" s="9"/>
      <c r="AD91" s="4"/>
      <c r="AE91" s="138" t="str">
        <f t="shared" si="129"/>
        <v/>
      </c>
      <c r="AF91" s="139" t="str">
        <f t="shared" si="130"/>
        <v/>
      </c>
      <c r="AG91" s="139" t="str">
        <f t="shared" si="131"/>
        <v/>
      </c>
      <c r="AH91" s="139" t="str">
        <f t="shared" si="132"/>
        <v/>
      </c>
      <c r="AI91" s="139" t="str">
        <f t="shared" si="133"/>
        <v/>
      </c>
      <c r="AJ91" s="140" t="str">
        <f t="shared" si="134"/>
        <v/>
      </c>
      <c r="AK91" s="8"/>
      <c r="AL91" s="8" t="str">
        <f>IF(AM91="","",IF(各種設定金額!$B$7="","○○県",各種設定金額!$B$7))</f>
        <v/>
      </c>
      <c r="AM91" s="4"/>
      <c r="AN91" s="4"/>
      <c r="AO91" s="141" t="str">
        <f t="shared" si="135"/>
        <v/>
      </c>
      <c r="AP91" s="10"/>
      <c r="AQ91" s="129"/>
      <c r="AR91" s="142" t="s">
        <v>182</v>
      </c>
      <c r="AS91" s="131" t="str">
        <f t="shared" si="136"/>
        <v/>
      </c>
      <c r="AT91" s="132" t="str">
        <f t="shared" si="137"/>
        <v/>
      </c>
      <c r="AU91" s="132" t="str">
        <f t="shared" si="138"/>
        <v/>
      </c>
      <c r="AV91" s="132" t="str">
        <f t="shared" si="139"/>
        <v/>
      </c>
      <c r="AW91" s="132" t="str">
        <f t="shared" si="140"/>
        <v/>
      </c>
      <c r="AX91" s="143" t="str">
        <f t="shared" si="141"/>
        <v/>
      </c>
      <c r="AY91" s="144"/>
      <c r="AZ91" s="8" t="str">
        <f>IF(BA91="","",IF(各種設定金額!$B$7="","○○県",各種設定金額!$B$7))</f>
        <v/>
      </c>
      <c r="BA91" s="6"/>
      <c r="BB91" s="4"/>
      <c r="BC91" s="141" t="str">
        <f t="shared" si="142"/>
        <v/>
      </c>
      <c r="BD91" s="10"/>
      <c r="BE91" s="129"/>
      <c r="BF91" s="145" t="s">
        <v>63</v>
      </c>
      <c r="BG91" s="131" t="str">
        <f t="shared" si="143"/>
        <v/>
      </c>
      <c r="BH91" s="132" t="str">
        <f t="shared" si="144"/>
        <v/>
      </c>
      <c r="BI91" s="132" t="str">
        <f t="shared" si="145"/>
        <v/>
      </c>
      <c r="BJ91" s="132" t="str">
        <f t="shared" si="146"/>
        <v/>
      </c>
      <c r="BK91" s="132" t="str">
        <f t="shared" si="147"/>
        <v/>
      </c>
      <c r="BL91" s="132" t="str">
        <f t="shared" si="148"/>
        <v/>
      </c>
      <c r="BM91" s="146"/>
      <c r="BN91" s="8" t="str">
        <f>IF(BO91="","",IF(各種設定金額!$B$7="","○○県",各種設定金額!$B$7))</f>
        <v/>
      </c>
      <c r="BO91" s="6"/>
      <c r="BP91" s="4"/>
      <c r="BQ91" s="141" t="str">
        <f t="shared" si="149"/>
        <v/>
      </c>
      <c r="BR91" s="10"/>
      <c r="BS91" s="129"/>
      <c r="BT91" s="145" t="s">
        <v>63</v>
      </c>
      <c r="BU91" s="131" t="str">
        <f t="shared" si="150"/>
        <v/>
      </c>
      <c r="BV91" s="132" t="str">
        <f t="shared" si="151"/>
        <v/>
      </c>
      <c r="BW91" s="132" t="str">
        <f t="shared" si="152"/>
        <v/>
      </c>
      <c r="BX91" s="132" t="str">
        <f t="shared" si="153"/>
        <v/>
      </c>
      <c r="BY91" s="132" t="str">
        <f t="shared" si="154"/>
        <v/>
      </c>
      <c r="BZ91" s="132" t="str">
        <f t="shared" si="155"/>
        <v/>
      </c>
      <c r="CA91" s="146"/>
      <c r="CB91" s="10" t="str">
        <f t="shared" si="156"/>
        <v/>
      </c>
      <c r="CC91" s="7" t="str">
        <f t="shared" si="157"/>
        <v/>
      </c>
      <c r="CD91" s="147"/>
      <c r="CE91" s="147"/>
      <c r="CF91" s="6"/>
      <c r="CG91" s="4"/>
      <c r="CH91" s="148">
        <f t="shared" ca="1" si="158"/>
        <v>2026</v>
      </c>
      <c r="CI91" s="121" t="str">
        <f t="shared" ca="1" si="159"/>
        <v>令和</v>
      </c>
      <c r="CJ91" s="122" t="str">
        <f t="shared" ca="1" si="160"/>
        <v>R</v>
      </c>
      <c r="CK91" s="122" t="str">
        <f t="shared" ca="1" si="161"/>
        <v>8</v>
      </c>
      <c r="CL91" s="122">
        <f t="shared" ca="1" si="162"/>
        <v>10</v>
      </c>
      <c r="CM91" s="149">
        <f t="shared" ca="1" si="163"/>
        <v>24</v>
      </c>
      <c r="CN91" s="1"/>
      <c r="CO91" s="150">
        <f t="shared" ca="1" si="164"/>
        <v>46319</v>
      </c>
    </row>
    <row r="92" spans="1:93" ht="20.100000000000001" customHeight="1" x14ac:dyDescent="0.15">
      <c r="A92" s="7" t="str">
        <f>IF(B92="","",ROW()-ROW(会員表[#Headers]))</f>
        <v/>
      </c>
      <c r="B92" s="4" ph="1"/>
      <c r="C92" s="4" t="str" cm="1">
        <f t="array" ref="C92">_xlfn.LET(_xlpm.s,PHONETIC(B92),_xlpm.c,_xlfn.UNICODE(MID(_xlpm.s,_xlfn.SEQUENCE(LEN(_xlpm.s)),1)),IF(_xlpm.s="","",_xlfn.CONCAT(_xlfn.UNICHAR(_xlpm.c-96*(_xlpm.c&gt;=12449)*(_xlpm.c&lt;=12534)))))</f>
        <v/>
      </c>
      <c r="D92" s="4" t="str" cm="1">
        <f t="array" ref="D92">_xlfn.LET(_xlpm.s,PHONETIC(B92),_xlpm.c,_xlfn.UNICODE(MID(_xlpm.s,_xlfn.SEQUENCE(LEN(_xlpm.s)),1)),IF(_xlpm.s="","",_xlfn.CONCAT(_xlfn.UNICHAR(_xlpm.c+96*(_xlpm.c&gt;=12353)*(_xlpm.c&lt;=12438)))))</f>
        <v/>
      </c>
      <c r="E92" s="129" t="str">
        <f t="shared" ca="1" si="110"/>
        <v/>
      </c>
      <c r="F92" s="130" t="str">
        <f t="shared" si="111"/>
        <v/>
      </c>
      <c r="G92" s="130" t="str">
        <f t="shared" si="112"/>
        <v/>
      </c>
      <c r="H92" s="130" t="str">
        <f t="shared" si="113"/>
        <v/>
      </c>
      <c r="I92" s="131" t="str">
        <f t="shared" si="114"/>
        <v/>
      </c>
      <c r="J92" s="132" t="str">
        <f t="shared" si="115"/>
        <v/>
      </c>
      <c r="K92" s="121" t="str">
        <f t="shared" si="116"/>
        <v/>
      </c>
      <c r="L92" s="129" t="str">
        <f t="shared" si="117"/>
        <v/>
      </c>
      <c r="M92" s="7" t="str">
        <f t="shared" si="118"/>
        <v/>
      </c>
      <c r="N92" s="133"/>
      <c r="O92" s="8"/>
      <c r="P92" s="5" t="str">
        <f t="shared" si="119"/>
        <v/>
      </c>
      <c r="Q92" s="121" t="str">
        <f t="shared" si="120"/>
        <v/>
      </c>
      <c r="R92" s="121" t="str">
        <f t="shared" si="121"/>
        <v/>
      </c>
      <c r="S92" s="7" t="str">
        <f t="shared" si="122"/>
        <v/>
      </c>
      <c r="T92" s="5"/>
      <c r="U92" s="5" t="str">
        <f t="shared" si="123"/>
        <v/>
      </c>
      <c r="V92" s="121" t="str">
        <f t="shared" si="124"/>
        <v/>
      </c>
      <c r="W92" s="121" t="str">
        <f t="shared" si="125"/>
        <v/>
      </c>
      <c r="X92" s="7" t="str">
        <f t="shared" si="126"/>
        <v/>
      </c>
      <c r="Y92" s="136"/>
      <c r="Z92" s="5" t="str">
        <f t="shared" si="127"/>
        <v/>
      </c>
      <c r="AA92" s="137" t="s">
        <v>183</v>
      </c>
      <c r="AB92" s="7" t="str">
        <f t="shared" si="128"/>
        <v/>
      </c>
      <c r="AC92" s="9"/>
      <c r="AD92" s="4"/>
      <c r="AE92" s="138" t="str">
        <f t="shared" si="129"/>
        <v/>
      </c>
      <c r="AF92" s="139" t="str">
        <f t="shared" si="130"/>
        <v/>
      </c>
      <c r="AG92" s="139" t="str">
        <f t="shared" si="131"/>
        <v/>
      </c>
      <c r="AH92" s="139" t="str">
        <f t="shared" si="132"/>
        <v/>
      </c>
      <c r="AI92" s="139" t="str">
        <f t="shared" si="133"/>
        <v/>
      </c>
      <c r="AJ92" s="140" t="str">
        <f t="shared" si="134"/>
        <v/>
      </c>
      <c r="AK92" s="8"/>
      <c r="AL92" s="8" t="str">
        <f>IF(AM92="","",IF(各種設定金額!$B$7="","○○県",各種設定金額!$B$7))</f>
        <v/>
      </c>
      <c r="AM92" s="4"/>
      <c r="AN92" s="4"/>
      <c r="AO92" s="141" t="str">
        <f t="shared" si="135"/>
        <v/>
      </c>
      <c r="AP92" s="10"/>
      <c r="AQ92" s="129"/>
      <c r="AR92" s="142" t="s">
        <v>182</v>
      </c>
      <c r="AS92" s="131" t="str">
        <f t="shared" si="136"/>
        <v/>
      </c>
      <c r="AT92" s="132" t="str">
        <f t="shared" si="137"/>
        <v/>
      </c>
      <c r="AU92" s="132" t="str">
        <f t="shared" si="138"/>
        <v/>
      </c>
      <c r="AV92" s="132" t="str">
        <f t="shared" si="139"/>
        <v/>
      </c>
      <c r="AW92" s="132" t="str">
        <f t="shared" si="140"/>
        <v/>
      </c>
      <c r="AX92" s="143" t="str">
        <f t="shared" si="141"/>
        <v/>
      </c>
      <c r="AY92" s="144"/>
      <c r="AZ92" s="8" t="str">
        <f>IF(BA92="","",IF(各種設定金額!$B$7="","○○県",各種設定金額!$B$7))</f>
        <v/>
      </c>
      <c r="BA92" s="6"/>
      <c r="BB92" s="4"/>
      <c r="BC92" s="141" t="str">
        <f t="shared" si="142"/>
        <v/>
      </c>
      <c r="BD92" s="10"/>
      <c r="BE92" s="129"/>
      <c r="BF92" s="145" t="s">
        <v>63</v>
      </c>
      <c r="BG92" s="131" t="str">
        <f t="shared" si="143"/>
        <v/>
      </c>
      <c r="BH92" s="132" t="str">
        <f t="shared" si="144"/>
        <v/>
      </c>
      <c r="BI92" s="132" t="str">
        <f t="shared" si="145"/>
        <v/>
      </c>
      <c r="BJ92" s="132" t="str">
        <f t="shared" si="146"/>
        <v/>
      </c>
      <c r="BK92" s="132" t="str">
        <f t="shared" si="147"/>
        <v/>
      </c>
      <c r="BL92" s="132" t="str">
        <f t="shared" si="148"/>
        <v/>
      </c>
      <c r="BM92" s="146"/>
      <c r="BN92" s="8" t="str">
        <f>IF(BO92="","",IF(各種設定金額!$B$7="","○○県",各種設定金額!$B$7))</f>
        <v/>
      </c>
      <c r="BO92" s="6"/>
      <c r="BP92" s="4"/>
      <c r="BQ92" s="141" t="str">
        <f t="shared" si="149"/>
        <v/>
      </c>
      <c r="BR92" s="10"/>
      <c r="BS92" s="129"/>
      <c r="BT92" s="145" t="s">
        <v>63</v>
      </c>
      <c r="BU92" s="131" t="str">
        <f t="shared" si="150"/>
        <v/>
      </c>
      <c r="BV92" s="132" t="str">
        <f t="shared" si="151"/>
        <v/>
      </c>
      <c r="BW92" s="132" t="str">
        <f t="shared" si="152"/>
        <v/>
      </c>
      <c r="BX92" s="132" t="str">
        <f t="shared" si="153"/>
        <v/>
      </c>
      <c r="BY92" s="132" t="str">
        <f t="shared" si="154"/>
        <v/>
      </c>
      <c r="BZ92" s="132" t="str">
        <f t="shared" si="155"/>
        <v/>
      </c>
      <c r="CA92" s="146"/>
      <c r="CB92" s="10" t="str">
        <f t="shared" si="156"/>
        <v/>
      </c>
      <c r="CC92" s="7" t="str">
        <f t="shared" si="157"/>
        <v/>
      </c>
      <c r="CD92" s="147"/>
      <c r="CE92" s="147"/>
      <c r="CF92" s="6"/>
      <c r="CG92" s="4"/>
      <c r="CH92" s="148">
        <f t="shared" ca="1" si="158"/>
        <v>2026</v>
      </c>
      <c r="CI92" s="121" t="str">
        <f t="shared" ca="1" si="159"/>
        <v>令和</v>
      </c>
      <c r="CJ92" s="122" t="str">
        <f t="shared" ca="1" si="160"/>
        <v>R</v>
      </c>
      <c r="CK92" s="122" t="str">
        <f t="shared" ca="1" si="161"/>
        <v>8</v>
      </c>
      <c r="CL92" s="122">
        <f t="shared" ca="1" si="162"/>
        <v>10</v>
      </c>
      <c r="CM92" s="149">
        <f t="shared" ca="1" si="163"/>
        <v>24</v>
      </c>
      <c r="CN92" s="1"/>
      <c r="CO92" s="150">
        <f t="shared" ca="1" si="164"/>
        <v>46319</v>
      </c>
    </row>
    <row r="93" spans="1:93" ht="20.100000000000001" customHeight="1" x14ac:dyDescent="0.15">
      <c r="A93" s="7" t="str">
        <f>IF(B93="","",ROW()-ROW(会員表[#Headers]))</f>
        <v/>
      </c>
      <c r="B93" s="4" ph="1"/>
      <c r="C93" s="4" t="str" cm="1">
        <f t="array" ref="C93">_xlfn.LET(_xlpm.s,PHONETIC(B93),_xlpm.c,_xlfn.UNICODE(MID(_xlpm.s,_xlfn.SEQUENCE(LEN(_xlpm.s)),1)),IF(_xlpm.s="","",_xlfn.CONCAT(_xlfn.UNICHAR(_xlpm.c-96*(_xlpm.c&gt;=12449)*(_xlpm.c&lt;=12534)))))</f>
        <v/>
      </c>
      <c r="D93" s="4" t="str" cm="1">
        <f t="array" ref="D93">_xlfn.LET(_xlpm.s,PHONETIC(B93),_xlpm.c,_xlfn.UNICODE(MID(_xlpm.s,_xlfn.SEQUENCE(LEN(_xlpm.s)),1)),IF(_xlpm.s="","",_xlfn.CONCAT(_xlfn.UNICHAR(_xlpm.c+96*(_xlpm.c&gt;=12353)*(_xlpm.c&lt;=12438)))))</f>
        <v/>
      </c>
      <c r="E93" s="129" t="str">
        <f t="shared" ca="1" si="110"/>
        <v/>
      </c>
      <c r="F93" s="130" t="str">
        <f t="shared" si="111"/>
        <v/>
      </c>
      <c r="G93" s="130" t="str">
        <f t="shared" si="112"/>
        <v/>
      </c>
      <c r="H93" s="130" t="str">
        <f t="shared" si="113"/>
        <v/>
      </c>
      <c r="I93" s="131" t="str">
        <f t="shared" si="114"/>
        <v/>
      </c>
      <c r="J93" s="132" t="str">
        <f t="shared" si="115"/>
        <v/>
      </c>
      <c r="K93" s="121" t="str">
        <f t="shared" si="116"/>
        <v/>
      </c>
      <c r="L93" s="129" t="str">
        <f t="shared" si="117"/>
        <v/>
      </c>
      <c r="M93" s="7" t="str">
        <f t="shared" si="118"/>
        <v/>
      </c>
      <c r="N93" s="133"/>
      <c r="O93" s="8"/>
      <c r="P93" s="5" t="str">
        <f t="shared" si="119"/>
        <v/>
      </c>
      <c r="Q93" s="121" t="str">
        <f t="shared" si="120"/>
        <v/>
      </c>
      <c r="R93" s="121" t="str">
        <f t="shared" si="121"/>
        <v/>
      </c>
      <c r="S93" s="7" t="str">
        <f t="shared" si="122"/>
        <v/>
      </c>
      <c r="T93" s="5"/>
      <c r="U93" s="5" t="str">
        <f t="shared" si="123"/>
        <v/>
      </c>
      <c r="V93" s="121" t="str">
        <f t="shared" si="124"/>
        <v/>
      </c>
      <c r="W93" s="121" t="str">
        <f t="shared" si="125"/>
        <v/>
      </c>
      <c r="X93" s="7" t="str">
        <f t="shared" si="126"/>
        <v/>
      </c>
      <c r="Y93" s="136"/>
      <c r="Z93" s="5" t="str">
        <f t="shared" si="127"/>
        <v/>
      </c>
      <c r="AA93" s="137" t="s">
        <v>183</v>
      </c>
      <c r="AB93" s="7" t="str">
        <f t="shared" si="128"/>
        <v/>
      </c>
      <c r="AC93" s="9"/>
      <c r="AD93" s="4"/>
      <c r="AE93" s="138" t="str">
        <f t="shared" si="129"/>
        <v/>
      </c>
      <c r="AF93" s="139" t="str">
        <f t="shared" si="130"/>
        <v/>
      </c>
      <c r="AG93" s="139" t="str">
        <f t="shared" si="131"/>
        <v/>
      </c>
      <c r="AH93" s="139" t="str">
        <f t="shared" si="132"/>
        <v/>
      </c>
      <c r="AI93" s="139" t="str">
        <f t="shared" si="133"/>
        <v/>
      </c>
      <c r="AJ93" s="140" t="str">
        <f t="shared" si="134"/>
        <v/>
      </c>
      <c r="AK93" s="8"/>
      <c r="AL93" s="8" t="str">
        <f>IF(AM93="","",IF(各種設定金額!$B$7="","○○県",各種設定金額!$B$7))</f>
        <v/>
      </c>
      <c r="AM93" s="4"/>
      <c r="AN93" s="4"/>
      <c r="AO93" s="141" t="str">
        <f t="shared" si="135"/>
        <v/>
      </c>
      <c r="AP93" s="10"/>
      <c r="AQ93" s="129"/>
      <c r="AR93" s="142" t="s">
        <v>182</v>
      </c>
      <c r="AS93" s="131" t="str">
        <f t="shared" si="136"/>
        <v/>
      </c>
      <c r="AT93" s="132" t="str">
        <f t="shared" si="137"/>
        <v/>
      </c>
      <c r="AU93" s="132" t="str">
        <f t="shared" si="138"/>
        <v/>
      </c>
      <c r="AV93" s="132" t="str">
        <f t="shared" si="139"/>
        <v/>
      </c>
      <c r="AW93" s="132" t="str">
        <f t="shared" si="140"/>
        <v/>
      </c>
      <c r="AX93" s="143" t="str">
        <f t="shared" si="141"/>
        <v/>
      </c>
      <c r="AY93" s="144"/>
      <c r="AZ93" s="8" t="str">
        <f>IF(BA93="","",IF(各種設定金額!$B$7="","○○県",各種設定金額!$B$7))</f>
        <v/>
      </c>
      <c r="BA93" s="6"/>
      <c r="BB93" s="4"/>
      <c r="BC93" s="141" t="str">
        <f t="shared" si="142"/>
        <v/>
      </c>
      <c r="BD93" s="10"/>
      <c r="BE93" s="129"/>
      <c r="BF93" s="145" t="s">
        <v>63</v>
      </c>
      <c r="BG93" s="131" t="str">
        <f t="shared" si="143"/>
        <v/>
      </c>
      <c r="BH93" s="132" t="str">
        <f t="shared" si="144"/>
        <v/>
      </c>
      <c r="BI93" s="132" t="str">
        <f t="shared" si="145"/>
        <v/>
      </c>
      <c r="BJ93" s="132" t="str">
        <f t="shared" si="146"/>
        <v/>
      </c>
      <c r="BK93" s="132" t="str">
        <f t="shared" si="147"/>
        <v/>
      </c>
      <c r="BL93" s="132" t="str">
        <f t="shared" si="148"/>
        <v/>
      </c>
      <c r="BM93" s="146"/>
      <c r="BN93" s="8" t="str">
        <f>IF(BO93="","",IF(各種設定金額!$B$7="","○○県",各種設定金額!$B$7))</f>
        <v/>
      </c>
      <c r="BO93" s="6"/>
      <c r="BP93" s="4"/>
      <c r="BQ93" s="141" t="str">
        <f t="shared" si="149"/>
        <v/>
      </c>
      <c r="BR93" s="10"/>
      <c r="BS93" s="129"/>
      <c r="BT93" s="145" t="s">
        <v>63</v>
      </c>
      <c r="BU93" s="131" t="str">
        <f t="shared" si="150"/>
        <v/>
      </c>
      <c r="BV93" s="132" t="str">
        <f t="shared" si="151"/>
        <v/>
      </c>
      <c r="BW93" s="132" t="str">
        <f t="shared" si="152"/>
        <v/>
      </c>
      <c r="BX93" s="132" t="str">
        <f t="shared" si="153"/>
        <v/>
      </c>
      <c r="BY93" s="132" t="str">
        <f t="shared" si="154"/>
        <v/>
      </c>
      <c r="BZ93" s="132" t="str">
        <f t="shared" si="155"/>
        <v/>
      </c>
      <c r="CA93" s="146"/>
      <c r="CB93" s="10" t="str">
        <f t="shared" si="156"/>
        <v/>
      </c>
      <c r="CC93" s="7" t="str">
        <f t="shared" si="157"/>
        <v/>
      </c>
      <c r="CD93" s="147"/>
      <c r="CE93" s="147"/>
      <c r="CF93" s="6"/>
      <c r="CG93" s="4"/>
      <c r="CH93" s="148">
        <f t="shared" ca="1" si="158"/>
        <v>2026</v>
      </c>
      <c r="CI93" s="121" t="str">
        <f t="shared" ca="1" si="159"/>
        <v>令和</v>
      </c>
      <c r="CJ93" s="122" t="str">
        <f t="shared" ca="1" si="160"/>
        <v>R</v>
      </c>
      <c r="CK93" s="122" t="str">
        <f t="shared" ca="1" si="161"/>
        <v>8</v>
      </c>
      <c r="CL93" s="122">
        <f t="shared" ca="1" si="162"/>
        <v>10</v>
      </c>
      <c r="CM93" s="149">
        <f t="shared" ca="1" si="163"/>
        <v>24</v>
      </c>
      <c r="CN93" s="1"/>
      <c r="CO93" s="150">
        <f t="shared" ca="1" si="164"/>
        <v>46319</v>
      </c>
    </row>
    <row r="94" spans="1:93" ht="20.100000000000001" customHeight="1" x14ac:dyDescent="0.15">
      <c r="A94" s="7" t="str">
        <f>IF(B94="","",ROW()-ROW(会員表[#Headers]))</f>
        <v/>
      </c>
      <c r="B94" s="4" ph="1"/>
      <c r="C94" s="4" t="str" cm="1">
        <f t="array" ref="C94">_xlfn.LET(_xlpm.s,PHONETIC(B94),_xlpm.c,_xlfn.UNICODE(MID(_xlpm.s,_xlfn.SEQUENCE(LEN(_xlpm.s)),1)),IF(_xlpm.s="","",_xlfn.CONCAT(_xlfn.UNICHAR(_xlpm.c-96*(_xlpm.c&gt;=12449)*(_xlpm.c&lt;=12534)))))</f>
        <v/>
      </c>
      <c r="D94" s="4" t="str" cm="1">
        <f t="array" ref="D94">_xlfn.LET(_xlpm.s,PHONETIC(B94),_xlpm.c,_xlfn.UNICODE(MID(_xlpm.s,_xlfn.SEQUENCE(LEN(_xlpm.s)),1)),IF(_xlpm.s="","",_xlfn.CONCAT(_xlfn.UNICHAR(_xlpm.c+96*(_xlpm.c&gt;=12353)*(_xlpm.c&lt;=12438)))))</f>
        <v/>
      </c>
      <c r="E94" s="129" t="str">
        <f t="shared" ca="1" si="110"/>
        <v/>
      </c>
      <c r="F94" s="130" t="str">
        <f t="shared" si="111"/>
        <v/>
      </c>
      <c r="G94" s="130" t="str">
        <f t="shared" si="112"/>
        <v/>
      </c>
      <c r="H94" s="130" t="str">
        <f t="shared" si="113"/>
        <v/>
      </c>
      <c r="I94" s="131" t="str">
        <f t="shared" si="114"/>
        <v/>
      </c>
      <c r="J94" s="132" t="str">
        <f t="shared" si="115"/>
        <v/>
      </c>
      <c r="K94" s="121" t="str">
        <f t="shared" si="116"/>
        <v/>
      </c>
      <c r="L94" s="129" t="str">
        <f t="shared" si="117"/>
        <v/>
      </c>
      <c r="M94" s="7" t="str">
        <f t="shared" si="118"/>
        <v/>
      </c>
      <c r="N94" s="133"/>
      <c r="O94" s="8"/>
      <c r="P94" s="5" t="str">
        <f t="shared" si="119"/>
        <v/>
      </c>
      <c r="Q94" s="121" t="str">
        <f t="shared" si="120"/>
        <v/>
      </c>
      <c r="R94" s="121" t="str">
        <f t="shared" si="121"/>
        <v/>
      </c>
      <c r="S94" s="7" t="str">
        <f t="shared" si="122"/>
        <v/>
      </c>
      <c r="T94" s="5"/>
      <c r="U94" s="5" t="str">
        <f t="shared" si="123"/>
        <v/>
      </c>
      <c r="V94" s="121" t="str">
        <f t="shared" si="124"/>
        <v/>
      </c>
      <c r="W94" s="121" t="str">
        <f t="shared" si="125"/>
        <v/>
      </c>
      <c r="X94" s="7" t="str">
        <f t="shared" si="126"/>
        <v/>
      </c>
      <c r="Y94" s="136"/>
      <c r="Z94" s="5" t="str">
        <f t="shared" si="127"/>
        <v/>
      </c>
      <c r="AA94" s="137" t="s">
        <v>183</v>
      </c>
      <c r="AB94" s="7" t="str">
        <f t="shared" si="128"/>
        <v/>
      </c>
      <c r="AC94" s="9"/>
      <c r="AD94" s="4"/>
      <c r="AE94" s="138" t="str">
        <f t="shared" si="129"/>
        <v/>
      </c>
      <c r="AF94" s="139" t="str">
        <f t="shared" si="130"/>
        <v/>
      </c>
      <c r="AG94" s="139" t="str">
        <f t="shared" si="131"/>
        <v/>
      </c>
      <c r="AH94" s="139" t="str">
        <f t="shared" si="132"/>
        <v/>
      </c>
      <c r="AI94" s="139" t="str">
        <f t="shared" si="133"/>
        <v/>
      </c>
      <c r="AJ94" s="140" t="str">
        <f t="shared" si="134"/>
        <v/>
      </c>
      <c r="AK94" s="8"/>
      <c r="AL94" s="8" t="str">
        <f>IF(AM94="","",IF(各種設定金額!$B$7="","○○県",各種設定金額!$B$7))</f>
        <v/>
      </c>
      <c r="AM94" s="4"/>
      <c r="AN94" s="4"/>
      <c r="AO94" s="141" t="str">
        <f t="shared" si="135"/>
        <v/>
      </c>
      <c r="AP94" s="10"/>
      <c r="AQ94" s="129"/>
      <c r="AR94" s="142" t="s">
        <v>182</v>
      </c>
      <c r="AS94" s="131" t="str">
        <f t="shared" si="136"/>
        <v/>
      </c>
      <c r="AT94" s="132" t="str">
        <f t="shared" si="137"/>
        <v/>
      </c>
      <c r="AU94" s="132" t="str">
        <f t="shared" si="138"/>
        <v/>
      </c>
      <c r="AV94" s="132" t="str">
        <f t="shared" si="139"/>
        <v/>
      </c>
      <c r="AW94" s="132" t="str">
        <f t="shared" si="140"/>
        <v/>
      </c>
      <c r="AX94" s="143" t="str">
        <f t="shared" si="141"/>
        <v/>
      </c>
      <c r="AY94" s="144"/>
      <c r="AZ94" s="8" t="str">
        <f>IF(BA94="","",IF(各種設定金額!$B$7="","○○県",各種設定金額!$B$7))</f>
        <v/>
      </c>
      <c r="BA94" s="6"/>
      <c r="BB94" s="4"/>
      <c r="BC94" s="141" t="str">
        <f t="shared" si="142"/>
        <v/>
      </c>
      <c r="BD94" s="10"/>
      <c r="BE94" s="129"/>
      <c r="BF94" s="145" t="s">
        <v>63</v>
      </c>
      <c r="BG94" s="131" t="str">
        <f t="shared" si="143"/>
        <v/>
      </c>
      <c r="BH94" s="132" t="str">
        <f t="shared" si="144"/>
        <v/>
      </c>
      <c r="BI94" s="132" t="str">
        <f t="shared" si="145"/>
        <v/>
      </c>
      <c r="BJ94" s="132" t="str">
        <f t="shared" si="146"/>
        <v/>
      </c>
      <c r="BK94" s="132" t="str">
        <f t="shared" si="147"/>
        <v/>
      </c>
      <c r="BL94" s="132" t="str">
        <f t="shared" si="148"/>
        <v/>
      </c>
      <c r="BM94" s="146"/>
      <c r="BN94" s="8" t="str">
        <f>IF(BO94="","",IF(各種設定金額!$B$7="","○○県",各種設定金額!$B$7))</f>
        <v/>
      </c>
      <c r="BO94" s="6"/>
      <c r="BP94" s="4"/>
      <c r="BQ94" s="141" t="str">
        <f t="shared" si="149"/>
        <v/>
      </c>
      <c r="BR94" s="10"/>
      <c r="BS94" s="129"/>
      <c r="BT94" s="145" t="s">
        <v>63</v>
      </c>
      <c r="BU94" s="131" t="str">
        <f t="shared" si="150"/>
        <v/>
      </c>
      <c r="BV94" s="132" t="str">
        <f t="shared" si="151"/>
        <v/>
      </c>
      <c r="BW94" s="132" t="str">
        <f t="shared" si="152"/>
        <v/>
      </c>
      <c r="BX94" s="132" t="str">
        <f t="shared" si="153"/>
        <v/>
      </c>
      <c r="BY94" s="132" t="str">
        <f t="shared" si="154"/>
        <v/>
      </c>
      <c r="BZ94" s="132" t="str">
        <f t="shared" si="155"/>
        <v/>
      </c>
      <c r="CA94" s="146"/>
      <c r="CB94" s="10" t="str">
        <f t="shared" si="156"/>
        <v/>
      </c>
      <c r="CC94" s="7" t="str">
        <f t="shared" si="157"/>
        <v/>
      </c>
      <c r="CD94" s="147"/>
      <c r="CE94" s="147"/>
      <c r="CF94" s="6"/>
      <c r="CG94" s="4"/>
      <c r="CH94" s="148">
        <f t="shared" ca="1" si="158"/>
        <v>2026</v>
      </c>
      <c r="CI94" s="121" t="str">
        <f t="shared" ca="1" si="159"/>
        <v>令和</v>
      </c>
      <c r="CJ94" s="122" t="str">
        <f t="shared" ca="1" si="160"/>
        <v>R</v>
      </c>
      <c r="CK94" s="122" t="str">
        <f t="shared" ca="1" si="161"/>
        <v>8</v>
      </c>
      <c r="CL94" s="122">
        <f t="shared" ca="1" si="162"/>
        <v>10</v>
      </c>
      <c r="CM94" s="149">
        <f t="shared" ca="1" si="163"/>
        <v>24</v>
      </c>
      <c r="CN94" s="1"/>
      <c r="CO94" s="150">
        <f t="shared" ca="1" si="164"/>
        <v>46319</v>
      </c>
    </row>
    <row r="95" spans="1:93" ht="20.100000000000001" customHeight="1" x14ac:dyDescent="0.15">
      <c r="A95" s="7" t="str">
        <f>IF(B95="","",ROW()-ROW(会員表[#Headers]))</f>
        <v/>
      </c>
      <c r="B95" s="4" ph="1"/>
      <c r="C95" s="4" t="str" cm="1">
        <f t="array" ref="C95">_xlfn.LET(_xlpm.s,PHONETIC(B95),_xlpm.c,_xlfn.UNICODE(MID(_xlpm.s,_xlfn.SEQUENCE(LEN(_xlpm.s)),1)),IF(_xlpm.s="","",_xlfn.CONCAT(_xlfn.UNICHAR(_xlpm.c-96*(_xlpm.c&gt;=12449)*(_xlpm.c&lt;=12534)))))</f>
        <v/>
      </c>
      <c r="D95" s="4" t="str" cm="1">
        <f t="array" ref="D95">_xlfn.LET(_xlpm.s,PHONETIC(B95),_xlpm.c,_xlfn.UNICODE(MID(_xlpm.s,_xlfn.SEQUENCE(LEN(_xlpm.s)),1)),IF(_xlpm.s="","",_xlfn.CONCAT(_xlfn.UNICHAR(_xlpm.c+96*(_xlpm.c&gt;=12353)*(_xlpm.c&lt;=12438)))))</f>
        <v/>
      </c>
      <c r="E95" s="129" t="str">
        <f t="shared" ca="1" si="110"/>
        <v/>
      </c>
      <c r="F95" s="130" t="str">
        <f t="shared" si="111"/>
        <v/>
      </c>
      <c r="G95" s="130" t="str">
        <f t="shared" si="112"/>
        <v/>
      </c>
      <c r="H95" s="130" t="str">
        <f t="shared" si="113"/>
        <v/>
      </c>
      <c r="I95" s="131" t="str">
        <f t="shared" si="114"/>
        <v/>
      </c>
      <c r="J95" s="132" t="str">
        <f t="shared" si="115"/>
        <v/>
      </c>
      <c r="K95" s="121" t="str">
        <f t="shared" si="116"/>
        <v/>
      </c>
      <c r="L95" s="129" t="str">
        <f t="shared" si="117"/>
        <v/>
      </c>
      <c r="M95" s="7" t="str">
        <f t="shared" si="118"/>
        <v/>
      </c>
      <c r="N95" s="133"/>
      <c r="O95" s="8"/>
      <c r="P95" s="5" t="str">
        <f t="shared" si="119"/>
        <v/>
      </c>
      <c r="Q95" s="121" t="str">
        <f t="shared" si="120"/>
        <v/>
      </c>
      <c r="R95" s="121" t="str">
        <f t="shared" si="121"/>
        <v/>
      </c>
      <c r="S95" s="7" t="str">
        <f t="shared" si="122"/>
        <v/>
      </c>
      <c r="T95" s="5"/>
      <c r="U95" s="5" t="str">
        <f t="shared" si="123"/>
        <v/>
      </c>
      <c r="V95" s="121" t="str">
        <f t="shared" si="124"/>
        <v/>
      </c>
      <c r="W95" s="121" t="str">
        <f t="shared" si="125"/>
        <v/>
      </c>
      <c r="X95" s="7" t="str">
        <f t="shared" si="126"/>
        <v/>
      </c>
      <c r="Y95" s="136"/>
      <c r="Z95" s="5" t="str">
        <f t="shared" si="127"/>
        <v/>
      </c>
      <c r="AA95" s="137" t="s">
        <v>183</v>
      </c>
      <c r="AB95" s="7" t="str">
        <f t="shared" si="128"/>
        <v/>
      </c>
      <c r="AC95" s="9"/>
      <c r="AD95" s="4"/>
      <c r="AE95" s="138" t="str">
        <f t="shared" si="129"/>
        <v/>
      </c>
      <c r="AF95" s="139" t="str">
        <f t="shared" si="130"/>
        <v/>
      </c>
      <c r="AG95" s="139" t="str">
        <f t="shared" si="131"/>
        <v/>
      </c>
      <c r="AH95" s="139" t="str">
        <f t="shared" si="132"/>
        <v/>
      </c>
      <c r="AI95" s="139" t="str">
        <f t="shared" si="133"/>
        <v/>
      </c>
      <c r="AJ95" s="140" t="str">
        <f t="shared" si="134"/>
        <v/>
      </c>
      <c r="AK95" s="8"/>
      <c r="AL95" s="8" t="str">
        <f>IF(AM95="","",IF(各種設定金額!$B$7="","○○県",各種設定金額!$B$7))</f>
        <v/>
      </c>
      <c r="AM95" s="4"/>
      <c r="AN95" s="4"/>
      <c r="AO95" s="141" t="str">
        <f t="shared" si="135"/>
        <v/>
      </c>
      <c r="AP95" s="10"/>
      <c r="AQ95" s="129"/>
      <c r="AR95" s="142" t="s">
        <v>182</v>
      </c>
      <c r="AS95" s="131" t="str">
        <f t="shared" si="136"/>
        <v/>
      </c>
      <c r="AT95" s="132" t="str">
        <f t="shared" si="137"/>
        <v/>
      </c>
      <c r="AU95" s="132" t="str">
        <f t="shared" si="138"/>
        <v/>
      </c>
      <c r="AV95" s="132" t="str">
        <f t="shared" si="139"/>
        <v/>
      </c>
      <c r="AW95" s="132" t="str">
        <f t="shared" si="140"/>
        <v/>
      </c>
      <c r="AX95" s="143" t="str">
        <f t="shared" si="141"/>
        <v/>
      </c>
      <c r="AY95" s="144"/>
      <c r="AZ95" s="8" t="str">
        <f>IF(BA95="","",IF(各種設定金額!$B$7="","○○県",各種設定金額!$B$7))</f>
        <v/>
      </c>
      <c r="BA95" s="6"/>
      <c r="BB95" s="4"/>
      <c r="BC95" s="141" t="str">
        <f t="shared" si="142"/>
        <v/>
      </c>
      <c r="BD95" s="10"/>
      <c r="BE95" s="129"/>
      <c r="BF95" s="145" t="s">
        <v>63</v>
      </c>
      <c r="BG95" s="131" t="str">
        <f t="shared" si="143"/>
        <v/>
      </c>
      <c r="BH95" s="132" t="str">
        <f t="shared" si="144"/>
        <v/>
      </c>
      <c r="BI95" s="132" t="str">
        <f t="shared" si="145"/>
        <v/>
      </c>
      <c r="BJ95" s="132" t="str">
        <f t="shared" si="146"/>
        <v/>
      </c>
      <c r="BK95" s="132" t="str">
        <f t="shared" si="147"/>
        <v/>
      </c>
      <c r="BL95" s="132" t="str">
        <f t="shared" si="148"/>
        <v/>
      </c>
      <c r="BM95" s="146"/>
      <c r="BN95" s="8" t="str">
        <f>IF(BO95="","",IF(各種設定金額!$B$7="","○○県",各種設定金額!$B$7))</f>
        <v/>
      </c>
      <c r="BO95" s="6"/>
      <c r="BP95" s="4"/>
      <c r="BQ95" s="141" t="str">
        <f t="shared" si="149"/>
        <v/>
      </c>
      <c r="BR95" s="10"/>
      <c r="BS95" s="129"/>
      <c r="BT95" s="145" t="s">
        <v>63</v>
      </c>
      <c r="BU95" s="131" t="str">
        <f t="shared" si="150"/>
        <v/>
      </c>
      <c r="BV95" s="132" t="str">
        <f t="shared" si="151"/>
        <v/>
      </c>
      <c r="BW95" s="132" t="str">
        <f t="shared" si="152"/>
        <v/>
      </c>
      <c r="BX95" s="132" t="str">
        <f t="shared" si="153"/>
        <v/>
      </c>
      <c r="BY95" s="132" t="str">
        <f t="shared" si="154"/>
        <v/>
      </c>
      <c r="BZ95" s="132" t="str">
        <f t="shared" si="155"/>
        <v/>
      </c>
      <c r="CA95" s="146"/>
      <c r="CB95" s="10" t="str">
        <f t="shared" si="156"/>
        <v/>
      </c>
      <c r="CC95" s="7" t="str">
        <f t="shared" si="157"/>
        <v/>
      </c>
      <c r="CD95" s="147"/>
      <c r="CE95" s="147"/>
      <c r="CF95" s="6"/>
      <c r="CG95" s="4"/>
      <c r="CH95" s="148">
        <f t="shared" ca="1" si="158"/>
        <v>2026</v>
      </c>
      <c r="CI95" s="121" t="str">
        <f t="shared" ca="1" si="159"/>
        <v>令和</v>
      </c>
      <c r="CJ95" s="122" t="str">
        <f t="shared" ca="1" si="160"/>
        <v>R</v>
      </c>
      <c r="CK95" s="122" t="str">
        <f t="shared" ca="1" si="161"/>
        <v>8</v>
      </c>
      <c r="CL95" s="122">
        <f t="shared" ca="1" si="162"/>
        <v>10</v>
      </c>
      <c r="CM95" s="149">
        <f t="shared" ca="1" si="163"/>
        <v>24</v>
      </c>
      <c r="CN95" s="1"/>
      <c r="CO95" s="150">
        <f t="shared" ca="1" si="164"/>
        <v>46319</v>
      </c>
    </row>
    <row r="96" spans="1:93" ht="20.100000000000001" customHeight="1" x14ac:dyDescent="0.15">
      <c r="A96" s="7" t="str">
        <f>IF(B96="","",ROW()-ROW(会員表[#Headers]))</f>
        <v/>
      </c>
      <c r="B96" s="4" ph="1"/>
      <c r="C96" s="4" t="str" cm="1">
        <f t="array" ref="C96">_xlfn.LET(_xlpm.s,PHONETIC(B96),_xlpm.c,_xlfn.UNICODE(MID(_xlpm.s,_xlfn.SEQUENCE(LEN(_xlpm.s)),1)),IF(_xlpm.s="","",_xlfn.CONCAT(_xlfn.UNICHAR(_xlpm.c-96*(_xlpm.c&gt;=12449)*(_xlpm.c&lt;=12534)))))</f>
        <v/>
      </c>
      <c r="D96" s="4" t="str" cm="1">
        <f t="array" ref="D96">_xlfn.LET(_xlpm.s,PHONETIC(B96),_xlpm.c,_xlfn.UNICODE(MID(_xlpm.s,_xlfn.SEQUENCE(LEN(_xlpm.s)),1)),IF(_xlpm.s="","",_xlfn.CONCAT(_xlfn.UNICHAR(_xlpm.c+96*(_xlpm.c&gt;=12353)*(_xlpm.c&lt;=12438)))))</f>
        <v/>
      </c>
      <c r="E96" s="129" t="str">
        <f t="shared" ca="1" si="110"/>
        <v/>
      </c>
      <c r="F96" s="130" t="str">
        <f t="shared" si="111"/>
        <v/>
      </c>
      <c r="G96" s="130" t="str">
        <f t="shared" si="112"/>
        <v/>
      </c>
      <c r="H96" s="130" t="str">
        <f t="shared" si="113"/>
        <v/>
      </c>
      <c r="I96" s="131" t="str">
        <f t="shared" si="114"/>
        <v/>
      </c>
      <c r="J96" s="132" t="str">
        <f t="shared" si="115"/>
        <v/>
      </c>
      <c r="K96" s="121" t="str">
        <f t="shared" si="116"/>
        <v/>
      </c>
      <c r="L96" s="129" t="str">
        <f t="shared" si="117"/>
        <v/>
      </c>
      <c r="M96" s="7" t="str">
        <f t="shared" si="118"/>
        <v/>
      </c>
      <c r="N96" s="133"/>
      <c r="O96" s="8"/>
      <c r="P96" s="5" t="str">
        <f t="shared" si="119"/>
        <v/>
      </c>
      <c r="Q96" s="121" t="str">
        <f t="shared" si="120"/>
        <v/>
      </c>
      <c r="R96" s="121" t="str">
        <f t="shared" si="121"/>
        <v/>
      </c>
      <c r="S96" s="7" t="str">
        <f t="shared" si="122"/>
        <v/>
      </c>
      <c r="T96" s="5"/>
      <c r="U96" s="5" t="str">
        <f t="shared" si="123"/>
        <v/>
      </c>
      <c r="V96" s="121" t="str">
        <f t="shared" si="124"/>
        <v/>
      </c>
      <c r="W96" s="121" t="str">
        <f t="shared" si="125"/>
        <v/>
      </c>
      <c r="X96" s="7" t="str">
        <f t="shared" si="126"/>
        <v/>
      </c>
      <c r="Y96" s="136"/>
      <c r="Z96" s="5" t="str">
        <f t="shared" si="127"/>
        <v/>
      </c>
      <c r="AA96" s="137" t="s">
        <v>183</v>
      </c>
      <c r="AB96" s="7" t="str">
        <f t="shared" si="128"/>
        <v/>
      </c>
      <c r="AC96" s="9"/>
      <c r="AD96" s="4"/>
      <c r="AE96" s="138" t="str">
        <f t="shared" si="129"/>
        <v/>
      </c>
      <c r="AF96" s="139" t="str">
        <f t="shared" si="130"/>
        <v/>
      </c>
      <c r="AG96" s="139" t="str">
        <f t="shared" si="131"/>
        <v/>
      </c>
      <c r="AH96" s="139" t="str">
        <f t="shared" si="132"/>
        <v/>
      </c>
      <c r="AI96" s="139" t="str">
        <f t="shared" si="133"/>
        <v/>
      </c>
      <c r="AJ96" s="140" t="str">
        <f t="shared" si="134"/>
        <v/>
      </c>
      <c r="AK96" s="8"/>
      <c r="AL96" s="8" t="str">
        <f>IF(AM96="","",IF(各種設定金額!$B$7="","○○県",各種設定金額!$B$7))</f>
        <v/>
      </c>
      <c r="AM96" s="4"/>
      <c r="AN96" s="4"/>
      <c r="AO96" s="141" t="str">
        <f t="shared" si="135"/>
        <v/>
      </c>
      <c r="AP96" s="10"/>
      <c r="AQ96" s="129"/>
      <c r="AR96" s="142" t="s">
        <v>182</v>
      </c>
      <c r="AS96" s="131" t="str">
        <f t="shared" si="136"/>
        <v/>
      </c>
      <c r="AT96" s="132" t="str">
        <f t="shared" si="137"/>
        <v/>
      </c>
      <c r="AU96" s="132" t="str">
        <f t="shared" si="138"/>
        <v/>
      </c>
      <c r="AV96" s="132" t="str">
        <f t="shared" si="139"/>
        <v/>
      </c>
      <c r="AW96" s="132" t="str">
        <f t="shared" si="140"/>
        <v/>
      </c>
      <c r="AX96" s="143" t="str">
        <f t="shared" si="141"/>
        <v/>
      </c>
      <c r="AY96" s="144"/>
      <c r="AZ96" s="8" t="str">
        <f>IF(BA96="","",IF(各種設定金額!$B$7="","○○県",各種設定金額!$B$7))</f>
        <v/>
      </c>
      <c r="BA96" s="6"/>
      <c r="BB96" s="4"/>
      <c r="BC96" s="141" t="str">
        <f t="shared" si="142"/>
        <v/>
      </c>
      <c r="BD96" s="10"/>
      <c r="BE96" s="129"/>
      <c r="BF96" s="145" t="s">
        <v>63</v>
      </c>
      <c r="BG96" s="131" t="str">
        <f t="shared" si="143"/>
        <v/>
      </c>
      <c r="BH96" s="132" t="str">
        <f t="shared" si="144"/>
        <v/>
      </c>
      <c r="BI96" s="132" t="str">
        <f t="shared" si="145"/>
        <v/>
      </c>
      <c r="BJ96" s="132" t="str">
        <f t="shared" si="146"/>
        <v/>
      </c>
      <c r="BK96" s="132" t="str">
        <f t="shared" si="147"/>
        <v/>
      </c>
      <c r="BL96" s="132" t="str">
        <f t="shared" si="148"/>
        <v/>
      </c>
      <c r="BM96" s="146"/>
      <c r="BN96" s="8" t="str">
        <f>IF(BO96="","",IF(各種設定金額!$B$7="","○○県",各種設定金額!$B$7))</f>
        <v/>
      </c>
      <c r="BO96" s="6"/>
      <c r="BP96" s="4"/>
      <c r="BQ96" s="141" t="str">
        <f t="shared" si="149"/>
        <v/>
      </c>
      <c r="BR96" s="10"/>
      <c r="BS96" s="129"/>
      <c r="BT96" s="145" t="s">
        <v>63</v>
      </c>
      <c r="BU96" s="131" t="str">
        <f t="shared" si="150"/>
        <v/>
      </c>
      <c r="BV96" s="132" t="str">
        <f t="shared" si="151"/>
        <v/>
      </c>
      <c r="BW96" s="132" t="str">
        <f t="shared" si="152"/>
        <v/>
      </c>
      <c r="BX96" s="132" t="str">
        <f t="shared" si="153"/>
        <v/>
      </c>
      <c r="BY96" s="132" t="str">
        <f t="shared" si="154"/>
        <v/>
      </c>
      <c r="BZ96" s="132" t="str">
        <f t="shared" si="155"/>
        <v/>
      </c>
      <c r="CA96" s="146"/>
      <c r="CB96" s="10" t="str">
        <f t="shared" si="156"/>
        <v/>
      </c>
      <c r="CC96" s="7" t="str">
        <f t="shared" si="157"/>
        <v/>
      </c>
      <c r="CD96" s="147"/>
      <c r="CE96" s="147"/>
      <c r="CF96" s="6"/>
      <c r="CG96" s="4"/>
      <c r="CH96" s="148">
        <f t="shared" ca="1" si="158"/>
        <v>2026</v>
      </c>
      <c r="CI96" s="121" t="str">
        <f t="shared" ca="1" si="159"/>
        <v>令和</v>
      </c>
      <c r="CJ96" s="122" t="str">
        <f t="shared" ca="1" si="160"/>
        <v>R</v>
      </c>
      <c r="CK96" s="122" t="str">
        <f t="shared" ca="1" si="161"/>
        <v>8</v>
      </c>
      <c r="CL96" s="122">
        <f t="shared" ca="1" si="162"/>
        <v>10</v>
      </c>
      <c r="CM96" s="149">
        <f t="shared" ca="1" si="163"/>
        <v>24</v>
      </c>
      <c r="CN96" s="1"/>
      <c r="CO96" s="150">
        <f t="shared" ca="1" si="164"/>
        <v>46319</v>
      </c>
    </row>
    <row r="97" spans="1:93" ht="20.100000000000001" customHeight="1" x14ac:dyDescent="0.15">
      <c r="A97" s="7" t="str">
        <f>IF(B97="","",ROW()-ROW(会員表[#Headers]))</f>
        <v/>
      </c>
      <c r="B97" s="4" ph="1"/>
      <c r="C97" s="4" t="str" cm="1">
        <f t="array" ref="C97">_xlfn.LET(_xlpm.s,PHONETIC(B97),_xlpm.c,_xlfn.UNICODE(MID(_xlpm.s,_xlfn.SEQUENCE(LEN(_xlpm.s)),1)),IF(_xlpm.s="","",_xlfn.CONCAT(_xlfn.UNICHAR(_xlpm.c-96*(_xlpm.c&gt;=12449)*(_xlpm.c&lt;=12534)))))</f>
        <v/>
      </c>
      <c r="D97" s="4" t="str" cm="1">
        <f t="array" ref="D97">_xlfn.LET(_xlpm.s,PHONETIC(B97),_xlpm.c,_xlfn.UNICODE(MID(_xlpm.s,_xlfn.SEQUENCE(LEN(_xlpm.s)),1)),IF(_xlpm.s="","",_xlfn.CONCAT(_xlfn.UNICHAR(_xlpm.c+96*(_xlpm.c&gt;=12353)*(_xlpm.c&lt;=12438)))))</f>
        <v/>
      </c>
      <c r="E97" s="129" t="str">
        <f t="shared" ca="1" si="110"/>
        <v/>
      </c>
      <c r="F97" s="130" t="str">
        <f t="shared" si="111"/>
        <v/>
      </c>
      <c r="G97" s="130" t="str">
        <f t="shared" si="112"/>
        <v/>
      </c>
      <c r="H97" s="130" t="str">
        <f t="shared" si="113"/>
        <v/>
      </c>
      <c r="I97" s="131" t="str">
        <f t="shared" si="114"/>
        <v/>
      </c>
      <c r="J97" s="132" t="str">
        <f t="shared" si="115"/>
        <v/>
      </c>
      <c r="K97" s="121" t="str">
        <f t="shared" si="116"/>
        <v/>
      </c>
      <c r="L97" s="129" t="str">
        <f t="shared" si="117"/>
        <v/>
      </c>
      <c r="M97" s="7" t="str">
        <f t="shared" si="118"/>
        <v/>
      </c>
      <c r="N97" s="133"/>
      <c r="O97" s="8"/>
      <c r="P97" s="5" t="str">
        <f t="shared" si="119"/>
        <v/>
      </c>
      <c r="Q97" s="121" t="str">
        <f t="shared" si="120"/>
        <v/>
      </c>
      <c r="R97" s="121" t="str">
        <f t="shared" si="121"/>
        <v/>
      </c>
      <c r="S97" s="7" t="str">
        <f t="shared" si="122"/>
        <v/>
      </c>
      <c r="T97" s="5"/>
      <c r="U97" s="5" t="str">
        <f t="shared" si="123"/>
        <v/>
      </c>
      <c r="V97" s="121" t="str">
        <f t="shared" si="124"/>
        <v/>
      </c>
      <c r="W97" s="121" t="str">
        <f t="shared" si="125"/>
        <v/>
      </c>
      <c r="X97" s="7" t="str">
        <f t="shared" si="126"/>
        <v/>
      </c>
      <c r="Y97" s="136"/>
      <c r="Z97" s="5" t="str">
        <f t="shared" si="127"/>
        <v/>
      </c>
      <c r="AA97" s="137" t="s">
        <v>183</v>
      </c>
      <c r="AB97" s="7" t="str">
        <f t="shared" si="128"/>
        <v/>
      </c>
      <c r="AC97" s="9"/>
      <c r="AD97" s="4"/>
      <c r="AE97" s="138" t="str">
        <f t="shared" si="129"/>
        <v/>
      </c>
      <c r="AF97" s="139" t="str">
        <f t="shared" si="130"/>
        <v/>
      </c>
      <c r="AG97" s="139" t="str">
        <f t="shared" si="131"/>
        <v/>
      </c>
      <c r="AH97" s="139" t="str">
        <f t="shared" si="132"/>
        <v/>
      </c>
      <c r="AI97" s="139" t="str">
        <f t="shared" si="133"/>
        <v/>
      </c>
      <c r="AJ97" s="140" t="str">
        <f t="shared" si="134"/>
        <v/>
      </c>
      <c r="AK97" s="8"/>
      <c r="AL97" s="8" t="str">
        <f>IF(AM97="","",IF(各種設定金額!$B$7="","○○県",各種設定金額!$B$7))</f>
        <v/>
      </c>
      <c r="AM97" s="4"/>
      <c r="AN97" s="4"/>
      <c r="AO97" s="141" t="str">
        <f t="shared" si="135"/>
        <v/>
      </c>
      <c r="AP97" s="10"/>
      <c r="AQ97" s="129"/>
      <c r="AR97" s="142" t="s">
        <v>182</v>
      </c>
      <c r="AS97" s="131" t="str">
        <f t="shared" si="136"/>
        <v/>
      </c>
      <c r="AT97" s="132" t="str">
        <f t="shared" si="137"/>
        <v/>
      </c>
      <c r="AU97" s="132" t="str">
        <f t="shared" si="138"/>
        <v/>
      </c>
      <c r="AV97" s="132" t="str">
        <f t="shared" si="139"/>
        <v/>
      </c>
      <c r="AW97" s="132" t="str">
        <f t="shared" si="140"/>
        <v/>
      </c>
      <c r="AX97" s="143" t="str">
        <f t="shared" si="141"/>
        <v/>
      </c>
      <c r="AY97" s="144"/>
      <c r="AZ97" s="8" t="str">
        <f>IF(BA97="","",IF(各種設定金額!$B$7="","○○県",各種設定金額!$B$7))</f>
        <v/>
      </c>
      <c r="BA97" s="6"/>
      <c r="BB97" s="4"/>
      <c r="BC97" s="141" t="str">
        <f t="shared" si="142"/>
        <v/>
      </c>
      <c r="BD97" s="10"/>
      <c r="BE97" s="129"/>
      <c r="BF97" s="145" t="s">
        <v>63</v>
      </c>
      <c r="BG97" s="131" t="str">
        <f t="shared" si="143"/>
        <v/>
      </c>
      <c r="BH97" s="132" t="str">
        <f t="shared" si="144"/>
        <v/>
      </c>
      <c r="BI97" s="132" t="str">
        <f t="shared" si="145"/>
        <v/>
      </c>
      <c r="BJ97" s="132" t="str">
        <f t="shared" si="146"/>
        <v/>
      </c>
      <c r="BK97" s="132" t="str">
        <f t="shared" si="147"/>
        <v/>
      </c>
      <c r="BL97" s="132" t="str">
        <f t="shared" si="148"/>
        <v/>
      </c>
      <c r="BM97" s="146"/>
      <c r="BN97" s="8" t="str">
        <f>IF(BO97="","",IF(各種設定金額!$B$7="","○○県",各種設定金額!$B$7))</f>
        <v/>
      </c>
      <c r="BO97" s="6"/>
      <c r="BP97" s="4"/>
      <c r="BQ97" s="141" t="str">
        <f t="shared" si="149"/>
        <v/>
      </c>
      <c r="BR97" s="10"/>
      <c r="BS97" s="129"/>
      <c r="BT97" s="145" t="s">
        <v>63</v>
      </c>
      <c r="BU97" s="131" t="str">
        <f t="shared" si="150"/>
        <v/>
      </c>
      <c r="BV97" s="132" t="str">
        <f t="shared" si="151"/>
        <v/>
      </c>
      <c r="BW97" s="132" t="str">
        <f t="shared" si="152"/>
        <v/>
      </c>
      <c r="BX97" s="132" t="str">
        <f t="shared" si="153"/>
        <v/>
      </c>
      <c r="BY97" s="132" t="str">
        <f t="shared" si="154"/>
        <v/>
      </c>
      <c r="BZ97" s="132" t="str">
        <f t="shared" si="155"/>
        <v/>
      </c>
      <c r="CA97" s="146"/>
      <c r="CB97" s="10" t="str">
        <f t="shared" si="156"/>
        <v/>
      </c>
      <c r="CC97" s="7" t="str">
        <f t="shared" si="157"/>
        <v/>
      </c>
      <c r="CD97" s="147"/>
      <c r="CE97" s="147"/>
      <c r="CF97" s="6"/>
      <c r="CG97" s="4"/>
      <c r="CH97" s="148">
        <f t="shared" ca="1" si="158"/>
        <v>2026</v>
      </c>
      <c r="CI97" s="121" t="str">
        <f t="shared" ca="1" si="159"/>
        <v>令和</v>
      </c>
      <c r="CJ97" s="122" t="str">
        <f t="shared" ca="1" si="160"/>
        <v>R</v>
      </c>
      <c r="CK97" s="122" t="str">
        <f t="shared" ca="1" si="161"/>
        <v>8</v>
      </c>
      <c r="CL97" s="122">
        <f t="shared" ca="1" si="162"/>
        <v>10</v>
      </c>
      <c r="CM97" s="149">
        <f t="shared" ca="1" si="163"/>
        <v>24</v>
      </c>
      <c r="CN97" s="1"/>
      <c r="CO97" s="150">
        <f t="shared" ca="1" si="164"/>
        <v>46319</v>
      </c>
    </row>
    <row r="98" spans="1:93" ht="20.100000000000001" customHeight="1" x14ac:dyDescent="0.15">
      <c r="A98" s="7" t="str">
        <f>IF(B98="","",ROW()-ROW(会員表[#Headers]))</f>
        <v/>
      </c>
      <c r="B98" s="4" ph="1"/>
      <c r="C98" s="4" t="str" cm="1">
        <f t="array" ref="C98">_xlfn.LET(_xlpm.s,PHONETIC(B98),_xlpm.c,_xlfn.UNICODE(MID(_xlpm.s,_xlfn.SEQUENCE(LEN(_xlpm.s)),1)),IF(_xlpm.s="","",_xlfn.CONCAT(_xlfn.UNICHAR(_xlpm.c-96*(_xlpm.c&gt;=12449)*(_xlpm.c&lt;=12534)))))</f>
        <v/>
      </c>
      <c r="D98" s="4" t="str" cm="1">
        <f t="array" ref="D98">_xlfn.LET(_xlpm.s,PHONETIC(B98),_xlpm.c,_xlfn.UNICODE(MID(_xlpm.s,_xlfn.SEQUENCE(LEN(_xlpm.s)),1)),IF(_xlpm.s="","",_xlfn.CONCAT(_xlfn.UNICHAR(_xlpm.c+96*(_xlpm.c&gt;=12353)*(_xlpm.c&lt;=12438)))))</f>
        <v/>
      </c>
      <c r="E98" s="129" t="str">
        <f t="shared" ref="E98:E129" ca="1" si="165">IF(N98="","",DATEDIF(N98,TODAY(),"Y"))</f>
        <v/>
      </c>
      <c r="F98" s="130" t="str">
        <f t="shared" ref="F98:F129" si="166">IF(I98="昭","〇","")</f>
        <v/>
      </c>
      <c r="G98" s="130" t="str">
        <f t="shared" ref="G98:G129" si="167">IF(I98="平","〇","")</f>
        <v/>
      </c>
      <c r="H98" s="130" t="str">
        <f t="shared" ref="H98:H129" si="168">IF(I98="令","〇","")</f>
        <v/>
      </c>
      <c r="I98" s="131" t="str">
        <f t="shared" ref="I98:I129" si="169">IF($N98="","",TEXT($N98,"gg"))</f>
        <v/>
      </c>
      <c r="J98" s="132" t="str">
        <f t="shared" ref="J98:J129" si="170">IF($N98="","",TEXT($N98,"ggg"))</f>
        <v/>
      </c>
      <c r="K98" s="121" t="str">
        <f t="shared" ref="K98:K129" si="171">IF($N98="","",TEXT($N98,"e"))</f>
        <v/>
      </c>
      <c r="L98" s="129" t="str">
        <f t="shared" ref="L98:L129" si="172">IF($N98="","",TEXT($N98,"m"))</f>
        <v/>
      </c>
      <c r="M98" s="7" t="str">
        <f t="shared" ref="M98:M129" si="173">IF($N98="","",TEXT($N98,"d"))</f>
        <v/>
      </c>
      <c r="N98" s="133"/>
      <c r="O98" s="8"/>
      <c r="P98" s="5" t="str">
        <f t="shared" ref="P98:P129" si="174">IFERROR(LEFT(O98,FIND("-",O98)-1),"")</f>
        <v/>
      </c>
      <c r="Q98" s="121" t="str">
        <f t="shared" ref="Q98:Q129" si="175">IFERROR(RIGHT(O98,LEN(O98)-FIND("-",O98)),"")</f>
        <v/>
      </c>
      <c r="R98" s="121" t="str">
        <f t="shared" ref="R98:R129" si="176">IFERROR(LEFT(Q98,FIND("-",Q98)-1),"")</f>
        <v/>
      </c>
      <c r="S98" s="7" t="str">
        <f t="shared" ref="S98:S129" si="177">IFERROR(RIGHT(Q98,LEN(Q98)-FIND("-",Q98)),"")</f>
        <v/>
      </c>
      <c r="T98" s="5"/>
      <c r="U98" s="5" t="str">
        <f t="shared" ref="U98:U129" si="178">IFERROR(LEFT(T98,FIND("-",T98)-1),"")</f>
        <v/>
      </c>
      <c r="V98" s="121" t="str">
        <f t="shared" ref="V98:V129" si="179">IFERROR(RIGHT(T98,LEN(T98)-FIND("-",T98)),"")</f>
        <v/>
      </c>
      <c r="W98" s="121" t="str">
        <f t="shared" ref="W98:W129" si="180">IFERROR(LEFT(V98,FIND("-",V98)-1),"")</f>
        <v/>
      </c>
      <c r="X98" s="7" t="str">
        <f t="shared" ref="X98:X129" si="181">IFERROR(RIGHT(V98,LEN(V98)-FIND("-",V98)),"")</f>
        <v/>
      </c>
      <c r="Y98" s="136"/>
      <c r="Z98" s="5" t="str">
        <f t="shared" ref="Z98:Z129" si="182">IF(Y98="","",LEFT(SUBSTITUTE(ASC(Y98),"-",""),3))</f>
        <v/>
      </c>
      <c r="AA98" s="137" t="s">
        <v>183</v>
      </c>
      <c r="AB98" s="7" t="str">
        <f t="shared" ref="AB98:AB129" si="183">IF(Y98="","",MID(SUBSTITUTE(ASC(Y98),"-",""),4,4))</f>
        <v/>
      </c>
      <c r="AC98" s="9"/>
      <c r="AD98" s="4"/>
      <c r="AE98" s="138" t="str">
        <f t="shared" ref="AE98:AE129" si="184">IF(AK98="","",TEXT($AK98,"ggg"))</f>
        <v/>
      </c>
      <c r="AF98" s="139" t="str">
        <f t="shared" ref="AF98:AF129" si="185">IF(AK98="","",TEXT($AK98,"gg"))</f>
        <v/>
      </c>
      <c r="AG98" s="139" t="str">
        <f t="shared" ref="AG98:AG129" si="186">IF(AK98="","",TEXT($AK98,"g"))</f>
        <v/>
      </c>
      <c r="AH98" s="139" t="str">
        <f t="shared" ref="AH98:AH129" si="187">IF(AK98="","",TEXT($AK98,"e"))</f>
        <v/>
      </c>
      <c r="AI98" s="139" t="str">
        <f t="shared" ref="AI98:AI129" si="188">IF(AK98="","",TEXT($AK98,"m"))</f>
        <v/>
      </c>
      <c r="AJ98" s="140" t="str">
        <f t="shared" ref="AJ98:AJ129" si="189">IF(AK98="","",TEXT($AK98,"d"))</f>
        <v/>
      </c>
      <c r="AK98" s="8"/>
      <c r="AL98" s="8" t="str">
        <f>IF(AM98="","",IF(各種設定金額!$B$7="","○○県",各種設定金額!$B$7))</f>
        <v/>
      </c>
      <c r="AM98" s="4"/>
      <c r="AN98" s="4"/>
      <c r="AO98" s="141" t="str">
        <f t="shared" ref="AO98:AO129" si="190">IF(TRIM(AQ98)="","",AP98&amp;AQ98&amp;AR98)</f>
        <v/>
      </c>
      <c r="AP98" s="10"/>
      <c r="AQ98" s="129"/>
      <c r="AR98" s="142" t="s">
        <v>182</v>
      </c>
      <c r="AS98" s="131" t="str">
        <f t="shared" ref="AS98:AS129" si="191">IF(AY98="","",TEXT($AY98,"ggg"))</f>
        <v/>
      </c>
      <c r="AT98" s="132" t="str">
        <f t="shared" ref="AT98:AT129" si="192">IF(AY98="","",TEXT($AY98,"gg"))</f>
        <v/>
      </c>
      <c r="AU98" s="132" t="str">
        <f t="shared" ref="AU98:AU129" si="193">IF(AY98="","",TEXT($AY98,"g"))</f>
        <v/>
      </c>
      <c r="AV98" s="132" t="str">
        <f t="shared" ref="AV98:AV129" si="194">IF(AY98="","",TEXT($AY98,"e"))</f>
        <v/>
      </c>
      <c r="AW98" s="132" t="str">
        <f t="shared" ref="AW98:AW129" si="195">IF(AY98="","",TEXT($AY98,"m"))</f>
        <v/>
      </c>
      <c r="AX98" s="143" t="str">
        <f t="shared" ref="AX98:AX129" si="196">IF(AY98="","",TEXT($AY98,"d"))</f>
        <v/>
      </c>
      <c r="AY98" s="144"/>
      <c r="AZ98" s="8" t="str">
        <f>IF(BA98="","",IF(各種設定金額!$B$7="","○○県",各種設定金額!$B$7))</f>
        <v/>
      </c>
      <c r="BA98" s="6"/>
      <c r="BB98" s="4"/>
      <c r="BC98" s="141" t="str">
        <f t="shared" ref="BC98:BC129" si="197">IF(TRIM(BE98)="","",BD98&amp;BE98&amp;BF98)</f>
        <v/>
      </c>
      <c r="BD98" s="10"/>
      <c r="BE98" s="129"/>
      <c r="BF98" s="145" t="s">
        <v>63</v>
      </c>
      <c r="BG98" s="131" t="str">
        <f t="shared" ref="BG98:BG129" si="198">IF(BM98="","",TEXT($BM98,"ggg"))</f>
        <v/>
      </c>
      <c r="BH98" s="132" t="str">
        <f t="shared" ref="BH98:BH129" si="199">IF(BM98="","",TEXT($BM98,"gg"))</f>
        <v/>
      </c>
      <c r="BI98" s="132" t="str">
        <f t="shared" ref="BI98:BI129" si="200">IF(BM98="","",TEXT($BM98,"g"))</f>
        <v/>
      </c>
      <c r="BJ98" s="132" t="str">
        <f t="shared" ref="BJ98:BJ129" si="201">IF(BM98="","",TEXT($BM98,"e"))</f>
        <v/>
      </c>
      <c r="BK98" s="132" t="str">
        <f t="shared" ref="BK98:BK129" si="202">IF(BM98="","",TEXT($BM98,"m"))</f>
        <v/>
      </c>
      <c r="BL98" s="132" t="str">
        <f t="shared" ref="BL98:BL129" si="203">IF(BM98="","",TEXT($BM98,"d"))</f>
        <v/>
      </c>
      <c r="BM98" s="146"/>
      <c r="BN98" s="8" t="str">
        <f>IF(BO98="","",IF(各種設定金額!$B$7="","○○県",各種設定金額!$B$7))</f>
        <v/>
      </c>
      <c r="BO98" s="6"/>
      <c r="BP98" s="4"/>
      <c r="BQ98" s="141" t="str">
        <f t="shared" ref="BQ98:BQ129" si="204">IF(TRIM(BS98)="","",BR98&amp;BS98&amp;BT98)</f>
        <v/>
      </c>
      <c r="BR98" s="10"/>
      <c r="BS98" s="129"/>
      <c r="BT98" s="145" t="s">
        <v>63</v>
      </c>
      <c r="BU98" s="131" t="str">
        <f t="shared" ref="BU98:BU129" si="205">IF(CA98="","",TEXT($CA98,"ggg"))</f>
        <v/>
      </c>
      <c r="BV98" s="132" t="str">
        <f t="shared" ref="BV98:BV129" si="206">IF(CA98="","",TEXT($CA98,"gg"))</f>
        <v/>
      </c>
      <c r="BW98" s="132" t="str">
        <f t="shared" ref="BW98:BW129" si="207">IF(CA98="","",TEXT($CA98,"g"))</f>
        <v/>
      </c>
      <c r="BX98" s="132" t="str">
        <f t="shared" ref="BX98:BX129" si="208">IF(CA98="","",TEXT($CA98,"e"))</f>
        <v/>
      </c>
      <c r="BY98" s="132" t="str">
        <f t="shared" ref="BY98:BY129" si="209">IF(CA98="","",TEXT($CA98,"m"))</f>
        <v/>
      </c>
      <c r="BZ98" s="132" t="str">
        <f t="shared" ref="BZ98:BZ129" si="210">IF(CA98="","",TEXT($CA98,"d"))</f>
        <v/>
      </c>
      <c r="CA98" s="146"/>
      <c r="CB98" s="10" t="str">
        <f t="shared" ref="CB98:CB129" si="211">IF(COUNT(AY98,BM98,CA98)=0,"",TEXT(DATE(YEAR(MIN(AY98,BM98,CA98))+3,9,14),"g"))</f>
        <v/>
      </c>
      <c r="CC98" s="7" t="str">
        <f t="shared" ref="CC98:CC129" si="212">IF(COUNT(AY98,BM98,CA98)=0,"",VALUE(TEXT(DATE(YEAR(MIN(AY98,BM98,CA98))+3,9,14),"e")))</f>
        <v/>
      </c>
      <c r="CD98" s="147"/>
      <c r="CE98" s="147"/>
      <c r="CF98" s="6"/>
      <c r="CG98" s="4"/>
      <c r="CH98" s="148">
        <f t="shared" ref="CH98:CH129" ca="1" si="213">YEAR(TODAY())</f>
        <v>2026</v>
      </c>
      <c r="CI98" s="121" t="str">
        <f t="shared" ref="CI98:CI129" ca="1" si="214">TEXT($CO98,"ggg")</f>
        <v>令和</v>
      </c>
      <c r="CJ98" s="122" t="str">
        <f t="shared" ref="CJ98:CJ129" ca="1" si="215">TEXT($CO98,"g")</f>
        <v>R</v>
      </c>
      <c r="CK98" s="122" t="str">
        <f t="shared" ref="CK98:CK129" ca="1" si="216">TEXT($CO98,"e")</f>
        <v>8</v>
      </c>
      <c r="CL98" s="122">
        <f t="shared" ref="CL98:CL129" ca="1" si="217">MONTH(TODAY())</f>
        <v>10</v>
      </c>
      <c r="CM98" s="149">
        <f t="shared" ref="CM98:CM129" ca="1" si="218">DAY(TODAY())</f>
        <v>24</v>
      </c>
      <c r="CN98" s="1"/>
      <c r="CO98" s="150">
        <f t="shared" ref="CO98:CO129" ca="1" si="219">TODAY()</f>
        <v>46319</v>
      </c>
    </row>
    <row r="99" spans="1:93" ht="20.100000000000001" customHeight="1" x14ac:dyDescent="0.15">
      <c r="A99" s="7" t="str">
        <f>IF(B99="","",ROW()-ROW(会員表[#Headers]))</f>
        <v/>
      </c>
      <c r="B99" s="4" ph="1"/>
      <c r="C99" s="4" t="str" cm="1">
        <f t="array" ref="C99">_xlfn.LET(_xlpm.s,PHONETIC(B99),_xlpm.c,_xlfn.UNICODE(MID(_xlpm.s,_xlfn.SEQUENCE(LEN(_xlpm.s)),1)),IF(_xlpm.s="","",_xlfn.CONCAT(_xlfn.UNICHAR(_xlpm.c-96*(_xlpm.c&gt;=12449)*(_xlpm.c&lt;=12534)))))</f>
        <v/>
      </c>
      <c r="D99" s="4" t="str" cm="1">
        <f t="array" ref="D99">_xlfn.LET(_xlpm.s,PHONETIC(B99),_xlpm.c,_xlfn.UNICODE(MID(_xlpm.s,_xlfn.SEQUENCE(LEN(_xlpm.s)),1)),IF(_xlpm.s="","",_xlfn.CONCAT(_xlfn.UNICHAR(_xlpm.c+96*(_xlpm.c&gt;=12353)*(_xlpm.c&lt;=12438)))))</f>
        <v/>
      </c>
      <c r="E99" s="129" t="str">
        <f t="shared" ca="1" si="165"/>
        <v/>
      </c>
      <c r="F99" s="130" t="str">
        <f t="shared" si="166"/>
        <v/>
      </c>
      <c r="G99" s="130" t="str">
        <f t="shared" si="167"/>
        <v/>
      </c>
      <c r="H99" s="130" t="str">
        <f t="shared" si="168"/>
        <v/>
      </c>
      <c r="I99" s="131" t="str">
        <f t="shared" si="169"/>
        <v/>
      </c>
      <c r="J99" s="132" t="str">
        <f t="shared" si="170"/>
        <v/>
      </c>
      <c r="K99" s="121" t="str">
        <f t="shared" si="171"/>
        <v/>
      </c>
      <c r="L99" s="129" t="str">
        <f t="shared" si="172"/>
        <v/>
      </c>
      <c r="M99" s="7" t="str">
        <f t="shared" si="173"/>
        <v/>
      </c>
      <c r="N99" s="133"/>
      <c r="O99" s="8"/>
      <c r="P99" s="5" t="str">
        <f t="shared" si="174"/>
        <v/>
      </c>
      <c r="Q99" s="121" t="str">
        <f t="shared" si="175"/>
        <v/>
      </c>
      <c r="R99" s="121" t="str">
        <f t="shared" si="176"/>
        <v/>
      </c>
      <c r="S99" s="7" t="str">
        <f t="shared" si="177"/>
        <v/>
      </c>
      <c r="T99" s="5"/>
      <c r="U99" s="5" t="str">
        <f t="shared" si="178"/>
        <v/>
      </c>
      <c r="V99" s="121" t="str">
        <f t="shared" si="179"/>
        <v/>
      </c>
      <c r="W99" s="121" t="str">
        <f t="shared" si="180"/>
        <v/>
      </c>
      <c r="X99" s="7" t="str">
        <f t="shared" si="181"/>
        <v/>
      </c>
      <c r="Y99" s="136"/>
      <c r="Z99" s="5" t="str">
        <f t="shared" si="182"/>
        <v/>
      </c>
      <c r="AA99" s="137" t="s">
        <v>183</v>
      </c>
      <c r="AB99" s="7" t="str">
        <f t="shared" si="183"/>
        <v/>
      </c>
      <c r="AC99" s="9"/>
      <c r="AD99" s="4"/>
      <c r="AE99" s="138" t="str">
        <f t="shared" si="184"/>
        <v/>
      </c>
      <c r="AF99" s="139" t="str">
        <f t="shared" si="185"/>
        <v/>
      </c>
      <c r="AG99" s="139" t="str">
        <f t="shared" si="186"/>
        <v/>
      </c>
      <c r="AH99" s="139" t="str">
        <f t="shared" si="187"/>
        <v/>
      </c>
      <c r="AI99" s="139" t="str">
        <f t="shared" si="188"/>
        <v/>
      </c>
      <c r="AJ99" s="140" t="str">
        <f t="shared" si="189"/>
        <v/>
      </c>
      <c r="AK99" s="8"/>
      <c r="AL99" s="8" t="str">
        <f>IF(AM99="","",IF(各種設定金額!$B$7="","○○県",各種設定金額!$B$7))</f>
        <v/>
      </c>
      <c r="AM99" s="4"/>
      <c r="AN99" s="4"/>
      <c r="AO99" s="141" t="str">
        <f t="shared" si="190"/>
        <v/>
      </c>
      <c r="AP99" s="10"/>
      <c r="AQ99" s="129"/>
      <c r="AR99" s="142" t="s">
        <v>182</v>
      </c>
      <c r="AS99" s="131" t="str">
        <f t="shared" si="191"/>
        <v/>
      </c>
      <c r="AT99" s="132" t="str">
        <f t="shared" si="192"/>
        <v/>
      </c>
      <c r="AU99" s="132" t="str">
        <f t="shared" si="193"/>
        <v/>
      </c>
      <c r="AV99" s="132" t="str">
        <f t="shared" si="194"/>
        <v/>
      </c>
      <c r="AW99" s="132" t="str">
        <f t="shared" si="195"/>
        <v/>
      </c>
      <c r="AX99" s="143" t="str">
        <f t="shared" si="196"/>
        <v/>
      </c>
      <c r="AY99" s="144"/>
      <c r="AZ99" s="8" t="str">
        <f>IF(BA99="","",IF(各種設定金額!$B$7="","○○県",各種設定金額!$B$7))</f>
        <v/>
      </c>
      <c r="BA99" s="6"/>
      <c r="BB99" s="4"/>
      <c r="BC99" s="141" t="str">
        <f t="shared" si="197"/>
        <v/>
      </c>
      <c r="BD99" s="10"/>
      <c r="BE99" s="129"/>
      <c r="BF99" s="145" t="s">
        <v>63</v>
      </c>
      <c r="BG99" s="131" t="str">
        <f t="shared" si="198"/>
        <v/>
      </c>
      <c r="BH99" s="132" t="str">
        <f t="shared" si="199"/>
        <v/>
      </c>
      <c r="BI99" s="132" t="str">
        <f t="shared" si="200"/>
        <v/>
      </c>
      <c r="BJ99" s="132" t="str">
        <f t="shared" si="201"/>
        <v/>
      </c>
      <c r="BK99" s="132" t="str">
        <f t="shared" si="202"/>
        <v/>
      </c>
      <c r="BL99" s="132" t="str">
        <f t="shared" si="203"/>
        <v/>
      </c>
      <c r="BM99" s="146"/>
      <c r="BN99" s="8" t="str">
        <f>IF(BO99="","",IF(各種設定金額!$B$7="","○○県",各種設定金額!$B$7))</f>
        <v/>
      </c>
      <c r="BO99" s="6"/>
      <c r="BP99" s="4"/>
      <c r="BQ99" s="141" t="str">
        <f t="shared" si="204"/>
        <v/>
      </c>
      <c r="BR99" s="10"/>
      <c r="BS99" s="129"/>
      <c r="BT99" s="145" t="s">
        <v>63</v>
      </c>
      <c r="BU99" s="131" t="str">
        <f t="shared" si="205"/>
        <v/>
      </c>
      <c r="BV99" s="132" t="str">
        <f t="shared" si="206"/>
        <v/>
      </c>
      <c r="BW99" s="132" t="str">
        <f t="shared" si="207"/>
        <v/>
      </c>
      <c r="BX99" s="132" t="str">
        <f t="shared" si="208"/>
        <v/>
      </c>
      <c r="BY99" s="132" t="str">
        <f t="shared" si="209"/>
        <v/>
      </c>
      <c r="BZ99" s="132" t="str">
        <f t="shared" si="210"/>
        <v/>
      </c>
      <c r="CA99" s="146"/>
      <c r="CB99" s="10" t="str">
        <f t="shared" si="211"/>
        <v/>
      </c>
      <c r="CC99" s="7" t="str">
        <f t="shared" si="212"/>
        <v/>
      </c>
      <c r="CD99" s="147"/>
      <c r="CE99" s="147"/>
      <c r="CF99" s="6"/>
      <c r="CG99" s="4"/>
      <c r="CH99" s="148">
        <f t="shared" ca="1" si="213"/>
        <v>2026</v>
      </c>
      <c r="CI99" s="121" t="str">
        <f t="shared" ca="1" si="214"/>
        <v>令和</v>
      </c>
      <c r="CJ99" s="122" t="str">
        <f t="shared" ca="1" si="215"/>
        <v>R</v>
      </c>
      <c r="CK99" s="122" t="str">
        <f t="shared" ca="1" si="216"/>
        <v>8</v>
      </c>
      <c r="CL99" s="122">
        <f t="shared" ca="1" si="217"/>
        <v>10</v>
      </c>
      <c r="CM99" s="149">
        <f t="shared" ca="1" si="218"/>
        <v>24</v>
      </c>
      <c r="CN99" s="1"/>
      <c r="CO99" s="150">
        <f t="shared" ca="1" si="219"/>
        <v>46319</v>
      </c>
    </row>
    <row r="100" spans="1:93" ht="20.100000000000001" customHeight="1" x14ac:dyDescent="0.15">
      <c r="A100" s="7" t="str">
        <f>IF(B100="","",ROW()-ROW(会員表[#Headers]))</f>
        <v/>
      </c>
      <c r="B100" s="4" ph="1"/>
      <c r="C100" s="4" t="str" cm="1">
        <f t="array" ref="C100">_xlfn.LET(_xlpm.s,PHONETIC(B100),_xlpm.c,_xlfn.UNICODE(MID(_xlpm.s,_xlfn.SEQUENCE(LEN(_xlpm.s)),1)),IF(_xlpm.s="","",_xlfn.CONCAT(_xlfn.UNICHAR(_xlpm.c-96*(_xlpm.c&gt;=12449)*(_xlpm.c&lt;=12534)))))</f>
        <v/>
      </c>
      <c r="D100" s="4" t="str" cm="1">
        <f t="array" ref="D100">_xlfn.LET(_xlpm.s,PHONETIC(B100),_xlpm.c,_xlfn.UNICODE(MID(_xlpm.s,_xlfn.SEQUENCE(LEN(_xlpm.s)),1)),IF(_xlpm.s="","",_xlfn.CONCAT(_xlfn.UNICHAR(_xlpm.c+96*(_xlpm.c&gt;=12353)*(_xlpm.c&lt;=12438)))))</f>
        <v/>
      </c>
      <c r="E100" s="129" t="str">
        <f t="shared" ca="1" si="165"/>
        <v/>
      </c>
      <c r="F100" s="130" t="str">
        <f t="shared" si="166"/>
        <v/>
      </c>
      <c r="G100" s="130" t="str">
        <f t="shared" si="167"/>
        <v/>
      </c>
      <c r="H100" s="130" t="str">
        <f t="shared" si="168"/>
        <v/>
      </c>
      <c r="I100" s="131" t="str">
        <f t="shared" si="169"/>
        <v/>
      </c>
      <c r="J100" s="132" t="str">
        <f t="shared" si="170"/>
        <v/>
      </c>
      <c r="K100" s="121" t="str">
        <f t="shared" si="171"/>
        <v/>
      </c>
      <c r="L100" s="129" t="str">
        <f t="shared" si="172"/>
        <v/>
      </c>
      <c r="M100" s="7" t="str">
        <f t="shared" si="173"/>
        <v/>
      </c>
      <c r="N100" s="133"/>
      <c r="O100" s="8"/>
      <c r="P100" s="5" t="str">
        <f t="shared" si="174"/>
        <v/>
      </c>
      <c r="Q100" s="121" t="str">
        <f t="shared" si="175"/>
        <v/>
      </c>
      <c r="R100" s="121" t="str">
        <f t="shared" si="176"/>
        <v/>
      </c>
      <c r="S100" s="7" t="str">
        <f t="shared" si="177"/>
        <v/>
      </c>
      <c r="T100" s="5"/>
      <c r="U100" s="5" t="str">
        <f t="shared" si="178"/>
        <v/>
      </c>
      <c r="V100" s="121" t="str">
        <f t="shared" si="179"/>
        <v/>
      </c>
      <c r="W100" s="121" t="str">
        <f t="shared" si="180"/>
        <v/>
      </c>
      <c r="X100" s="7" t="str">
        <f t="shared" si="181"/>
        <v/>
      </c>
      <c r="Y100" s="136"/>
      <c r="Z100" s="5" t="str">
        <f t="shared" si="182"/>
        <v/>
      </c>
      <c r="AA100" s="137" t="s">
        <v>183</v>
      </c>
      <c r="AB100" s="7" t="str">
        <f t="shared" si="183"/>
        <v/>
      </c>
      <c r="AC100" s="9"/>
      <c r="AD100" s="4"/>
      <c r="AE100" s="138" t="str">
        <f t="shared" si="184"/>
        <v/>
      </c>
      <c r="AF100" s="139" t="str">
        <f t="shared" si="185"/>
        <v/>
      </c>
      <c r="AG100" s="139" t="str">
        <f t="shared" si="186"/>
        <v/>
      </c>
      <c r="AH100" s="139" t="str">
        <f t="shared" si="187"/>
        <v/>
      </c>
      <c r="AI100" s="139" t="str">
        <f t="shared" si="188"/>
        <v/>
      </c>
      <c r="AJ100" s="140" t="str">
        <f t="shared" si="189"/>
        <v/>
      </c>
      <c r="AK100" s="8"/>
      <c r="AL100" s="8" t="str">
        <f>IF(AM100="","",IF(各種設定金額!$B$7="","○○県",各種設定金額!$B$7))</f>
        <v/>
      </c>
      <c r="AM100" s="4"/>
      <c r="AN100" s="4"/>
      <c r="AO100" s="141" t="str">
        <f t="shared" si="190"/>
        <v/>
      </c>
      <c r="AP100" s="10"/>
      <c r="AQ100" s="129"/>
      <c r="AR100" s="142" t="s">
        <v>182</v>
      </c>
      <c r="AS100" s="131" t="str">
        <f t="shared" si="191"/>
        <v/>
      </c>
      <c r="AT100" s="132" t="str">
        <f t="shared" si="192"/>
        <v/>
      </c>
      <c r="AU100" s="132" t="str">
        <f t="shared" si="193"/>
        <v/>
      </c>
      <c r="AV100" s="132" t="str">
        <f t="shared" si="194"/>
        <v/>
      </c>
      <c r="AW100" s="132" t="str">
        <f t="shared" si="195"/>
        <v/>
      </c>
      <c r="AX100" s="143" t="str">
        <f t="shared" si="196"/>
        <v/>
      </c>
      <c r="AY100" s="144"/>
      <c r="AZ100" s="8" t="str">
        <f>IF(BA100="","",IF(各種設定金額!$B$7="","○○県",各種設定金額!$B$7))</f>
        <v/>
      </c>
      <c r="BA100" s="6"/>
      <c r="BB100" s="4"/>
      <c r="BC100" s="141" t="str">
        <f t="shared" si="197"/>
        <v/>
      </c>
      <c r="BD100" s="10"/>
      <c r="BE100" s="129"/>
      <c r="BF100" s="145" t="s">
        <v>63</v>
      </c>
      <c r="BG100" s="131" t="str">
        <f t="shared" si="198"/>
        <v/>
      </c>
      <c r="BH100" s="132" t="str">
        <f t="shared" si="199"/>
        <v/>
      </c>
      <c r="BI100" s="132" t="str">
        <f t="shared" si="200"/>
        <v/>
      </c>
      <c r="BJ100" s="132" t="str">
        <f t="shared" si="201"/>
        <v/>
      </c>
      <c r="BK100" s="132" t="str">
        <f t="shared" si="202"/>
        <v/>
      </c>
      <c r="BL100" s="132" t="str">
        <f t="shared" si="203"/>
        <v/>
      </c>
      <c r="BM100" s="146"/>
      <c r="BN100" s="8" t="str">
        <f>IF(BO100="","",IF(各種設定金額!$B$7="","○○県",各種設定金額!$B$7))</f>
        <v/>
      </c>
      <c r="BO100" s="6"/>
      <c r="BP100" s="4"/>
      <c r="BQ100" s="141" t="str">
        <f t="shared" si="204"/>
        <v/>
      </c>
      <c r="BR100" s="10"/>
      <c r="BS100" s="129"/>
      <c r="BT100" s="145" t="s">
        <v>63</v>
      </c>
      <c r="BU100" s="131" t="str">
        <f t="shared" si="205"/>
        <v/>
      </c>
      <c r="BV100" s="132" t="str">
        <f t="shared" si="206"/>
        <v/>
      </c>
      <c r="BW100" s="132" t="str">
        <f t="shared" si="207"/>
        <v/>
      </c>
      <c r="BX100" s="132" t="str">
        <f t="shared" si="208"/>
        <v/>
      </c>
      <c r="BY100" s="132" t="str">
        <f t="shared" si="209"/>
        <v/>
      </c>
      <c r="BZ100" s="132" t="str">
        <f t="shared" si="210"/>
        <v/>
      </c>
      <c r="CA100" s="146"/>
      <c r="CB100" s="10" t="str">
        <f t="shared" si="211"/>
        <v/>
      </c>
      <c r="CC100" s="7" t="str">
        <f t="shared" si="212"/>
        <v/>
      </c>
      <c r="CD100" s="147"/>
      <c r="CE100" s="147"/>
      <c r="CF100" s="6"/>
      <c r="CG100" s="4"/>
      <c r="CH100" s="148">
        <f t="shared" ca="1" si="213"/>
        <v>2026</v>
      </c>
      <c r="CI100" s="121" t="str">
        <f t="shared" ca="1" si="214"/>
        <v>令和</v>
      </c>
      <c r="CJ100" s="122" t="str">
        <f t="shared" ca="1" si="215"/>
        <v>R</v>
      </c>
      <c r="CK100" s="122" t="str">
        <f t="shared" ca="1" si="216"/>
        <v>8</v>
      </c>
      <c r="CL100" s="122">
        <f t="shared" ca="1" si="217"/>
        <v>10</v>
      </c>
      <c r="CM100" s="149">
        <f t="shared" ca="1" si="218"/>
        <v>24</v>
      </c>
      <c r="CN100" s="1"/>
      <c r="CO100" s="150">
        <f t="shared" ca="1" si="219"/>
        <v>46319</v>
      </c>
    </row>
    <row r="101" spans="1:93" ht="20.100000000000001" customHeight="1" x14ac:dyDescent="0.15">
      <c r="A101" s="7" t="str">
        <f>IF(B101="","",ROW()-ROW(会員表[#Headers]))</f>
        <v/>
      </c>
      <c r="B101" s="4" ph="1"/>
      <c r="C101" s="4" t="str" cm="1">
        <f t="array" ref="C101">_xlfn.LET(_xlpm.s,PHONETIC(B101),_xlpm.c,_xlfn.UNICODE(MID(_xlpm.s,_xlfn.SEQUENCE(LEN(_xlpm.s)),1)),IF(_xlpm.s="","",_xlfn.CONCAT(_xlfn.UNICHAR(_xlpm.c-96*(_xlpm.c&gt;=12449)*(_xlpm.c&lt;=12534)))))</f>
        <v/>
      </c>
      <c r="D101" s="4" t="str" cm="1">
        <f t="array" ref="D101">_xlfn.LET(_xlpm.s,PHONETIC(B101),_xlpm.c,_xlfn.UNICODE(MID(_xlpm.s,_xlfn.SEQUENCE(LEN(_xlpm.s)),1)),IF(_xlpm.s="","",_xlfn.CONCAT(_xlfn.UNICHAR(_xlpm.c+96*(_xlpm.c&gt;=12353)*(_xlpm.c&lt;=12438)))))</f>
        <v/>
      </c>
      <c r="E101" s="129" t="str">
        <f t="shared" ca="1" si="165"/>
        <v/>
      </c>
      <c r="F101" s="130" t="str">
        <f t="shared" si="166"/>
        <v/>
      </c>
      <c r="G101" s="130" t="str">
        <f t="shared" si="167"/>
        <v/>
      </c>
      <c r="H101" s="130" t="str">
        <f t="shared" si="168"/>
        <v/>
      </c>
      <c r="I101" s="131" t="str">
        <f t="shared" si="169"/>
        <v/>
      </c>
      <c r="J101" s="132" t="str">
        <f t="shared" si="170"/>
        <v/>
      </c>
      <c r="K101" s="121" t="str">
        <f t="shared" si="171"/>
        <v/>
      </c>
      <c r="L101" s="129" t="str">
        <f t="shared" si="172"/>
        <v/>
      </c>
      <c r="M101" s="7" t="str">
        <f t="shared" si="173"/>
        <v/>
      </c>
      <c r="N101" s="133"/>
      <c r="O101" s="8"/>
      <c r="P101" s="5" t="str">
        <f t="shared" si="174"/>
        <v/>
      </c>
      <c r="Q101" s="121" t="str">
        <f t="shared" si="175"/>
        <v/>
      </c>
      <c r="R101" s="121" t="str">
        <f t="shared" si="176"/>
        <v/>
      </c>
      <c r="S101" s="7" t="str">
        <f t="shared" si="177"/>
        <v/>
      </c>
      <c r="T101" s="5"/>
      <c r="U101" s="5" t="str">
        <f t="shared" si="178"/>
        <v/>
      </c>
      <c r="V101" s="121" t="str">
        <f t="shared" si="179"/>
        <v/>
      </c>
      <c r="W101" s="121" t="str">
        <f t="shared" si="180"/>
        <v/>
      </c>
      <c r="X101" s="7" t="str">
        <f t="shared" si="181"/>
        <v/>
      </c>
      <c r="Y101" s="136"/>
      <c r="Z101" s="5" t="str">
        <f t="shared" si="182"/>
        <v/>
      </c>
      <c r="AA101" s="137" t="s">
        <v>183</v>
      </c>
      <c r="AB101" s="7" t="str">
        <f t="shared" si="183"/>
        <v/>
      </c>
      <c r="AC101" s="9"/>
      <c r="AD101" s="4"/>
      <c r="AE101" s="138" t="str">
        <f t="shared" si="184"/>
        <v/>
      </c>
      <c r="AF101" s="139" t="str">
        <f t="shared" si="185"/>
        <v/>
      </c>
      <c r="AG101" s="139" t="str">
        <f t="shared" si="186"/>
        <v/>
      </c>
      <c r="AH101" s="139" t="str">
        <f t="shared" si="187"/>
        <v/>
      </c>
      <c r="AI101" s="139" t="str">
        <f t="shared" si="188"/>
        <v/>
      </c>
      <c r="AJ101" s="140" t="str">
        <f t="shared" si="189"/>
        <v/>
      </c>
      <c r="AK101" s="8"/>
      <c r="AL101" s="8" t="str">
        <f>IF(AM101="","",IF(各種設定金額!$B$7="","○○県",各種設定金額!$B$7))</f>
        <v/>
      </c>
      <c r="AM101" s="4"/>
      <c r="AN101" s="4"/>
      <c r="AO101" s="141" t="str">
        <f t="shared" si="190"/>
        <v/>
      </c>
      <c r="AP101" s="10"/>
      <c r="AQ101" s="129"/>
      <c r="AR101" s="142" t="s">
        <v>182</v>
      </c>
      <c r="AS101" s="131" t="str">
        <f t="shared" si="191"/>
        <v/>
      </c>
      <c r="AT101" s="132" t="str">
        <f t="shared" si="192"/>
        <v/>
      </c>
      <c r="AU101" s="132" t="str">
        <f t="shared" si="193"/>
        <v/>
      </c>
      <c r="AV101" s="132" t="str">
        <f t="shared" si="194"/>
        <v/>
      </c>
      <c r="AW101" s="132" t="str">
        <f t="shared" si="195"/>
        <v/>
      </c>
      <c r="AX101" s="143" t="str">
        <f t="shared" si="196"/>
        <v/>
      </c>
      <c r="AY101" s="144"/>
      <c r="AZ101" s="8" t="str">
        <f>IF(BA101="","",IF(各種設定金額!$B$7="","○○県",各種設定金額!$B$7))</f>
        <v/>
      </c>
      <c r="BA101" s="6"/>
      <c r="BB101" s="4"/>
      <c r="BC101" s="141" t="str">
        <f t="shared" si="197"/>
        <v/>
      </c>
      <c r="BD101" s="10"/>
      <c r="BE101" s="129"/>
      <c r="BF101" s="145" t="s">
        <v>63</v>
      </c>
      <c r="BG101" s="131" t="str">
        <f t="shared" si="198"/>
        <v/>
      </c>
      <c r="BH101" s="132" t="str">
        <f t="shared" si="199"/>
        <v/>
      </c>
      <c r="BI101" s="132" t="str">
        <f t="shared" si="200"/>
        <v/>
      </c>
      <c r="BJ101" s="132" t="str">
        <f t="shared" si="201"/>
        <v/>
      </c>
      <c r="BK101" s="132" t="str">
        <f t="shared" si="202"/>
        <v/>
      </c>
      <c r="BL101" s="132" t="str">
        <f t="shared" si="203"/>
        <v/>
      </c>
      <c r="BM101" s="146"/>
      <c r="BN101" s="8" t="str">
        <f>IF(BO101="","",IF(各種設定金額!$B$7="","○○県",各種設定金額!$B$7))</f>
        <v/>
      </c>
      <c r="BO101" s="6"/>
      <c r="BP101" s="4"/>
      <c r="BQ101" s="141" t="str">
        <f t="shared" si="204"/>
        <v/>
      </c>
      <c r="BR101" s="10"/>
      <c r="BS101" s="129"/>
      <c r="BT101" s="145" t="s">
        <v>63</v>
      </c>
      <c r="BU101" s="131" t="str">
        <f t="shared" si="205"/>
        <v/>
      </c>
      <c r="BV101" s="132" t="str">
        <f t="shared" si="206"/>
        <v/>
      </c>
      <c r="BW101" s="132" t="str">
        <f t="shared" si="207"/>
        <v/>
      </c>
      <c r="BX101" s="132" t="str">
        <f t="shared" si="208"/>
        <v/>
      </c>
      <c r="BY101" s="132" t="str">
        <f t="shared" si="209"/>
        <v/>
      </c>
      <c r="BZ101" s="132" t="str">
        <f t="shared" si="210"/>
        <v/>
      </c>
      <c r="CA101" s="146"/>
      <c r="CB101" s="10" t="str">
        <f t="shared" si="211"/>
        <v/>
      </c>
      <c r="CC101" s="7" t="str">
        <f t="shared" si="212"/>
        <v/>
      </c>
      <c r="CD101" s="147"/>
      <c r="CE101" s="147"/>
      <c r="CF101" s="6"/>
      <c r="CG101" s="4"/>
      <c r="CH101" s="148">
        <f t="shared" ca="1" si="213"/>
        <v>2026</v>
      </c>
      <c r="CI101" s="121" t="str">
        <f t="shared" ca="1" si="214"/>
        <v>令和</v>
      </c>
      <c r="CJ101" s="122" t="str">
        <f t="shared" ca="1" si="215"/>
        <v>R</v>
      </c>
      <c r="CK101" s="122" t="str">
        <f t="shared" ca="1" si="216"/>
        <v>8</v>
      </c>
      <c r="CL101" s="122">
        <f t="shared" ca="1" si="217"/>
        <v>10</v>
      </c>
      <c r="CM101" s="149">
        <f t="shared" ca="1" si="218"/>
        <v>24</v>
      </c>
      <c r="CN101" s="1"/>
      <c r="CO101" s="150">
        <f t="shared" ca="1" si="219"/>
        <v>46319</v>
      </c>
    </row>
    <row r="102" spans="1:93" ht="20.100000000000001" customHeight="1" x14ac:dyDescent="0.15">
      <c r="A102" s="7" t="str">
        <f>IF(B102="","",ROW()-ROW(会員表[#Headers]))</f>
        <v/>
      </c>
      <c r="B102" s="4" ph="1"/>
      <c r="C102" s="4" t="str" cm="1">
        <f t="array" ref="C102">_xlfn.LET(_xlpm.s,PHONETIC(B102),_xlpm.c,_xlfn.UNICODE(MID(_xlpm.s,_xlfn.SEQUENCE(LEN(_xlpm.s)),1)),IF(_xlpm.s="","",_xlfn.CONCAT(_xlfn.UNICHAR(_xlpm.c-96*(_xlpm.c&gt;=12449)*(_xlpm.c&lt;=12534)))))</f>
        <v/>
      </c>
      <c r="D102" s="4" t="str" cm="1">
        <f t="array" ref="D102">_xlfn.LET(_xlpm.s,PHONETIC(B102),_xlpm.c,_xlfn.UNICODE(MID(_xlpm.s,_xlfn.SEQUENCE(LEN(_xlpm.s)),1)),IF(_xlpm.s="","",_xlfn.CONCAT(_xlfn.UNICHAR(_xlpm.c+96*(_xlpm.c&gt;=12353)*(_xlpm.c&lt;=12438)))))</f>
        <v/>
      </c>
      <c r="E102" s="129" t="str">
        <f t="shared" ca="1" si="165"/>
        <v/>
      </c>
      <c r="F102" s="130" t="str">
        <f t="shared" si="166"/>
        <v/>
      </c>
      <c r="G102" s="130" t="str">
        <f t="shared" si="167"/>
        <v/>
      </c>
      <c r="H102" s="130" t="str">
        <f t="shared" si="168"/>
        <v/>
      </c>
      <c r="I102" s="131" t="str">
        <f t="shared" si="169"/>
        <v/>
      </c>
      <c r="J102" s="132" t="str">
        <f t="shared" si="170"/>
        <v/>
      </c>
      <c r="K102" s="121" t="str">
        <f t="shared" si="171"/>
        <v/>
      </c>
      <c r="L102" s="129" t="str">
        <f t="shared" si="172"/>
        <v/>
      </c>
      <c r="M102" s="7" t="str">
        <f t="shared" si="173"/>
        <v/>
      </c>
      <c r="N102" s="133"/>
      <c r="O102" s="8"/>
      <c r="P102" s="5" t="str">
        <f t="shared" si="174"/>
        <v/>
      </c>
      <c r="Q102" s="121" t="str">
        <f t="shared" si="175"/>
        <v/>
      </c>
      <c r="R102" s="121" t="str">
        <f t="shared" si="176"/>
        <v/>
      </c>
      <c r="S102" s="7" t="str">
        <f t="shared" si="177"/>
        <v/>
      </c>
      <c r="T102" s="5"/>
      <c r="U102" s="5" t="str">
        <f t="shared" si="178"/>
        <v/>
      </c>
      <c r="V102" s="121" t="str">
        <f t="shared" si="179"/>
        <v/>
      </c>
      <c r="W102" s="121" t="str">
        <f t="shared" si="180"/>
        <v/>
      </c>
      <c r="X102" s="7" t="str">
        <f t="shared" si="181"/>
        <v/>
      </c>
      <c r="Y102" s="136"/>
      <c r="Z102" s="5" t="str">
        <f t="shared" si="182"/>
        <v/>
      </c>
      <c r="AA102" s="137" t="s">
        <v>183</v>
      </c>
      <c r="AB102" s="7" t="str">
        <f t="shared" si="183"/>
        <v/>
      </c>
      <c r="AC102" s="9"/>
      <c r="AD102" s="4"/>
      <c r="AE102" s="138" t="str">
        <f t="shared" si="184"/>
        <v/>
      </c>
      <c r="AF102" s="139" t="str">
        <f t="shared" si="185"/>
        <v/>
      </c>
      <c r="AG102" s="139" t="str">
        <f t="shared" si="186"/>
        <v/>
      </c>
      <c r="AH102" s="139" t="str">
        <f t="shared" si="187"/>
        <v/>
      </c>
      <c r="AI102" s="139" t="str">
        <f t="shared" si="188"/>
        <v/>
      </c>
      <c r="AJ102" s="140" t="str">
        <f t="shared" si="189"/>
        <v/>
      </c>
      <c r="AK102" s="8"/>
      <c r="AL102" s="8" t="str">
        <f>IF(AM102="","",IF(各種設定金額!$B$7="","○○県",各種設定金額!$B$7))</f>
        <v/>
      </c>
      <c r="AM102" s="4"/>
      <c r="AN102" s="4"/>
      <c r="AO102" s="141" t="str">
        <f t="shared" si="190"/>
        <v/>
      </c>
      <c r="AP102" s="10"/>
      <c r="AQ102" s="129"/>
      <c r="AR102" s="142" t="s">
        <v>182</v>
      </c>
      <c r="AS102" s="131" t="str">
        <f t="shared" si="191"/>
        <v/>
      </c>
      <c r="AT102" s="132" t="str">
        <f t="shared" si="192"/>
        <v/>
      </c>
      <c r="AU102" s="132" t="str">
        <f t="shared" si="193"/>
        <v/>
      </c>
      <c r="AV102" s="132" t="str">
        <f t="shared" si="194"/>
        <v/>
      </c>
      <c r="AW102" s="132" t="str">
        <f t="shared" si="195"/>
        <v/>
      </c>
      <c r="AX102" s="143" t="str">
        <f t="shared" si="196"/>
        <v/>
      </c>
      <c r="AY102" s="144"/>
      <c r="AZ102" s="8" t="str">
        <f>IF(BA102="","",IF(各種設定金額!$B$7="","○○県",各種設定金額!$B$7))</f>
        <v/>
      </c>
      <c r="BA102" s="6"/>
      <c r="BB102" s="4"/>
      <c r="BC102" s="141" t="str">
        <f t="shared" si="197"/>
        <v/>
      </c>
      <c r="BD102" s="10"/>
      <c r="BE102" s="129"/>
      <c r="BF102" s="145" t="s">
        <v>63</v>
      </c>
      <c r="BG102" s="131" t="str">
        <f t="shared" si="198"/>
        <v/>
      </c>
      <c r="BH102" s="132" t="str">
        <f t="shared" si="199"/>
        <v/>
      </c>
      <c r="BI102" s="132" t="str">
        <f t="shared" si="200"/>
        <v/>
      </c>
      <c r="BJ102" s="132" t="str">
        <f t="shared" si="201"/>
        <v/>
      </c>
      <c r="BK102" s="132" t="str">
        <f t="shared" si="202"/>
        <v/>
      </c>
      <c r="BL102" s="132" t="str">
        <f t="shared" si="203"/>
        <v/>
      </c>
      <c r="BM102" s="146"/>
      <c r="BN102" s="8" t="str">
        <f>IF(BO102="","",IF(各種設定金額!$B$7="","○○県",各種設定金額!$B$7))</f>
        <v/>
      </c>
      <c r="BO102" s="6"/>
      <c r="BP102" s="4"/>
      <c r="BQ102" s="141" t="str">
        <f t="shared" si="204"/>
        <v/>
      </c>
      <c r="BR102" s="10"/>
      <c r="BS102" s="129"/>
      <c r="BT102" s="145" t="s">
        <v>63</v>
      </c>
      <c r="BU102" s="131" t="str">
        <f t="shared" si="205"/>
        <v/>
      </c>
      <c r="BV102" s="132" t="str">
        <f t="shared" si="206"/>
        <v/>
      </c>
      <c r="BW102" s="132" t="str">
        <f t="shared" si="207"/>
        <v/>
      </c>
      <c r="BX102" s="132" t="str">
        <f t="shared" si="208"/>
        <v/>
      </c>
      <c r="BY102" s="132" t="str">
        <f t="shared" si="209"/>
        <v/>
      </c>
      <c r="BZ102" s="132" t="str">
        <f t="shared" si="210"/>
        <v/>
      </c>
      <c r="CA102" s="146"/>
      <c r="CB102" s="10" t="str">
        <f t="shared" si="211"/>
        <v/>
      </c>
      <c r="CC102" s="7" t="str">
        <f t="shared" si="212"/>
        <v/>
      </c>
      <c r="CD102" s="147"/>
      <c r="CE102" s="147"/>
      <c r="CF102" s="6"/>
      <c r="CG102" s="4"/>
      <c r="CH102" s="148">
        <f t="shared" ca="1" si="213"/>
        <v>2026</v>
      </c>
      <c r="CI102" s="121" t="str">
        <f t="shared" ca="1" si="214"/>
        <v>令和</v>
      </c>
      <c r="CJ102" s="122" t="str">
        <f t="shared" ca="1" si="215"/>
        <v>R</v>
      </c>
      <c r="CK102" s="122" t="str">
        <f t="shared" ca="1" si="216"/>
        <v>8</v>
      </c>
      <c r="CL102" s="122">
        <f t="shared" ca="1" si="217"/>
        <v>10</v>
      </c>
      <c r="CM102" s="149">
        <f t="shared" ca="1" si="218"/>
        <v>24</v>
      </c>
      <c r="CN102" s="1"/>
      <c r="CO102" s="150">
        <f t="shared" ca="1" si="219"/>
        <v>46319</v>
      </c>
    </row>
    <row r="103" spans="1:93" ht="20.100000000000001" customHeight="1" x14ac:dyDescent="0.15">
      <c r="A103" s="7" t="str">
        <f>IF(B103="","",ROW()-ROW(会員表[#Headers]))</f>
        <v/>
      </c>
      <c r="B103" s="4" ph="1"/>
      <c r="C103" s="4" t="str" cm="1">
        <f t="array" ref="C103">_xlfn.LET(_xlpm.s,PHONETIC(B103),_xlpm.c,_xlfn.UNICODE(MID(_xlpm.s,_xlfn.SEQUENCE(LEN(_xlpm.s)),1)),IF(_xlpm.s="","",_xlfn.CONCAT(_xlfn.UNICHAR(_xlpm.c-96*(_xlpm.c&gt;=12449)*(_xlpm.c&lt;=12534)))))</f>
        <v/>
      </c>
      <c r="D103" s="4" t="str" cm="1">
        <f t="array" ref="D103">_xlfn.LET(_xlpm.s,PHONETIC(B103),_xlpm.c,_xlfn.UNICODE(MID(_xlpm.s,_xlfn.SEQUENCE(LEN(_xlpm.s)),1)),IF(_xlpm.s="","",_xlfn.CONCAT(_xlfn.UNICHAR(_xlpm.c+96*(_xlpm.c&gt;=12353)*(_xlpm.c&lt;=12438)))))</f>
        <v/>
      </c>
      <c r="E103" s="129" t="str">
        <f t="shared" ca="1" si="165"/>
        <v/>
      </c>
      <c r="F103" s="130" t="str">
        <f t="shared" si="166"/>
        <v/>
      </c>
      <c r="G103" s="130" t="str">
        <f t="shared" si="167"/>
        <v/>
      </c>
      <c r="H103" s="130" t="str">
        <f t="shared" si="168"/>
        <v/>
      </c>
      <c r="I103" s="131" t="str">
        <f t="shared" si="169"/>
        <v/>
      </c>
      <c r="J103" s="132" t="str">
        <f t="shared" si="170"/>
        <v/>
      </c>
      <c r="K103" s="121" t="str">
        <f t="shared" si="171"/>
        <v/>
      </c>
      <c r="L103" s="129" t="str">
        <f t="shared" si="172"/>
        <v/>
      </c>
      <c r="M103" s="7" t="str">
        <f t="shared" si="173"/>
        <v/>
      </c>
      <c r="N103" s="133"/>
      <c r="O103" s="8"/>
      <c r="P103" s="5" t="str">
        <f t="shared" si="174"/>
        <v/>
      </c>
      <c r="Q103" s="121" t="str">
        <f t="shared" si="175"/>
        <v/>
      </c>
      <c r="R103" s="121" t="str">
        <f t="shared" si="176"/>
        <v/>
      </c>
      <c r="S103" s="7" t="str">
        <f t="shared" si="177"/>
        <v/>
      </c>
      <c r="T103" s="5"/>
      <c r="U103" s="5" t="str">
        <f t="shared" si="178"/>
        <v/>
      </c>
      <c r="V103" s="121" t="str">
        <f t="shared" si="179"/>
        <v/>
      </c>
      <c r="W103" s="121" t="str">
        <f t="shared" si="180"/>
        <v/>
      </c>
      <c r="X103" s="7" t="str">
        <f t="shared" si="181"/>
        <v/>
      </c>
      <c r="Y103" s="136"/>
      <c r="Z103" s="5" t="str">
        <f t="shared" si="182"/>
        <v/>
      </c>
      <c r="AA103" s="137" t="s">
        <v>183</v>
      </c>
      <c r="AB103" s="7" t="str">
        <f t="shared" si="183"/>
        <v/>
      </c>
      <c r="AC103" s="9"/>
      <c r="AD103" s="4"/>
      <c r="AE103" s="138" t="str">
        <f t="shared" si="184"/>
        <v/>
      </c>
      <c r="AF103" s="139" t="str">
        <f t="shared" si="185"/>
        <v/>
      </c>
      <c r="AG103" s="139" t="str">
        <f t="shared" si="186"/>
        <v/>
      </c>
      <c r="AH103" s="139" t="str">
        <f t="shared" si="187"/>
        <v/>
      </c>
      <c r="AI103" s="139" t="str">
        <f t="shared" si="188"/>
        <v/>
      </c>
      <c r="AJ103" s="140" t="str">
        <f t="shared" si="189"/>
        <v/>
      </c>
      <c r="AK103" s="8"/>
      <c r="AL103" s="8" t="str">
        <f>IF(AM103="","",IF(各種設定金額!$B$7="","○○県",各種設定金額!$B$7))</f>
        <v/>
      </c>
      <c r="AM103" s="4"/>
      <c r="AN103" s="4"/>
      <c r="AO103" s="141" t="str">
        <f t="shared" si="190"/>
        <v/>
      </c>
      <c r="AP103" s="10"/>
      <c r="AQ103" s="129"/>
      <c r="AR103" s="142" t="s">
        <v>182</v>
      </c>
      <c r="AS103" s="131" t="str">
        <f t="shared" si="191"/>
        <v/>
      </c>
      <c r="AT103" s="132" t="str">
        <f t="shared" si="192"/>
        <v/>
      </c>
      <c r="AU103" s="132" t="str">
        <f t="shared" si="193"/>
        <v/>
      </c>
      <c r="AV103" s="132" t="str">
        <f t="shared" si="194"/>
        <v/>
      </c>
      <c r="AW103" s="132" t="str">
        <f t="shared" si="195"/>
        <v/>
      </c>
      <c r="AX103" s="143" t="str">
        <f t="shared" si="196"/>
        <v/>
      </c>
      <c r="AY103" s="144"/>
      <c r="AZ103" s="8" t="str">
        <f>IF(BA103="","",IF(各種設定金額!$B$7="","○○県",各種設定金額!$B$7))</f>
        <v/>
      </c>
      <c r="BA103" s="6"/>
      <c r="BB103" s="4"/>
      <c r="BC103" s="141" t="str">
        <f t="shared" si="197"/>
        <v/>
      </c>
      <c r="BD103" s="10"/>
      <c r="BE103" s="129"/>
      <c r="BF103" s="145" t="s">
        <v>63</v>
      </c>
      <c r="BG103" s="131" t="str">
        <f t="shared" si="198"/>
        <v/>
      </c>
      <c r="BH103" s="132" t="str">
        <f t="shared" si="199"/>
        <v/>
      </c>
      <c r="BI103" s="132" t="str">
        <f t="shared" si="200"/>
        <v/>
      </c>
      <c r="BJ103" s="132" t="str">
        <f t="shared" si="201"/>
        <v/>
      </c>
      <c r="BK103" s="132" t="str">
        <f t="shared" si="202"/>
        <v/>
      </c>
      <c r="BL103" s="132" t="str">
        <f t="shared" si="203"/>
        <v/>
      </c>
      <c r="BM103" s="146"/>
      <c r="BN103" s="8" t="str">
        <f>IF(BO103="","",IF(各種設定金額!$B$7="","○○県",各種設定金額!$B$7))</f>
        <v/>
      </c>
      <c r="BO103" s="6"/>
      <c r="BP103" s="4"/>
      <c r="BQ103" s="141" t="str">
        <f t="shared" si="204"/>
        <v/>
      </c>
      <c r="BR103" s="10"/>
      <c r="BS103" s="129"/>
      <c r="BT103" s="145" t="s">
        <v>63</v>
      </c>
      <c r="BU103" s="131" t="str">
        <f t="shared" si="205"/>
        <v/>
      </c>
      <c r="BV103" s="132" t="str">
        <f t="shared" si="206"/>
        <v/>
      </c>
      <c r="BW103" s="132" t="str">
        <f t="shared" si="207"/>
        <v/>
      </c>
      <c r="BX103" s="132" t="str">
        <f t="shared" si="208"/>
        <v/>
      </c>
      <c r="BY103" s="132" t="str">
        <f t="shared" si="209"/>
        <v/>
      </c>
      <c r="BZ103" s="132" t="str">
        <f t="shared" si="210"/>
        <v/>
      </c>
      <c r="CA103" s="146"/>
      <c r="CB103" s="10" t="str">
        <f t="shared" si="211"/>
        <v/>
      </c>
      <c r="CC103" s="7" t="str">
        <f t="shared" si="212"/>
        <v/>
      </c>
      <c r="CD103" s="147"/>
      <c r="CE103" s="147"/>
      <c r="CF103" s="6"/>
      <c r="CG103" s="4"/>
      <c r="CH103" s="148">
        <f t="shared" ca="1" si="213"/>
        <v>2026</v>
      </c>
      <c r="CI103" s="121" t="str">
        <f t="shared" ca="1" si="214"/>
        <v>令和</v>
      </c>
      <c r="CJ103" s="122" t="str">
        <f t="shared" ca="1" si="215"/>
        <v>R</v>
      </c>
      <c r="CK103" s="122" t="str">
        <f t="shared" ca="1" si="216"/>
        <v>8</v>
      </c>
      <c r="CL103" s="122">
        <f t="shared" ca="1" si="217"/>
        <v>10</v>
      </c>
      <c r="CM103" s="149">
        <f t="shared" ca="1" si="218"/>
        <v>24</v>
      </c>
      <c r="CN103" s="1"/>
      <c r="CO103" s="150">
        <f t="shared" ca="1" si="219"/>
        <v>46319</v>
      </c>
    </row>
    <row r="104" spans="1:93" ht="20.100000000000001" customHeight="1" x14ac:dyDescent="0.15">
      <c r="A104" s="7" t="str">
        <f>IF(B104="","",ROW()-ROW(会員表[#Headers]))</f>
        <v/>
      </c>
      <c r="B104" s="4" ph="1"/>
      <c r="C104" s="4" t="str" cm="1">
        <f t="array" ref="C104">_xlfn.LET(_xlpm.s,PHONETIC(B104),_xlpm.c,_xlfn.UNICODE(MID(_xlpm.s,_xlfn.SEQUENCE(LEN(_xlpm.s)),1)),IF(_xlpm.s="","",_xlfn.CONCAT(_xlfn.UNICHAR(_xlpm.c-96*(_xlpm.c&gt;=12449)*(_xlpm.c&lt;=12534)))))</f>
        <v/>
      </c>
      <c r="D104" s="4" t="str" cm="1">
        <f t="array" ref="D104">_xlfn.LET(_xlpm.s,PHONETIC(B104),_xlpm.c,_xlfn.UNICODE(MID(_xlpm.s,_xlfn.SEQUENCE(LEN(_xlpm.s)),1)),IF(_xlpm.s="","",_xlfn.CONCAT(_xlfn.UNICHAR(_xlpm.c+96*(_xlpm.c&gt;=12353)*(_xlpm.c&lt;=12438)))))</f>
        <v/>
      </c>
      <c r="E104" s="129" t="str">
        <f t="shared" ca="1" si="165"/>
        <v/>
      </c>
      <c r="F104" s="130" t="str">
        <f t="shared" si="166"/>
        <v/>
      </c>
      <c r="G104" s="130" t="str">
        <f t="shared" si="167"/>
        <v/>
      </c>
      <c r="H104" s="130" t="str">
        <f t="shared" si="168"/>
        <v/>
      </c>
      <c r="I104" s="131" t="str">
        <f t="shared" si="169"/>
        <v/>
      </c>
      <c r="J104" s="132" t="str">
        <f t="shared" si="170"/>
        <v/>
      </c>
      <c r="K104" s="121" t="str">
        <f t="shared" si="171"/>
        <v/>
      </c>
      <c r="L104" s="129" t="str">
        <f t="shared" si="172"/>
        <v/>
      </c>
      <c r="M104" s="7" t="str">
        <f t="shared" si="173"/>
        <v/>
      </c>
      <c r="N104" s="133"/>
      <c r="O104" s="8"/>
      <c r="P104" s="5" t="str">
        <f t="shared" si="174"/>
        <v/>
      </c>
      <c r="Q104" s="121" t="str">
        <f t="shared" si="175"/>
        <v/>
      </c>
      <c r="R104" s="121" t="str">
        <f t="shared" si="176"/>
        <v/>
      </c>
      <c r="S104" s="7" t="str">
        <f t="shared" si="177"/>
        <v/>
      </c>
      <c r="T104" s="5"/>
      <c r="U104" s="5" t="str">
        <f t="shared" si="178"/>
        <v/>
      </c>
      <c r="V104" s="121" t="str">
        <f t="shared" si="179"/>
        <v/>
      </c>
      <c r="W104" s="121" t="str">
        <f t="shared" si="180"/>
        <v/>
      </c>
      <c r="X104" s="7" t="str">
        <f t="shared" si="181"/>
        <v/>
      </c>
      <c r="Y104" s="136"/>
      <c r="Z104" s="5" t="str">
        <f t="shared" si="182"/>
        <v/>
      </c>
      <c r="AA104" s="137" t="s">
        <v>183</v>
      </c>
      <c r="AB104" s="7" t="str">
        <f t="shared" si="183"/>
        <v/>
      </c>
      <c r="AC104" s="9"/>
      <c r="AD104" s="4"/>
      <c r="AE104" s="138" t="str">
        <f t="shared" si="184"/>
        <v/>
      </c>
      <c r="AF104" s="139" t="str">
        <f t="shared" si="185"/>
        <v/>
      </c>
      <c r="AG104" s="139" t="str">
        <f t="shared" si="186"/>
        <v/>
      </c>
      <c r="AH104" s="139" t="str">
        <f t="shared" si="187"/>
        <v/>
      </c>
      <c r="AI104" s="139" t="str">
        <f t="shared" si="188"/>
        <v/>
      </c>
      <c r="AJ104" s="140" t="str">
        <f t="shared" si="189"/>
        <v/>
      </c>
      <c r="AK104" s="8"/>
      <c r="AL104" s="8" t="str">
        <f>IF(AM104="","",IF(各種設定金額!$B$7="","○○県",各種設定金額!$B$7))</f>
        <v/>
      </c>
      <c r="AM104" s="4"/>
      <c r="AN104" s="4"/>
      <c r="AO104" s="141" t="str">
        <f t="shared" si="190"/>
        <v/>
      </c>
      <c r="AP104" s="10"/>
      <c r="AQ104" s="129"/>
      <c r="AR104" s="142" t="s">
        <v>182</v>
      </c>
      <c r="AS104" s="131" t="str">
        <f t="shared" si="191"/>
        <v/>
      </c>
      <c r="AT104" s="132" t="str">
        <f t="shared" si="192"/>
        <v/>
      </c>
      <c r="AU104" s="132" t="str">
        <f t="shared" si="193"/>
        <v/>
      </c>
      <c r="AV104" s="132" t="str">
        <f t="shared" si="194"/>
        <v/>
      </c>
      <c r="AW104" s="132" t="str">
        <f t="shared" si="195"/>
        <v/>
      </c>
      <c r="AX104" s="143" t="str">
        <f t="shared" si="196"/>
        <v/>
      </c>
      <c r="AY104" s="144"/>
      <c r="AZ104" s="8" t="str">
        <f>IF(BA104="","",IF(各種設定金額!$B$7="","○○県",各種設定金額!$B$7))</f>
        <v/>
      </c>
      <c r="BA104" s="6"/>
      <c r="BB104" s="4"/>
      <c r="BC104" s="141" t="str">
        <f t="shared" si="197"/>
        <v/>
      </c>
      <c r="BD104" s="10"/>
      <c r="BE104" s="129"/>
      <c r="BF104" s="145" t="s">
        <v>63</v>
      </c>
      <c r="BG104" s="131" t="str">
        <f t="shared" si="198"/>
        <v/>
      </c>
      <c r="BH104" s="132" t="str">
        <f t="shared" si="199"/>
        <v/>
      </c>
      <c r="BI104" s="132" t="str">
        <f t="shared" si="200"/>
        <v/>
      </c>
      <c r="BJ104" s="132" t="str">
        <f t="shared" si="201"/>
        <v/>
      </c>
      <c r="BK104" s="132" t="str">
        <f t="shared" si="202"/>
        <v/>
      </c>
      <c r="BL104" s="132" t="str">
        <f t="shared" si="203"/>
        <v/>
      </c>
      <c r="BM104" s="146"/>
      <c r="BN104" s="8" t="str">
        <f>IF(BO104="","",IF(各種設定金額!$B$7="","○○県",各種設定金額!$B$7))</f>
        <v/>
      </c>
      <c r="BO104" s="6"/>
      <c r="BP104" s="4"/>
      <c r="BQ104" s="141" t="str">
        <f t="shared" si="204"/>
        <v/>
      </c>
      <c r="BR104" s="10"/>
      <c r="BS104" s="129"/>
      <c r="BT104" s="145" t="s">
        <v>63</v>
      </c>
      <c r="BU104" s="131" t="str">
        <f t="shared" si="205"/>
        <v/>
      </c>
      <c r="BV104" s="132" t="str">
        <f t="shared" si="206"/>
        <v/>
      </c>
      <c r="BW104" s="132" t="str">
        <f t="shared" si="207"/>
        <v/>
      </c>
      <c r="BX104" s="132" t="str">
        <f t="shared" si="208"/>
        <v/>
      </c>
      <c r="BY104" s="132" t="str">
        <f t="shared" si="209"/>
        <v/>
      </c>
      <c r="BZ104" s="132" t="str">
        <f t="shared" si="210"/>
        <v/>
      </c>
      <c r="CA104" s="146"/>
      <c r="CB104" s="10" t="str">
        <f t="shared" si="211"/>
        <v/>
      </c>
      <c r="CC104" s="7" t="str">
        <f t="shared" si="212"/>
        <v/>
      </c>
      <c r="CD104" s="147"/>
      <c r="CE104" s="147"/>
      <c r="CF104" s="6"/>
      <c r="CG104" s="4"/>
      <c r="CH104" s="148">
        <f t="shared" ca="1" si="213"/>
        <v>2026</v>
      </c>
      <c r="CI104" s="121" t="str">
        <f t="shared" ca="1" si="214"/>
        <v>令和</v>
      </c>
      <c r="CJ104" s="122" t="str">
        <f t="shared" ca="1" si="215"/>
        <v>R</v>
      </c>
      <c r="CK104" s="122" t="str">
        <f t="shared" ca="1" si="216"/>
        <v>8</v>
      </c>
      <c r="CL104" s="122">
        <f t="shared" ca="1" si="217"/>
        <v>10</v>
      </c>
      <c r="CM104" s="149">
        <f t="shared" ca="1" si="218"/>
        <v>24</v>
      </c>
      <c r="CN104" s="1"/>
      <c r="CO104" s="150">
        <f t="shared" ca="1" si="219"/>
        <v>46319</v>
      </c>
    </row>
    <row r="105" spans="1:93" ht="20.100000000000001" customHeight="1" x14ac:dyDescent="0.15">
      <c r="A105" s="7" t="str">
        <f>IF(B105="","",ROW()-ROW(会員表[#Headers]))</f>
        <v/>
      </c>
      <c r="B105" s="4" ph="1"/>
      <c r="C105" s="4" t="str" cm="1">
        <f t="array" ref="C105">_xlfn.LET(_xlpm.s,PHONETIC(B105),_xlpm.c,_xlfn.UNICODE(MID(_xlpm.s,_xlfn.SEQUENCE(LEN(_xlpm.s)),1)),IF(_xlpm.s="","",_xlfn.CONCAT(_xlfn.UNICHAR(_xlpm.c-96*(_xlpm.c&gt;=12449)*(_xlpm.c&lt;=12534)))))</f>
        <v/>
      </c>
      <c r="D105" s="4" t="str" cm="1">
        <f t="array" ref="D105">_xlfn.LET(_xlpm.s,PHONETIC(B105),_xlpm.c,_xlfn.UNICODE(MID(_xlpm.s,_xlfn.SEQUENCE(LEN(_xlpm.s)),1)),IF(_xlpm.s="","",_xlfn.CONCAT(_xlfn.UNICHAR(_xlpm.c+96*(_xlpm.c&gt;=12353)*(_xlpm.c&lt;=12438)))))</f>
        <v/>
      </c>
      <c r="E105" s="129" t="str">
        <f t="shared" ca="1" si="165"/>
        <v/>
      </c>
      <c r="F105" s="130" t="str">
        <f t="shared" si="166"/>
        <v/>
      </c>
      <c r="G105" s="130" t="str">
        <f t="shared" si="167"/>
        <v/>
      </c>
      <c r="H105" s="130" t="str">
        <f t="shared" si="168"/>
        <v/>
      </c>
      <c r="I105" s="131" t="str">
        <f t="shared" si="169"/>
        <v/>
      </c>
      <c r="J105" s="132" t="str">
        <f t="shared" si="170"/>
        <v/>
      </c>
      <c r="K105" s="121" t="str">
        <f t="shared" si="171"/>
        <v/>
      </c>
      <c r="L105" s="129" t="str">
        <f t="shared" si="172"/>
        <v/>
      </c>
      <c r="M105" s="7" t="str">
        <f t="shared" si="173"/>
        <v/>
      </c>
      <c r="N105" s="133"/>
      <c r="O105" s="8"/>
      <c r="P105" s="5" t="str">
        <f t="shared" si="174"/>
        <v/>
      </c>
      <c r="Q105" s="121" t="str">
        <f t="shared" si="175"/>
        <v/>
      </c>
      <c r="R105" s="121" t="str">
        <f t="shared" si="176"/>
        <v/>
      </c>
      <c r="S105" s="7" t="str">
        <f t="shared" si="177"/>
        <v/>
      </c>
      <c r="T105" s="5"/>
      <c r="U105" s="5" t="str">
        <f t="shared" si="178"/>
        <v/>
      </c>
      <c r="V105" s="121" t="str">
        <f t="shared" si="179"/>
        <v/>
      </c>
      <c r="W105" s="121" t="str">
        <f t="shared" si="180"/>
        <v/>
      </c>
      <c r="X105" s="7" t="str">
        <f t="shared" si="181"/>
        <v/>
      </c>
      <c r="Y105" s="136"/>
      <c r="Z105" s="5" t="str">
        <f t="shared" si="182"/>
        <v/>
      </c>
      <c r="AA105" s="137" t="s">
        <v>183</v>
      </c>
      <c r="AB105" s="7" t="str">
        <f t="shared" si="183"/>
        <v/>
      </c>
      <c r="AC105" s="9"/>
      <c r="AD105" s="4"/>
      <c r="AE105" s="138" t="str">
        <f t="shared" si="184"/>
        <v/>
      </c>
      <c r="AF105" s="139" t="str">
        <f t="shared" si="185"/>
        <v/>
      </c>
      <c r="AG105" s="139" t="str">
        <f t="shared" si="186"/>
        <v/>
      </c>
      <c r="AH105" s="139" t="str">
        <f t="shared" si="187"/>
        <v/>
      </c>
      <c r="AI105" s="139" t="str">
        <f t="shared" si="188"/>
        <v/>
      </c>
      <c r="AJ105" s="140" t="str">
        <f t="shared" si="189"/>
        <v/>
      </c>
      <c r="AK105" s="8"/>
      <c r="AL105" s="8" t="str">
        <f>IF(AM105="","",IF(各種設定金額!$B$7="","○○県",各種設定金額!$B$7))</f>
        <v/>
      </c>
      <c r="AM105" s="4"/>
      <c r="AN105" s="4"/>
      <c r="AO105" s="141" t="str">
        <f t="shared" si="190"/>
        <v/>
      </c>
      <c r="AP105" s="10"/>
      <c r="AQ105" s="129"/>
      <c r="AR105" s="142" t="s">
        <v>182</v>
      </c>
      <c r="AS105" s="131" t="str">
        <f t="shared" si="191"/>
        <v/>
      </c>
      <c r="AT105" s="132" t="str">
        <f t="shared" si="192"/>
        <v/>
      </c>
      <c r="AU105" s="132" t="str">
        <f t="shared" si="193"/>
        <v/>
      </c>
      <c r="AV105" s="132" t="str">
        <f t="shared" si="194"/>
        <v/>
      </c>
      <c r="AW105" s="132" t="str">
        <f t="shared" si="195"/>
        <v/>
      </c>
      <c r="AX105" s="143" t="str">
        <f t="shared" si="196"/>
        <v/>
      </c>
      <c r="AY105" s="144"/>
      <c r="AZ105" s="8" t="str">
        <f>IF(BA105="","",IF(各種設定金額!$B$7="","○○県",各種設定金額!$B$7))</f>
        <v/>
      </c>
      <c r="BA105" s="6"/>
      <c r="BB105" s="4"/>
      <c r="BC105" s="141" t="str">
        <f t="shared" si="197"/>
        <v/>
      </c>
      <c r="BD105" s="10"/>
      <c r="BE105" s="129"/>
      <c r="BF105" s="145" t="s">
        <v>63</v>
      </c>
      <c r="BG105" s="131" t="str">
        <f t="shared" si="198"/>
        <v/>
      </c>
      <c r="BH105" s="132" t="str">
        <f t="shared" si="199"/>
        <v/>
      </c>
      <c r="BI105" s="132" t="str">
        <f t="shared" si="200"/>
        <v/>
      </c>
      <c r="BJ105" s="132" t="str">
        <f t="shared" si="201"/>
        <v/>
      </c>
      <c r="BK105" s="132" t="str">
        <f t="shared" si="202"/>
        <v/>
      </c>
      <c r="BL105" s="132" t="str">
        <f t="shared" si="203"/>
        <v/>
      </c>
      <c r="BM105" s="146"/>
      <c r="BN105" s="8" t="str">
        <f>IF(BO105="","",IF(各種設定金額!$B$7="","○○県",各種設定金額!$B$7))</f>
        <v/>
      </c>
      <c r="BO105" s="6"/>
      <c r="BP105" s="4"/>
      <c r="BQ105" s="141" t="str">
        <f t="shared" si="204"/>
        <v/>
      </c>
      <c r="BR105" s="10"/>
      <c r="BS105" s="129"/>
      <c r="BT105" s="145" t="s">
        <v>63</v>
      </c>
      <c r="BU105" s="131" t="str">
        <f t="shared" si="205"/>
        <v/>
      </c>
      <c r="BV105" s="132" t="str">
        <f t="shared" si="206"/>
        <v/>
      </c>
      <c r="BW105" s="132" t="str">
        <f t="shared" si="207"/>
        <v/>
      </c>
      <c r="BX105" s="132" t="str">
        <f t="shared" si="208"/>
        <v/>
      </c>
      <c r="BY105" s="132" t="str">
        <f t="shared" si="209"/>
        <v/>
      </c>
      <c r="BZ105" s="132" t="str">
        <f t="shared" si="210"/>
        <v/>
      </c>
      <c r="CA105" s="146"/>
      <c r="CB105" s="10" t="str">
        <f t="shared" si="211"/>
        <v/>
      </c>
      <c r="CC105" s="7" t="str">
        <f t="shared" si="212"/>
        <v/>
      </c>
      <c r="CD105" s="147"/>
      <c r="CE105" s="147"/>
      <c r="CF105" s="6"/>
      <c r="CG105" s="4"/>
      <c r="CH105" s="148">
        <f t="shared" ca="1" si="213"/>
        <v>2026</v>
      </c>
      <c r="CI105" s="121" t="str">
        <f t="shared" ca="1" si="214"/>
        <v>令和</v>
      </c>
      <c r="CJ105" s="122" t="str">
        <f t="shared" ca="1" si="215"/>
        <v>R</v>
      </c>
      <c r="CK105" s="122" t="str">
        <f t="shared" ca="1" si="216"/>
        <v>8</v>
      </c>
      <c r="CL105" s="122">
        <f t="shared" ca="1" si="217"/>
        <v>10</v>
      </c>
      <c r="CM105" s="149">
        <f t="shared" ca="1" si="218"/>
        <v>24</v>
      </c>
      <c r="CN105" s="1"/>
      <c r="CO105" s="150">
        <f t="shared" ca="1" si="219"/>
        <v>46319</v>
      </c>
    </row>
    <row r="106" spans="1:93" ht="20.100000000000001" customHeight="1" x14ac:dyDescent="0.15">
      <c r="A106" s="7" t="str">
        <f>IF(B106="","",ROW()-ROW(会員表[#Headers]))</f>
        <v/>
      </c>
      <c r="B106" s="4" ph="1"/>
      <c r="C106" s="4" t="str" cm="1">
        <f t="array" ref="C106">_xlfn.LET(_xlpm.s,PHONETIC(B106),_xlpm.c,_xlfn.UNICODE(MID(_xlpm.s,_xlfn.SEQUENCE(LEN(_xlpm.s)),1)),IF(_xlpm.s="","",_xlfn.CONCAT(_xlfn.UNICHAR(_xlpm.c-96*(_xlpm.c&gt;=12449)*(_xlpm.c&lt;=12534)))))</f>
        <v/>
      </c>
      <c r="D106" s="4" t="str" cm="1">
        <f t="array" ref="D106">_xlfn.LET(_xlpm.s,PHONETIC(B106),_xlpm.c,_xlfn.UNICODE(MID(_xlpm.s,_xlfn.SEQUENCE(LEN(_xlpm.s)),1)),IF(_xlpm.s="","",_xlfn.CONCAT(_xlfn.UNICHAR(_xlpm.c+96*(_xlpm.c&gt;=12353)*(_xlpm.c&lt;=12438)))))</f>
        <v/>
      </c>
      <c r="E106" s="129" t="str">
        <f t="shared" ca="1" si="165"/>
        <v/>
      </c>
      <c r="F106" s="130" t="str">
        <f t="shared" si="166"/>
        <v/>
      </c>
      <c r="G106" s="130" t="str">
        <f t="shared" si="167"/>
        <v/>
      </c>
      <c r="H106" s="130" t="str">
        <f t="shared" si="168"/>
        <v/>
      </c>
      <c r="I106" s="131" t="str">
        <f t="shared" si="169"/>
        <v/>
      </c>
      <c r="J106" s="132" t="str">
        <f t="shared" si="170"/>
        <v/>
      </c>
      <c r="K106" s="121" t="str">
        <f t="shared" si="171"/>
        <v/>
      </c>
      <c r="L106" s="129" t="str">
        <f t="shared" si="172"/>
        <v/>
      </c>
      <c r="M106" s="7" t="str">
        <f t="shared" si="173"/>
        <v/>
      </c>
      <c r="N106" s="133"/>
      <c r="O106" s="8"/>
      <c r="P106" s="5" t="str">
        <f t="shared" si="174"/>
        <v/>
      </c>
      <c r="Q106" s="121" t="str">
        <f t="shared" si="175"/>
        <v/>
      </c>
      <c r="R106" s="121" t="str">
        <f t="shared" si="176"/>
        <v/>
      </c>
      <c r="S106" s="7" t="str">
        <f t="shared" si="177"/>
        <v/>
      </c>
      <c r="T106" s="5"/>
      <c r="U106" s="5" t="str">
        <f t="shared" si="178"/>
        <v/>
      </c>
      <c r="V106" s="121" t="str">
        <f t="shared" si="179"/>
        <v/>
      </c>
      <c r="W106" s="121" t="str">
        <f t="shared" si="180"/>
        <v/>
      </c>
      <c r="X106" s="7" t="str">
        <f t="shared" si="181"/>
        <v/>
      </c>
      <c r="Y106" s="136"/>
      <c r="Z106" s="5" t="str">
        <f t="shared" si="182"/>
        <v/>
      </c>
      <c r="AA106" s="137" t="s">
        <v>183</v>
      </c>
      <c r="AB106" s="7" t="str">
        <f t="shared" si="183"/>
        <v/>
      </c>
      <c r="AC106" s="9"/>
      <c r="AD106" s="4"/>
      <c r="AE106" s="138" t="str">
        <f t="shared" si="184"/>
        <v/>
      </c>
      <c r="AF106" s="139" t="str">
        <f t="shared" si="185"/>
        <v/>
      </c>
      <c r="AG106" s="139" t="str">
        <f t="shared" si="186"/>
        <v/>
      </c>
      <c r="AH106" s="139" t="str">
        <f t="shared" si="187"/>
        <v/>
      </c>
      <c r="AI106" s="139" t="str">
        <f t="shared" si="188"/>
        <v/>
      </c>
      <c r="AJ106" s="140" t="str">
        <f t="shared" si="189"/>
        <v/>
      </c>
      <c r="AK106" s="8"/>
      <c r="AL106" s="8" t="str">
        <f>IF(AM106="","",IF(各種設定金額!$B$7="","○○県",各種設定金額!$B$7))</f>
        <v/>
      </c>
      <c r="AM106" s="4"/>
      <c r="AN106" s="4"/>
      <c r="AO106" s="141" t="str">
        <f t="shared" si="190"/>
        <v/>
      </c>
      <c r="AP106" s="10"/>
      <c r="AQ106" s="129"/>
      <c r="AR106" s="142" t="s">
        <v>182</v>
      </c>
      <c r="AS106" s="131" t="str">
        <f t="shared" si="191"/>
        <v/>
      </c>
      <c r="AT106" s="132" t="str">
        <f t="shared" si="192"/>
        <v/>
      </c>
      <c r="AU106" s="132" t="str">
        <f t="shared" si="193"/>
        <v/>
      </c>
      <c r="AV106" s="132" t="str">
        <f t="shared" si="194"/>
        <v/>
      </c>
      <c r="AW106" s="132" t="str">
        <f t="shared" si="195"/>
        <v/>
      </c>
      <c r="AX106" s="143" t="str">
        <f t="shared" si="196"/>
        <v/>
      </c>
      <c r="AY106" s="144"/>
      <c r="AZ106" s="8" t="str">
        <f>IF(BA106="","",IF(各種設定金額!$B$7="","○○県",各種設定金額!$B$7))</f>
        <v/>
      </c>
      <c r="BA106" s="6"/>
      <c r="BB106" s="4"/>
      <c r="BC106" s="141" t="str">
        <f t="shared" si="197"/>
        <v/>
      </c>
      <c r="BD106" s="10"/>
      <c r="BE106" s="129"/>
      <c r="BF106" s="145" t="s">
        <v>63</v>
      </c>
      <c r="BG106" s="131" t="str">
        <f t="shared" si="198"/>
        <v/>
      </c>
      <c r="BH106" s="132" t="str">
        <f t="shared" si="199"/>
        <v/>
      </c>
      <c r="BI106" s="132" t="str">
        <f t="shared" si="200"/>
        <v/>
      </c>
      <c r="BJ106" s="132" t="str">
        <f t="shared" si="201"/>
        <v/>
      </c>
      <c r="BK106" s="132" t="str">
        <f t="shared" si="202"/>
        <v/>
      </c>
      <c r="BL106" s="132" t="str">
        <f t="shared" si="203"/>
        <v/>
      </c>
      <c r="BM106" s="146"/>
      <c r="BN106" s="8" t="str">
        <f>IF(BO106="","",IF(各種設定金額!$B$7="","○○県",各種設定金額!$B$7))</f>
        <v/>
      </c>
      <c r="BO106" s="6"/>
      <c r="BP106" s="4"/>
      <c r="BQ106" s="141" t="str">
        <f t="shared" si="204"/>
        <v/>
      </c>
      <c r="BR106" s="10"/>
      <c r="BS106" s="129"/>
      <c r="BT106" s="145" t="s">
        <v>63</v>
      </c>
      <c r="BU106" s="131" t="str">
        <f t="shared" si="205"/>
        <v/>
      </c>
      <c r="BV106" s="132" t="str">
        <f t="shared" si="206"/>
        <v/>
      </c>
      <c r="BW106" s="132" t="str">
        <f t="shared" si="207"/>
        <v/>
      </c>
      <c r="BX106" s="132" t="str">
        <f t="shared" si="208"/>
        <v/>
      </c>
      <c r="BY106" s="132" t="str">
        <f t="shared" si="209"/>
        <v/>
      </c>
      <c r="BZ106" s="132" t="str">
        <f t="shared" si="210"/>
        <v/>
      </c>
      <c r="CA106" s="146"/>
      <c r="CB106" s="10" t="str">
        <f t="shared" si="211"/>
        <v/>
      </c>
      <c r="CC106" s="7" t="str">
        <f t="shared" si="212"/>
        <v/>
      </c>
      <c r="CD106" s="147"/>
      <c r="CE106" s="147"/>
      <c r="CF106" s="6"/>
      <c r="CG106" s="4"/>
      <c r="CH106" s="148">
        <f t="shared" ca="1" si="213"/>
        <v>2026</v>
      </c>
      <c r="CI106" s="121" t="str">
        <f t="shared" ca="1" si="214"/>
        <v>令和</v>
      </c>
      <c r="CJ106" s="122" t="str">
        <f t="shared" ca="1" si="215"/>
        <v>R</v>
      </c>
      <c r="CK106" s="122" t="str">
        <f t="shared" ca="1" si="216"/>
        <v>8</v>
      </c>
      <c r="CL106" s="122">
        <f t="shared" ca="1" si="217"/>
        <v>10</v>
      </c>
      <c r="CM106" s="149">
        <f t="shared" ca="1" si="218"/>
        <v>24</v>
      </c>
      <c r="CN106" s="1"/>
      <c r="CO106" s="150">
        <f t="shared" ca="1" si="219"/>
        <v>46319</v>
      </c>
    </row>
    <row r="107" spans="1:93" ht="20.100000000000001" customHeight="1" x14ac:dyDescent="0.15">
      <c r="A107" s="7" t="str">
        <f>IF(B107="","",ROW()-ROW(会員表[#Headers]))</f>
        <v/>
      </c>
      <c r="B107" s="4" ph="1"/>
      <c r="C107" s="4" t="str" cm="1">
        <f t="array" ref="C107">_xlfn.LET(_xlpm.s,PHONETIC(B107),_xlpm.c,_xlfn.UNICODE(MID(_xlpm.s,_xlfn.SEQUENCE(LEN(_xlpm.s)),1)),IF(_xlpm.s="","",_xlfn.CONCAT(_xlfn.UNICHAR(_xlpm.c-96*(_xlpm.c&gt;=12449)*(_xlpm.c&lt;=12534)))))</f>
        <v/>
      </c>
      <c r="D107" s="4" t="str" cm="1">
        <f t="array" ref="D107">_xlfn.LET(_xlpm.s,PHONETIC(B107),_xlpm.c,_xlfn.UNICODE(MID(_xlpm.s,_xlfn.SEQUENCE(LEN(_xlpm.s)),1)),IF(_xlpm.s="","",_xlfn.CONCAT(_xlfn.UNICHAR(_xlpm.c+96*(_xlpm.c&gt;=12353)*(_xlpm.c&lt;=12438)))))</f>
        <v/>
      </c>
      <c r="E107" s="129" t="str">
        <f t="shared" ca="1" si="165"/>
        <v/>
      </c>
      <c r="F107" s="130" t="str">
        <f t="shared" si="166"/>
        <v/>
      </c>
      <c r="G107" s="130" t="str">
        <f t="shared" si="167"/>
        <v/>
      </c>
      <c r="H107" s="130" t="str">
        <f t="shared" si="168"/>
        <v/>
      </c>
      <c r="I107" s="131" t="str">
        <f t="shared" si="169"/>
        <v/>
      </c>
      <c r="J107" s="132" t="str">
        <f t="shared" si="170"/>
        <v/>
      </c>
      <c r="K107" s="121" t="str">
        <f t="shared" si="171"/>
        <v/>
      </c>
      <c r="L107" s="129" t="str">
        <f t="shared" si="172"/>
        <v/>
      </c>
      <c r="M107" s="7" t="str">
        <f t="shared" si="173"/>
        <v/>
      </c>
      <c r="N107" s="133"/>
      <c r="O107" s="8"/>
      <c r="P107" s="5" t="str">
        <f t="shared" si="174"/>
        <v/>
      </c>
      <c r="Q107" s="121" t="str">
        <f t="shared" si="175"/>
        <v/>
      </c>
      <c r="R107" s="121" t="str">
        <f t="shared" si="176"/>
        <v/>
      </c>
      <c r="S107" s="7" t="str">
        <f t="shared" si="177"/>
        <v/>
      </c>
      <c r="T107" s="5"/>
      <c r="U107" s="5" t="str">
        <f t="shared" si="178"/>
        <v/>
      </c>
      <c r="V107" s="121" t="str">
        <f t="shared" si="179"/>
        <v/>
      </c>
      <c r="W107" s="121" t="str">
        <f t="shared" si="180"/>
        <v/>
      </c>
      <c r="X107" s="7" t="str">
        <f t="shared" si="181"/>
        <v/>
      </c>
      <c r="Y107" s="136"/>
      <c r="Z107" s="5" t="str">
        <f t="shared" si="182"/>
        <v/>
      </c>
      <c r="AA107" s="137" t="s">
        <v>183</v>
      </c>
      <c r="AB107" s="7" t="str">
        <f t="shared" si="183"/>
        <v/>
      </c>
      <c r="AC107" s="9"/>
      <c r="AD107" s="4"/>
      <c r="AE107" s="138" t="str">
        <f t="shared" si="184"/>
        <v/>
      </c>
      <c r="AF107" s="139" t="str">
        <f t="shared" si="185"/>
        <v/>
      </c>
      <c r="AG107" s="139" t="str">
        <f t="shared" si="186"/>
        <v/>
      </c>
      <c r="AH107" s="139" t="str">
        <f t="shared" si="187"/>
        <v/>
      </c>
      <c r="AI107" s="139" t="str">
        <f t="shared" si="188"/>
        <v/>
      </c>
      <c r="AJ107" s="140" t="str">
        <f t="shared" si="189"/>
        <v/>
      </c>
      <c r="AK107" s="8"/>
      <c r="AL107" s="8" t="str">
        <f>IF(AM107="","",IF(各種設定金額!$B$7="","○○県",各種設定金額!$B$7))</f>
        <v/>
      </c>
      <c r="AM107" s="4"/>
      <c r="AN107" s="4"/>
      <c r="AO107" s="141" t="str">
        <f t="shared" si="190"/>
        <v/>
      </c>
      <c r="AP107" s="10"/>
      <c r="AQ107" s="129"/>
      <c r="AR107" s="142" t="s">
        <v>182</v>
      </c>
      <c r="AS107" s="131" t="str">
        <f t="shared" si="191"/>
        <v/>
      </c>
      <c r="AT107" s="132" t="str">
        <f t="shared" si="192"/>
        <v/>
      </c>
      <c r="AU107" s="132" t="str">
        <f t="shared" si="193"/>
        <v/>
      </c>
      <c r="AV107" s="132" t="str">
        <f t="shared" si="194"/>
        <v/>
      </c>
      <c r="AW107" s="132" t="str">
        <f t="shared" si="195"/>
        <v/>
      </c>
      <c r="AX107" s="143" t="str">
        <f t="shared" si="196"/>
        <v/>
      </c>
      <c r="AY107" s="144"/>
      <c r="AZ107" s="8" t="str">
        <f>IF(BA107="","",IF(各種設定金額!$B$7="","○○県",各種設定金額!$B$7))</f>
        <v/>
      </c>
      <c r="BA107" s="6"/>
      <c r="BB107" s="4"/>
      <c r="BC107" s="141" t="str">
        <f t="shared" si="197"/>
        <v/>
      </c>
      <c r="BD107" s="10"/>
      <c r="BE107" s="129"/>
      <c r="BF107" s="145" t="s">
        <v>63</v>
      </c>
      <c r="BG107" s="131" t="str">
        <f t="shared" si="198"/>
        <v/>
      </c>
      <c r="BH107" s="132" t="str">
        <f t="shared" si="199"/>
        <v/>
      </c>
      <c r="BI107" s="132" t="str">
        <f t="shared" si="200"/>
        <v/>
      </c>
      <c r="BJ107" s="132" t="str">
        <f t="shared" si="201"/>
        <v/>
      </c>
      <c r="BK107" s="132" t="str">
        <f t="shared" si="202"/>
        <v/>
      </c>
      <c r="BL107" s="132" t="str">
        <f t="shared" si="203"/>
        <v/>
      </c>
      <c r="BM107" s="146"/>
      <c r="BN107" s="8" t="str">
        <f>IF(BO107="","",IF(各種設定金額!$B$7="","○○県",各種設定金額!$B$7))</f>
        <v/>
      </c>
      <c r="BO107" s="6"/>
      <c r="BP107" s="4"/>
      <c r="BQ107" s="141" t="str">
        <f t="shared" si="204"/>
        <v/>
      </c>
      <c r="BR107" s="10"/>
      <c r="BS107" s="129"/>
      <c r="BT107" s="145" t="s">
        <v>63</v>
      </c>
      <c r="BU107" s="131" t="str">
        <f t="shared" si="205"/>
        <v/>
      </c>
      <c r="BV107" s="132" t="str">
        <f t="shared" si="206"/>
        <v/>
      </c>
      <c r="BW107" s="132" t="str">
        <f t="shared" si="207"/>
        <v/>
      </c>
      <c r="BX107" s="132" t="str">
        <f t="shared" si="208"/>
        <v/>
      </c>
      <c r="BY107" s="132" t="str">
        <f t="shared" si="209"/>
        <v/>
      </c>
      <c r="BZ107" s="132" t="str">
        <f t="shared" si="210"/>
        <v/>
      </c>
      <c r="CA107" s="146"/>
      <c r="CB107" s="10" t="str">
        <f t="shared" si="211"/>
        <v/>
      </c>
      <c r="CC107" s="7" t="str">
        <f t="shared" si="212"/>
        <v/>
      </c>
      <c r="CD107" s="147"/>
      <c r="CE107" s="147"/>
      <c r="CF107" s="6"/>
      <c r="CG107" s="4"/>
      <c r="CH107" s="148">
        <f t="shared" ca="1" si="213"/>
        <v>2026</v>
      </c>
      <c r="CI107" s="121" t="str">
        <f t="shared" ca="1" si="214"/>
        <v>令和</v>
      </c>
      <c r="CJ107" s="122" t="str">
        <f t="shared" ca="1" si="215"/>
        <v>R</v>
      </c>
      <c r="CK107" s="122" t="str">
        <f t="shared" ca="1" si="216"/>
        <v>8</v>
      </c>
      <c r="CL107" s="122">
        <f t="shared" ca="1" si="217"/>
        <v>10</v>
      </c>
      <c r="CM107" s="149">
        <f t="shared" ca="1" si="218"/>
        <v>24</v>
      </c>
      <c r="CN107" s="1"/>
      <c r="CO107" s="150">
        <f t="shared" ca="1" si="219"/>
        <v>46319</v>
      </c>
    </row>
    <row r="108" spans="1:93" ht="20.100000000000001" customHeight="1" x14ac:dyDescent="0.15">
      <c r="A108" s="7" t="str">
        <f>IF(B108="","",ROW()-ROW(会員表[#Headers]))</f>
        <v/>
      </c>
      <c r="B108" s="4" ph="1"/>
      <c r="C108" s="4" t="str" cm="1">
        <f t="array" ref="C108">_xlfn.LET(_xlpm.s,PHONETIC(B108),_xlpm.c,_xlfn.UNICODE(MID(_xlpm.s,_xlfn.SEQUENCE(LEN(_xlpm.s)),1)),IF(_xlpm.s="","",_xlfn.CONCAT(_xlfn.UNICHAR(_xlpm.c-96*(_xlpm.c&gt;=12449)*(_xlpm.c&lt;=12534)))))</f>
        <v/>
      </c>
      <c r="D108" s="4" t="str" cm="1">
        <f t="array" ref="D108">_xlfn.LET(_xlpm.s,PHONETIC(B108),_xlpm.c,_xlfn.UNICODE(MID(_xlpm.s,_xlfn.SEQUENCE(LEN(_xlpm.s)),1)),IF(_xlpm.s="","",_xlfn.CONCAT(_xlfn.UNICHAR(_xlpm.c+96*(_xlpm.c&gt;=12353)*(_xlpm.c&lt;=12438)))))</f>
        <v/>
      </c>
      <c r="E108" s="129" t="str">
        <f t="shared" ca="1" si="165"/>
        <v/>
      </c>
      <c r="F108" s="130" t="str">
        <f t="shared" si="166"/>
        <v/>
      </c>
      <c r="G108" s="130" t="str">
        <f t="shared" si="167"/>
        <v/>
      </c>
      <c r="H108" s="130" t="str">
        <f t="shared" si="168"/>
        <v/>
      </c>
      <c r="I108" s="131" t="str">
        <f t="shared" si="169"/>
        <v/>
      </c>
      <c r="J108" s="132" t="str">
        <f t="shared" si="170"/>
        <v/>
      </c>
      <c r="K108" s="121" t="str">
        <f t="shared" si="171"/>
        <v/>
      </c>
      <c r="L108" s="129" t="str">
        <f t="shared" si="172"/>
        <v/>
      </c>
      <c r="M108" s="7" t="str">
        <f t="shared" si="173"/>
        <v/>
      </c>
      <c r="N108" s="133"/>
      <c r="O108" s="8"/>
      <c r="P108" s="5" t="str">
        <f t="shared" si="174"/>
        <v/>
      </c>
      <c r="Q108" s="121" t="str">
        <f t="shared" si="175"/>
        <v/>
      </c>
      <c r="R108" s="121" t="str">
        <f t="shared" si="176"/>
        <v/>
      </c>
      <c r="S108" s="7" t="str">
        <f t="shared" si="177"/>
        <v/>
      </c>
      <c r="T108" s="5"/>
      <c r="U108" s="5" t="str">
        <f t="shared" si="178"/>
        <v/>
      </c>
      <c r="V108" s="121" t="str">
        <f t="shared" si="179"/>
        <v/>
      </c>
      <c r="W108" s="121" t="str">
        <f t="shared" si="180"/>
        <v/>
      </c>
      <c r="X108" s="7" t="str">
        <f t="shared" si="181"/>
        <v/>
      </c>
      <c r="Y108" s="136"/>
      <c r="Z108" s="5" t="str">
        <f t="shared" si="182"/>
        <v/>
      </c>
      <c r="AA108" s="137" t="s">
        <v>183</v>
      </c>
      <c r="AB108" s="7" t="str">
        <f t="shared" si="183"/>
        <v/>
      </c>
      <c r="AC108" s="9"/>
      <c r="AD108" s="4"/>
      <c r="AE108" s="138" t="str">
        <f t="shared" si="184"/>
        <v/>
      </c>
      <c r="AF108" s="139" t="str">
        <f t="shared" si="185"/>
        <v/>
      </c>
      <c r="AG108" s="139" t="str">
        <f t="shared" si="186"/>
        <v/>
      </c>
      <c r="AH108" s="139" t="str">
        <f t="shared" si="187"/>
        <v/>
      </c>
      <c r="AI108" s="139" t="str">
        <f t="shared" si="188"/>
        <v/>
      </c>
      <c r="AJ108" s="140" t="str">
        <f t="shared" si="189"/>
        <v/>
      </c>
      <c r="AK108" s="8"/>
      <c r="AL108" s="8" t="str">
        <f>IF(AM108="","",IF(各種設定金額!$B$7="","○○県",各種設定金額!$B$7))</f>
        <v/>
      </c>
      <c r="AM108" s="4"/>
      <c r="AN108" s="4"/>
      <c r="AO108" s="141" t="str">
        <f t="shared" si="190"/>
        <v/>
      </c>
      <c r="AP108" s="10"/>
      <c r="AQ108" s="129"/>
      <c r="AR108" s="142" t="s">
        <v>182</v>
      </c>
      <c r="AS108" s="131" t="str">
        <f t="shared" si="191"/>
        <v/>
      </c>
      <c r="AT108" s="132" t="str">
        <f t="shared" si="192"/>
        <v/>
      </c>
      <c r="AU108" s="132" t="str">
        <f t="shared" si="193"/>
        <v/>
      </c>
      <c r="AV108" s="132" t="str">
        <f t="shared" si="194"/>
        <v/>
      </c>
      <c r="AW108" s="132" t="str">
        <f t="shared" si="195"/>
        <v/>
      </c>
      <c r="AX108" s="143" t="str">
        <f t="shared" si="196"/>
        <v/>
      </c>
      <c r="AY108" s="144"/>
      <c r="AZ108" s="8" t="str">
        <f>IF(BA108="","",IF(各種設定金額!$B$7="","○○県",各種設定金額!$B$7))</f>
        <v/>
      </c>
      <c r="BA108" s="6"/>
      <c r="BB108" s="4"/>
      <c r="BC108" s="141" t="str">
        <f t="shared" si="197"/>
        <v/>
      </c>
      <c r="BD108" s="10"/>
      <c r="BE108" s="129"/>
      <c r="BF108" s="145" t="s">
        <v>63</v>
      </c>
      <c r="BG108" s="131" t="str">
        <f t="shared" si="198"/>
        <v/>
      </c>
      <c r="BH108" s="132" t="str">
        <f t="shared" si="199"/>
        <v/>
      </c>
      <c r="BI108" s="132" t="str">
        <f t="shared" si="200"/>
        <v/>
      </c>
      <c r="BJ108" s="132" t="str">
        <f t="shared" si="201"/>
        <v/>
      </c>
      <c r="BK108" s="132" t="str">
        <f t="shared" si="202"/>
        <v/>
      </c>
      <c r="BL108" s="132" t="str">
        <f t="shared" si="203"/>
        <v/>
      </c>
      <c r="BM108" s="146"/>
      <c r="BN108" s="8" t="str">
        <f>IF(BO108="","",IF(各種設定金額!$B$7="","○○県",各種設定金額!$B$7))</f>
        <v/>
      </c>
      <c r="BO108" s="6"/>
      <c r="BP108" s="4"/>
      <c r="BQ108" s="141" t="str">
        <f t="shared" si="204"/>
        <v/>
      </c>
      <c r="BR108" s="10"/>
      <c r="BS108" s="129"/>
      <c r="BT108" s="145" t="s">
        <v>63</v>
      </c>
      <c r="BU108" s="131" t="str">
        <f t="shared" si="205"/>
        <v/>
      </c>
      <c r="BV108" s="132" t="str">
        <f t="shared" si="206"/>
        <v/>
      </c>
      <c r="BW108" s="132" t="str">
        <f t="shared" si="207"/>
        <v/>
      </c>
      <c r="BX108" s="132" t="str">
        <f t="shared" si="208"/>
        <v/>
      </c>
      <c r="BY108" s="132" t="str">
        <f t="shared" si="209"/>
        <v/>
      </c>
      <c r="BZ108" s="132" t="str">
        <f t="shared" si="210"/>
        <v/>
      </c>
      <c r="CA108" s="146"/>
      <c r="CB108" s="10" t="str">
        <f t="shared" si="211"/>
        <v/>
      </c>
      <c r="CC108" s="7" t="str">
        <f t="shared" si="212"/>
        <v/>
      </c>
      <c r="CD108" s="147"/>
      <c r="CE108" s="147"/>
      <c r="CF108" s="6"/>
      <c r="CG108" s="4"/>
      <c r="CH108" s="148">
        <f t="shared" ca="1" si="213"/>
        <v>2026</v>
      </c>
      <c r="CI108" s="121" t="str">
        <f t="shared" ca="1" si="214"/>
        <v>令和</v>
      </c>
      <c r="CJ108" s="122" t="str">
        <f t="shared" ca="1" si="215"/>
        <v>R</v>
      </c>
      <c r="CK108" s="122" t="str">
        <f t="shared" ca="1" si="216"/>
        <v>8</v>
      </c>
      <c r="CL108" s="122">
        <f t="shared" ca="1" si="217"/>
        <v>10</v>
      </c>
      <c r="CM108" s="149">
        <f t="shared" ca="1" si="218"/>
        <v>24</v>
      </c>
      <c r="CN108" s="1"/>
      <c r="CO108" s="150">
        <f t="shared" ca="1" si="219"/>
        <v>46319</v>
      </c>
    </row>
    <row r="109" spans="1:93" ht="20.100000000000001" customHeight="1" x14ac:dyDescent="0.15">
      <c r="A109" s="7" t="str">
        <f>IF(B109="","",ROW()-ROW(会員表[#Headers]))</f>
        <v/>
      </c>
      <c r="B109" s="4" ph="1"/>
      <c r="C109" s="4" t="str" cm="1">
        <f t="array" ref="C109">_xlfn.LET(_xlpm.s,PHONETIC(B109),_xlpm.c,_xlfn.UNICODE(MID(_xlpm.s,_xlfn.SEQUENCE(LEN(_xlpm.s)),1)),IF(_xlpm.s="","",_xlfn.CONCAT(_xlfn.UNICHAR(_xlpm.c-96*(_xlpm.c&gt;=12449)*(_xlpm.c&lt;=12534)))))</f>
        <v/>
      </c>
      <c r="D109" s="4" t="str" cm="1">
        <f t="array" ref="D109">_xlfn.LET(_xlpm.s,PHONETIC(B109),_xlpm.c,_xlfn.UNICODE(MID(_xlpm.s,_xlfn.SEQUENCE(LEN(_xlpm.s)),1)),IF(_xlpm.s="","",_xlfn.CONCAT(_xlfn.UNICHAR(_xlpm.c+96*(_xlpm.c&gt;=12353)*(_xlpm.c&lt;=12438)))))</f>
        <v/>
      </c>
      <c r="E109" s="129" t="str">
        <f t="shared" ca="1" si="165"/>
        <v/>
      </c>
      <c r="F109" s="130" t="str">
        <f t="shared" si="166"/>
        <v/>
      </c>
      <c r="G109" s="130" t="str">
        <f t="shared" si="167"/>
        <v/>
      </c>
      <c r="H109" s="130" t="str">
        <f t="shared" si="168"/>
        <v/>
      </c>
      <c r="I109" s="131" t="str">
        <f t="shared" si="169"/>
        <v/>
      </c>
      <c r="J109" s="132" t="str">
        <f t="shared" si="170"/>
        <v/>
      </c>
      <c r="K109" s="121" t="str">
        <f t="shared" si="171"/>
        <v/>
      </c>
      <c r="L109" s="129" t="str">
        <f t="shared" si="172"/>
        <v/>
      </c>
      <c r="M109" s="7" t="str">
        <f t="shared" si="173"/>
        <v/>
      </c>
      <c r="N109" s="133"/>
      <c r="O109" s="8"/>
      <c r="P109" s="5" t="str">
        <f t="shared" si="174"/>
        <v/>
      </c>
      <c r="Q109" s="121" t="str">
        <f t="shared" si="175"/>
        <v/>
      </c>
      <c r="R109" s="121" t="str">
        <f t="shared" si="176"/>
        <v/>
      </c>
      <c r="S109" s="7" t="str">
        <f t="shared" si="177"/>
        <v/>
      </c>
      <c r="T109" s="5"/>
      <c r="U109" s="5" t="str">
        <f t="shared" si="178"/>
        <v/>
      </c>
      <c r="V109" s="121" t="str">
        <f t="shared" si="179"/>
        <v/>
      </c>
      <c r="W109" s="121" t="str">
        <f t="shared" si="180"/>
        <v/>
      </c>
      <c r="X109" s="7" t="str">
        <f t="shared" si="181"/>
        <v/>
      </c>
      <c r="Y109" s="136"/>
      <c r="Z109" s="5" t="str">
        <f t="shared" si="182"/>
        <v/>
      </c>
      <c r="AA109" s="137" t="s">
        <v>183</v>
      </c>
      <c r="AB109" s="7" t="str">
        <f t="shared" si="183"/>
        <v/>
      </c>
      <c r="AC109" s="9"/>
      <c r="AD109" s="4"/>
      <c r="AE109" s="138" t="str">
        <f t="shared" si="184"/>
        <v/>
      </c>
      <c r="AF109" s="139" t="str">
        <f t="shared" si="185"/>
        <v/>
      </c>
      <c r="AG109" s="139" t="str">
        <f t="shared" si="186"/>
        <v/>
      </c>
      <c r="AH109" s="139" t="str">
        <f t="shared" si="187"/>
        <v/>
      </c>
      <c r="AI109" s="139" t="str">
        <f t="shared" si="188"/>
        <v/>
      </c>
      <c r="AJ109" s="140" t="str">
        <f t="shared" si="189"/>
        <v/>
      </c>
      <c r="AK109" s="8"/>
      <c r="AL109" s="8" t="str">
        <f>IF(AM109="","",IF(各種設定金額!$B$7="","○○県",各種設定金額!$B$7))</f>
        <v/>
      </c>
      <c r="AM109" s="4"/>
      <c r="AN109" s="4"/>
      <c r="AO109" s="141" t="str">
        <f t="shared" si="190"/>
        <v/>
      </c>
      <c r="AP109" s="10"/>
      <c r="AQ109" s="129"/>
      <c r="AR109" s="142" t="s">
        <v>182</v>
      </c>
      <c r="AS109" s="131" t="str">
        <f t="shared" si="191"/>
        <v/>
      </c>
      <c r="AT109" s="132" t="str">
        <f t="shared" si="192"/>
        <v/>
      </c>
      <c r="AU109" s="132" t="str">
        <f t="shared" si="193"/>
        <v/>
      </c>
      <c r="AV109" s="132" t="str">
        <f t="shared" si="194"/>
        <v/>
      </c>
      <c r="AW109" s="132" t="str">
        <f t="shared" si="195"/>
        <v/>
      </c>
      <c r="AX109" s="143" t="str">
        <f t="shared" si="196"/>
        <v/>
      </c>
      <c r="AY109" s="144"/>
      <c r="AZ109" s="8" t="str">
        <f>IF(BA109="","",IF(各種設定金額!$B$7="","○○県",各種設定金額!$B$7))</f>
        <v/>
      </c>
      <c r="BA109" s="6"/>
      <c r="BB109" s="4"/>
      <c r="BC109" s="141" t="str">
        <f t="shared" si="197"/>
        <v/>
      </c>
      <c r="BD109" s="10"/>
      <c r="BE109" s="129"/>
      <c r="BF109" s="145" t="s">
        <v>63</v>
      </c>
      <c r="BG109" s="131" t="str">
        <f t="shared" si="198"/>
        <v/>
      </c>
      <c r="BH109" s="132" t="str">
        <f t="shared" si="199"/>
        <v/>
      </c>
      <c r="BI109" s="132" t="str">
        <f t="shared" si="200"/>
        <v/>
      </c>
      <c r="BJ109" s="132" t="str">
        <f t="shared" si="201"/>
        <v/>
      </c>
      <c r="BK109" s="132" t="str">
        <f t="shared" si="202"/>
        <v/>
      </c>
      <c r="BL109" s="132" t="str">
        <f t="shared" si="203"/>
        <v/>
      </c>
      <c r="BM109" s="146"/>
      <c r="BN109" s="8" t="str">
        <f>IF(BO109="","",IF(各種設定金額!$B$7="","○○県",各種設定金額!$B$7))</f>
        <v/>
      </c>
      <c r="BO109" s="6"/>
      <c r="BP109" s="4"/>
      <c r="BQ109" s="141" t="str">
        <f t="shared" si="204"/>
        <v/>
      </c>
      <c r="BR109" s="10"/>
      <c r="BS109" s="129"/>
      <c r="BT109" s="145" t="s">
        <v>63</v>
      </c>
      <c r="BU109" s="131" t="str">
        <f t="shared" si="205"/>
        <v/>
      </c>
      <c r="BV109" s="132" t="str">
        <f t="shared" si="206"/>
        <v/>
      </c>
      <c r="BW109" s="132" t="str">
        <f t="shared" si="207"/>
        <v/>
      </c>
      <c r="BX109" s="132" t="str">
        <f t="shared" si="208"/>
        <v/>
      </c>
      <c r="BY109" s="132" t="str">
        <f t="shared" si="209"/>
        <v/>
      </c>
      <c r="BZ109" s="132" t="str">
        <f t="shared" si="210"/>
        <v/>
      </c>
      <c r="CA109" s="146"/>
      <c r="CB109" s="10" t="str">
        <f t="shared" si="211"/>
        <v/>
      </c>
      <c r="CC109" s="7" t="str">
        <f t="shared" si="212"/>
        <v/>
      </c>
      <c r="CD109" s="147"/>
      <c r="CE109" s="147"/>
      <c r="CF109" s="6"/>
      <c r="CG109" s="4"/>
      <c r="CH109" s="148">
        <f t="shared" ca="1" si="213"/>
        <v>2026</v>
      </c>
      <c r="CI109" s="121" t="str">
        <f t="shared" ca="1" si="214"/>
        <v>令和</v>
      </c>
      <c r="CJ109" s="122" t="str">
        <f t="shared" ca="1" si="215"/>
        <v>R</v>
      </c>
      <c r="CK109" s="122" t="str">
        <f t="shared" ca="1" si="216"/>
        <v>8</v>
      </c>
      <c r="CL109" s="122">
        <f t="shared" ca="1" si="217"/>
        <v>10</v>
      </c>
      <c r="CM109" s="149">
        <f t="shared" ca="1" si="218"/>
        <v>24</v>
      </c>
      <c r="CN109" s="1"/>
      <c r="CO109" s="150">
        <f t="shared" ca="1" si="219"/>
        <v>46319</v>
      </c>
    </row>
    <row r="110" spans="1:93" ht="20.100000000000001" customHeight="1" x14ac:dyDescent="0.15">
      <c r="A110" s="7" t="str">
        <f>IF(B110="","",ROW()-ROW(会員表[#Headers]))</f>
        <v/>
      </c>
      <c r="B110" s="4" ph="1"/>
      <c r="C110" s="4" t="str" cm="1">
        <f t="array" ref="C110">_xlfn.LET(_xlpm.s,PHONETIC(B110),_xlpm.c,_xlfn.UNICODE(MID(_xlpm.s,_xlfn.SEQUENCE(LEN(_xlpm.s)),1)),IF(_xlpm.s="","",_xlfn.CONCAT(_xlfn.UNICHAR(_xlpm.c-96*(_xlpm.c&gt;=12449)*(_xlpm.c&lt;=12534)))))</f>
        <v/>
      </c>
      <c r="D110" s="4" t="str" cm="1">
        <f t="array" ref="D110">_xlfn.LET(_xlpm.s,PHONETIC(B110),_xlpm.c,_xlfn.UNICODE(MID(_xlpm.s,_xlfn.SEQUENCE(LEN(_xlpm.s)),1)),IF(_xlpm.s="","",_xlfn.CONCAT(_xlfn.UNICHAR(_xlpm.c+96*(_xlpm.c&gt;=12353)*(_xlpm.c&lt;=12438)))))</f>
        <v/>
      </c>
      <c r="E110" s="129" t="str">
        <f t="shared" ca="1" si="165"/>
        <v/>
      </c>
      <c r="F110" s="130" t="str">
        <f t="shared" si="166"/>
        <v/>
      </c>
      <c r="G110" s="130" t="str">
        <f t="shared" si="167"/>
        <v/>
      </c>
      <c r="H110" s="130" t="str">
        <f t="shared" si="168"/>
        <v/>
      </c>
      <c r="I110" s="131" t="str">
        <f t="shared" si="169"/>
        <v/>
      </c>
      <c r="J110" s="132" t="str">
        <f t="shared" si="170"/>
        <v/>
      </c>
      <c r="K110" s="121" t="str">
        <f t="shared" si="171"/>
        <v/>
      </c>
      <c r="L110" s="129" t="str">
        <f t="shared" si="172"/>
        <v/>
      </c>
      <c r="M110" s="7" t="str">
        <f t="shared" si="173"/>
        <v/>
      </c>
      <c r="N110" s="133"/>
      <c r="O110" s="8"/>
      <c r="P110" s="5" t="str">
        <f t="shared" si="174"/>
        <v/>
      </c>
      <c r="Q110" s="121" t="str">
        <f t="shared" si="175"/>
        <v/>
      </c>
      <c r="R110" s="121" t="str">
        <f t="shared" si="176"/>
        <v/>
      </c>
      <c r="S110" s="7" t="str">
        <f t="shared" si="177"/>
        <v/>
      </c>
      <c r="T110" s="5"/>
      <c r="U110" s="5" t="str">
        <f t="shared" si="178"/>
        <v/>
      </c>
      <c r="V110" s="121" t="str">
        <f t="shared" si="179"/>
        <v/>
      </c>
      <c r="W110" s="121" t="str">
        <f t="shared" si="180"/>
        <v/>
      </c>
      <c r="X110" s="7" t="str">
        <f t="shared" si="181"/>
        <v/>
      </c>
      <c r="Y110" s="136"/>
      <c r="Z110" s="5" t="str">
        <f t="shared" si="182"/>
        <v/>
      </c>
      <c r="AA110" s="137" t="s">
        <v>183</v>
      </c>
      <c r="AB110" s="7" t="str">
        <f t="shared" si="183"/>
        <v/>
      </c>
      <c r="AC110" s="9"/>
      <c r="AD110" s="4"/>
      <c r="AE110" s="138" t="str">
        <f t="shared" si="184"/>
        <v/>
      </c>
      <c r="AF110" s="139" t="str">
        <f t="shared" si="185"/>
        <v/>
      </c>
      <c r="AG110" s="139" t="str">
        <f t="shared" si="186"/>
        <v/>
      </c>
      <c r="AH110" s="139" t="str">
        <f t="shared" si="187"/>
        <v/>
      </c>
      <c r="AI110" s="139" t="str">
        <f t="shared" si="188"/>
        <v/>
      </c>
      <c r="AJ110" s="140" t="str">
        <f t="shared" si="189"/>
        <v/>
      </c>
      <c r="AK110" s="8"/>
      <c r="AL110" s="8" t="str">
        <f>IF(AM110="","",IF(各種設定金額!$B$7="","○○県",各種設定金額!$B$7))</f>
        <v/>
      </c>
      <c r="AM110" s="4"/>
      <c r="AN110" s="4"/>
      <c r="AO110" s="141" t="str">
        <f t="shared" si="190"/>
        <v/>
      </c>
      <c r="AP110" s="10"/>
      <c r="AQ110" s="129"/>
      <c r="AR110" s="142" t="s">
        <v>182</v>
      </c>
      <c r="AS110" s="131" t="str">
        <f t="shared" si="191"/>
        <v/>
      </c>
      <c r="AT110" s="132" t="str">
        <f t="shared" si="192"/>
        <v/>
      </c>
      <c r="AU110" s="132" t="str">
        <f t="shared" si="193"/>
        <v/>
      </c>
      <c r="AV110" s="132" t="str">
        <f t="shared" si="194"/>
        <v/>
      </c>
      <c r="AW110" s="132" t="str">
        <f t="shared" si="195"/>
        <v/>
      </c>
      <c r="AX110" s="143" t="str">
        <f t="shared" si="196"/>
        <v/>
      </c>
      <c r="AY110" s="144"/>
      <c r="AZ110" s="8" t="str">
        <f>IF(BA110="","",IF(各種設定金額!$B$7="","○○県",各種設定金額!$B$7))</f>
        <v/>
      </c>
      <c r="BA110" s="6"/>
      <c r="BB110" s="4"/>
      <c r="BC110" s="141" t="str">
        <f t="shared" si="197"/>
        <v/>
      </c>
      <c r="BD110" s="10"/>
      <c r="BE110" s="129"/>
      <c r="BF110" s="145" t="s">
        <v>63</v>
      </c>
      <c r="BG110" s="131" t="str">
        <f t="shared" si="198"/>
        <v/>
      </c>
      <c r="BH110" s="132" t="str">
        <f t="shared" si="199"/>
        <v/>
      </c>
      <c r="BI110" s="132" t="str">
        <f t="shared" si="200"/>
        <v/>
      </c>
      <c r="BJ110" s="132" t="str">
        <f t="shared" si="201"/>
        <v/>
      </c>
      <c r="BK110" s="132" t="str">
        <f t="shared" si="202"/>
        <v/>
      </c>
      <c r="BL110" s="132" t="str">
        <f t="shared" si="203"/>
        <v/>
      </c>
      <c r="BM110" s="146"/>
      <c r="BN110" s="8" t="str">
        <f>IF(BO110="","",IF(各種設定金額!$B$7="","○○県",各種設定金額!$B$7))</f>
        <v/>
      </c>
      <c r="BO110" s="6"/>
      <c r="BP110" s="4"/>
      <c r="BQ110" s="141" t="str">
        <f t="shared" si="204"/>
        <v/>
      </c>
      <c r="BR110" s="10"/>
      <c r="BS110" s="129"/>
      <c r="BT110" s="145" t="s">
        <v>63</v>
      </c>
      <c r="BU110" s="131" t="str">
        <f t="shared" si="205"/>
        <v/>
      </c>
      <c r="BV110" s="132" t="str">
        <f t="shared" si="206"/>
        <v/>
      </c>
      <c r="BW110" s="132" t="str">
        <f t="shared" si="207"/>
        <v/>
      </c>
      <c r="BX110" s="132" t="str">
        <f t="shared" si="208"/>
        <v/>
      </c>
      <c r="BY110" s="132" t="str">
        <f t="shared" si="209"/>
        <v/>
      </c>
      <c r="BZ110" s="132" t="str">
        <f t="shared" si="210"/>
        <v/>
      </c>
      <c r="CA110" s="146"/>
      <c r="CB110" s="10" t="str">
        <f t="shared" si="211"/>
        <v/>
      </c>
      <c r="CC110" s="7" t="str">
        <f t="shared" si="212"/>
        <v/>
      </c>
      <c r="CD110" s="147"/>
      <c r="CE110" s="147"/>
      <c r="CF110" s="6"/>
      <c r="CG110" s="4"/>
      <c r="CH110" s="148">
        <f t="shared" ca="1" si="213"/>
        <v>2026</v>
      </c>
      <c r="CI110" s="121" t="str">
        <f t="shared" ca="1" si="214"/>
        <v>令和</v>
      </c>
      <c r="CJ110" s="122" t="str">
        <f t="shared" ca="1" si="215"/>
        <v>R</v>
      </c>
      <c r="CK110" s="122" t="str">
        <f t="shared" ca="1" si="216"/>
        <v>8</v>
      </c>
      <c r="CL110" s="122">
        <f t="shared" ca="1" si="217"/>
        <v>10</v>
      </c>
      <c r="CM110" s="149">
        <f t="shared" ca="1" si="218"/>
        <v>24</v>
      </c>
      <c r="CN110" s="1"/>
      <c r="CO110" s="150">
        <f t="shared" ca="1" si="219"/>
        <v>46319</v>
      </c>
    </row>
    <row r="111" spans="1:93" ht="20.100000000000001" customHeight="1" x14ac:dyDescent="0.15">
      <c r="A111" s="7" t="str">
        <f>IF(B111="","",ROW()-ROW(会員表[#Headers]))</f>
        <v/>
      </c>
      <c r="B111" s="4" ph="1"/>
      <c r="C111" s="4" t="str" cm="1">
        <f t="array" ref="C111">_xlfn.LET(_xlpm.s,PHONETIC(B111),_xlpm.c,_xlfn.UNICODE(MID(_xlpm.s,_xlfn.SEQUENCE(LEN(_xlpm.s)),1)),IF(_xlpm.s="","",_xlfn.CONCAT(_xlfn.UNICHAR(_xlpm.c-96*(_xlpm.c&gt;=12449)*(_xlpm.c&lt;=12534)))))</f>
        <v/>
      </c>
      <c r="D111" s="4" t="str" cm="1">
        <f t="array" ref="D111">_xlfn.LET(_xlpm.s,PHONETIC(B111),_xlpm.c,_xlfn.UNICODE(MID(_xlpm.s,_xlfn.SEQUENCE(LEN(_xlpm.s)),1)),IF(_xlpm.s="","",_xlfn.CONCAT(_xlfn.UNICHAR(_xlpm.c+96*(_xlpm.c&gt;=12353)*(_xlpm.c&lt;=12438)))))</f>
        <v/>
      </c>
      <c r="E111" s="129" t="str">
        <f t="shared" ca="1" si="165"/>
        <v/>
      </c>
      <c r="F111" s="130" t="str">
        <f t="shared" si="166"/>
        <v/>
      </c>
      <c r="G111" s="130" t="str">
        <f t="shared" si="167"/>
        <v/>
      </c>
      <c r="H111" s="130" t="str">
        <f t="shared" si="168"/>
        <v/>
      </c>
      <c r="I111" s="131" t="str">
        <f t="shared" si="169"/>
        <v/>
      </c>
      <c r="J111" s="132" t="str">
        <f t="shared" si="170"/>
        <v/>
      </c>
      <c r="K111" s="121" t="str">
        <f t="shared" si="171"/>
        <v/>
      </c>
      <c r="L111" s="129" t="str">
        <f t="shared" si="172"/>
        <v/>
      </c>
      <c r="M111" s="7" t="str">
        <f t="shared" si="173"/>
        <v/>
      </c>
      <c r="N111" s="133"/>
      <c r="O111" s="8"/>
      <c r="P111" s="5" t="str">
        <f t="shared" si="174"/>
        <v/>
      </c>
      <c r="Q111" s="121" t="str">
        <f t="shared" si="175"/>
        <v/>
      </c>
      <c r="R111" s="121" t="str">
        <f t="shared" si="176"/>
        <v/>
      </c>
      <c r="S111" s="7" t="str">
        <f t="shared" si="177"/>
        <v/>
      </c>
      <c r="T111" s="5"/>
      <c r="U111" s="5" t="str">
        <f t="shared" si="178"/>
        <v/>
      </c>
      <c r="V111" s="121" t="str">
        <f t="shared" si="179"/>
        <v/>
      </c>
      <c r="W111" s="121" t="str">
        <f t="shared" si="180"/>
        <v/>
      </c>
      <c r="X111" s="7" t="str">
        <f t="shared" si="181"/>
        <v/>
      </c>
      <c r="Y111" s="136"/>
      <c r="Z111" s="5" t="str">
        <f t="shared" si="182"/>
        <v/>
      </c>
      <c r="AA111" s="137" t="s">
        <v>183</v>
      </c>
      <c r="AB111" s="7" t="str">
        <f t="shared" si="183"/>
        <v/>
      </c>
      <c r="AC111" s="9"/>
      <c r="AD111" s="4"/>
      <c r="AE111" s="138" t="str">
        <f t="shared" si="184"/>
        <v/>
      </c>
      <c r="AF111" s="139" t="str">
        <f t="shared" si="185"/>
        <v/>
      </c>
      <c r="AG111" s="139" t="str">
        <f t="shared" si="186"/>
        <v/>
      </c>
      <c r="AH111" s="139" t="str">
        <f t="shared" si="187"/>
        <v/>
      </c>
      <c r="AI111" s="139" t="str">
        <f t="shared" si="188"/>
        <v/>
      </c>
      <c r="AJ111" s="140" t="str">
        <f t="shared" si="189"/>
        <v/>
      </c>
      <c r="AK111" s="8"/>
      <c r="AL111" s="8" t="str">
        <f>IF(AM111="","",IF(各種設定金額!$B$7="","○○県",各種設定金額!$B$7))</f>
        <v/>
      </c>
      <c r="AM111" s="4"/>
      <c r="AN111" s="4"/>
      <c r="AO111" s="141" t="str">
        <f t="shared" si="190"/>
        <v/>
      </c>
      <c r="AP111" s="10"/>
      <c r="AQ111" s="129"/>
      <c r="AR111" s="142" t="s">
        <v>182</v>
      </c>
      <c r="AS111" s="131" t="str">
        <f t="shared" si="191"/>
        <v/>
      </c>
      <c r="AT111" s="132" t="str">
        <f t="shared" si="192"/>
        <v/>
      </c>
      <c r="AU111" s="132" t="str">
        <f t="shared" si="193"/>
        <v/>
      </c>
      <c r="AV111" s="132" t="str">
        <f t="shared" si="194"/>
        <v/>
      </c>
      <c r="AW111" s="132" t="str">
        <f t="shared" si="195"/>
        <v/>
      </c>
      <c r="AX111" s="143" t="str">
        <f t="shared" si="196"/>
        <v/>
      </c>
      <c r="AY111" s="144"/>
      <c r="AZ111" s="8" t="str">
        <f>IF(BA111="","",IF(各種設定金額!$B$7="","○○県",各種設定金額!$B$7))</f>
        <v/>
      </c>
      <c r="BA111" s="6"/>
      <c r="BB111" s="4"/>
      <c r="BC111" s="141" t="str">
        <f t="shared" si="197"/>
        <v/>
      </c>
      <c r="BD111" s="10"/>
      <c r="BE111" s="129"/>
      <c r="BF111" s="145" t="s">
        <v>63</v>
      </c>
      <c r="BG111" s="131" t="str">
        <f t="shared" si="198"/>
        <v/>
      </c>
      <c r="BH111" s="132" t="str">
        <f t="shared" si="199"/>
        <v/>
      </c>
      <c r="BI111" s="132" t="str">
        <f t="shared" si="200"/>
        <v/>
      </c>
      <c r="BJ111" s="132" t="str">
        <f t="shared" si="201"/>
        <v/>
      </c>
      <c r="BK111" s="132" t="str">
        <f t="shared" si="202"/>
        <v/>
      </c>
      <c r="BL111" s="132" t="str">
        <f t="shared" si="203"/>
        <v/>
      </c>
      <c r="BM111" s="146"/>
      <c r="BN111" s="8" t="str">
        <f>IF(BO111="","",IF(各種設定金額!$B$7="","○○県",各種設定金額!$B$7))</f>
        <v/>
      </c>
      <c r="BO111" s="6"/>
      <c r="BP111" s="4"/>
      <c r="BQ111" s="141" t="str">
        <f t="shared" si="204"/>
        <v/>
      </c>
      <c r="BR111" s="10"/>
      <c r="BS111" s="129"/>
      <c r="BT111" s="145" t="s">
        <v>63</v>
      </c>
      <c r="BU111" s="131" t="str">
        <f t="shared" si="205"/>
        <v/>
      </c>
      <c r="BV111" s="132" t="str">
        <f t="shared" si="206"/>
        <v/>
      </c>
      <c r="BW111" s="132" t="str">
        <f t="shared" si="207"/>
        <v/>
      </c>
      <c r="BX111" s="132" t="str">
        <f t="shared" si="208"/>
        <v/>
      </c>
      <c r="BY111" s="132" t="str">
        <f t="shared" si="209"/>
        <v/>
      </c>
      <c r="BZ111" s="132" t="str">
        <f t="shared" si="210"/>
        <v/>
      </c>
      <c r="CA111" s="146"/>
      <c r="CB111" s="10" t="str">
        <f t="shared" si="211"/>
        <v/>
      </c>
      <c r="CC111" s="7" t="str">
        <f t="shared" si="212"/>
        <v/>
      </c>
      <c r="CD111" s="147"/>
      <c r="CE111" s="147"/>
      <c r="CF111" s="6"/>
      <c r="CG111" s="4"/>
      <c r="CH111" s="148">
        <f t="shared" ca="1" si="213"/>
        <v>2026</v>
      </c>
      <c r="CI111" s="121" t="str">
        <f t="shared" ca="1" si="214"/>
        <v>令和</v>
      </c>
      <c r="CJ111" s="122" t="str">
        <f t="shared" ca="1" si="215"/>
        <v>R</v>
      </c>
      <c r="CK111" s="122" t="str">
        <f t="shared" ca="1" si="216"/>
        <v>8</v>
      </c>
      <c r="CL111" s="122">
        <f t="shared" ca="1" si="217"/>
        <v>10</v>
      </c>
      <c r="CM111" s="149">
        <f t="shared" ca="1" si="218"/>
        <v>24</v>
      </c>
      <c r="CN111" s="1"/>
      <c r="CO111" s="150">
        <f t="shared" ca="1" si="219"/>
        <v>46319</v>
      </c>
    </row>
    <row r="112" spans="1:93" ht="20.100000000000001" customHeight="1" x14ac:dyDescent="0.15">
      <c r="A112" s="7" t="str">
        <f>IF(B112="","",ROW()-ROW(会員表[#Headers]))</f>
        <v/>
      </c>
      <c r="B112" s="4" ph="1"/>
      <c r="C112" s="4" t="str" cm="1">
        <f t="array" ref="C112">_xlfn.LET(_xlpm.s,PHONETIC(B112),_xlpm.c,_xlfn.UNICODE(MID(_xlpm.s,_xlfn.SEQUENCE(LEN(_xlpm.s)),1)),IF(_xlpm.s="","",_xlfn.CONCAT(_xlfn.UNICHAR(_xlpm.c-96*(_xlpm.c&gt;=12449)*(_xlpm.c&lt;=12534)))))</f>
        <v/>
      </c>
      <c r="D112" s="4" t="str" cm="1">
        <f t="array" ref="D112">_xlfn.LET(_xlpm.s,PHONETIC(B112),_xlpm.c,_xlfn.UNICODE(MID(_xlpm.s,_xlfn.SEQUENCE(LEN(_xlpm.s)),1)),IF(_xlpm.s="","",_xlfn.CONCAT(_xlfn.UNICHAR(_xlpm.c+96*(_xlpm.c&gt;=12353)*(_xlpm.c&lt;=12438)))))</f>
        <v/>
      </c>
      <c r="E112" s="129" t="str">
        <f t="shared" ca="1" si="165"/>
        <v/>
      </c>
      <c r="F112" s="130" t="str">
        <f t="shared" si="166"/>
        <v/>
      </c>
      <c r="G112" s="130" t="str">
        <f t="shared" si="167"/>
        <v/>
      </c>
      <c r="H112" s="130" t="str">
        <f t="shared" si="168"/>
        <v/>
      </c>
      <c r="I112" s="131" t="str">
        <f t="shared" si="169"/>
        <v/>
      </c>
      <c r="J112" s="132" t="str">
        <f t="shared" si="170"/>
        <v/>
      </c>
      <c r="K112" s="121" t="str">
        <f t="shared" si="171"/>
        <v/>
      </c>
      <c r="L112" s="129" t="str">
        <f t="shared" si="172"/>
        <v/>
      </c>
      <c r="M112" s="7" t="str">
        <f t="shared" si="173"/>
        <v/>
      </c>
      <c r="N112" s="133"/>
      <c r="O112" s="8"/>
      <c r="P112" s="5" t="str">
        <f t="shared" si="174"/>
        <v/>
      </c>
      <c r="Q112" s="121" t="str">
        <f t="shared" si="175"/>
        <v/>
      </c>
      <c r="R112" s="121" t="str">
        <f t="shared" si="176"/>
        <v/>
      </c>
      <c r="S112" s="7" t="str">
        <f t="shared" si="177"/>
        <v/>
      </c>
      <c r="T112" s="5"/>
      <c r="U112" s="5" t="str">
        <f t="shared" si="178"/>
        <v/>
      </c>
      <c r="V112" s="121" t="str">
        <f t="shared" si="179"/>
        <v/>
      </c>
      <c r="W112" s="121" t="str">
        <f t="shared" si="180"/>
        <v/>
      </c>
      <c r="X112" s="7" t="str">
        <f t="shared" si="181"/>
        <v/>
      </c>
      <c r="Y112" s="136"/>
      <c r="Z112" s="5" t="str">
        <f t="shared" si="182"/>
        <v/>
      </c>
      <c r="AA112" s="137" t="s">
        <v>183</v>
      </c>
      <c r="AB112" s="7" t="str">
        <f t="shared" si="183"/>
        <v/>
      </c>
      <c r="AC112" s="9"/>
      <c r="AD112" s="4"/>
      <c r="AE112" s="138" t="str">
        <f t="shared" si="184"/>
        <v/>
      </c>
      <c r="AF112" s="139" t="str">
        <f t="shared" si="185"/>
        <v/>
      </c>
      <c r="AG112" s="139" t="str">
        <f t="shared" si="186"/>
        <v/>
      </c>
      <c r="AH112" s="139" t="str">
        <f t="shared" si="187"/>
        <v/>
      </c>
      <c r="AI112" s="139" t="str">
        <f t="shared" si="188"/>
        <v/>
      </c>
      <c r="AJ112" s="140" t="str">
        <f t="shared" si="189"/>
        <v/>
      </c>
      <c r="AK112" s="8"/>
      <c r="AL112" s="8" t="str">
        <f>IF(AM112="","",IF(各種設定金額!$B$7="","○○県",各種設定金額!$B$7))</f>
        <v/>
      </c>
      <c r="AM112" s="4"/>
      <c r="AN112" s="4"/>
      <c r="AO112" s="141" t="str">
        <f t="shared" si="190"/>
        <v/>
      </c>
      <c r="AP112" s="10"/>
      <c r="AQ112" s="129"/>
      <c r="AR112" s="142" t="s">
        <v>182</v>
      </c>
      <c r="AS112" s="131" t="str">
        <f t="shared" si="191"/>
        <v/>
      </c>
      <c r="AT112" s="132" t="str">
        <f t="shared" si="192"/>
        <v/>
      </c>
      <c r="AU112" s="132" t="str">
        <f t="shared" si="193"/>
        <v/>
      </c>
      <c r="AV112" s="132" t="str">
        <f t="shared" si="194"/>
        <v/>
      </c>
      <c r="AW112" s="132" t="str">
        <f t="shared" si="195"/>
        <v/>
      </c>
      <c r="AX112" s="143" t="str">
        <f t="shared" si="196"/>
        <v/>
      </c>
      <c r="AY112" s="144"/>
      <c r="AZ112" s="8" t="str">
        <f>IF(BA112="","",IF(各種設定金額!$B$7="","○○県",各種設定金額!$B$7))</f>
        <v/>
      </c>
      <c r="BA112" s="6"/>
      <c r="BB112" s="4"/>
      <c r="BC112" s="141" t="str">
        <f t="shared" si="197"/>
        <v/>
      </c>
      <c r="BD112" s="10"/>
      <c r="BE112" s="129"/>
      <c r="BF112" s="145" t="s">
        <v>63</v>
      </c>
      <c r="BG112" s="131" t="str">
        <f t="shared" si="198"/>
        <v/>
      </c>
      <c r="BH112" s="132" t="str">
        <f t="shared" si="199"/>
        <v/>
      </c>
      <c r="BI112" s="132" t="str">
        <f t="shared" si="200"/>
        <v/>
      </c>
      <c r="BJ112" s="132" t="str">
        <f t="shared" si="201"/>
        <v/>
      </c>
      <c r="BK112" s="132" t="str">
        <f t="shared" si="202"/>
        <v/>
      </c>
      <c r="BL112" s="132" t="str">
        <f t="shared" si="203"/>
        <v/>
      </c>
      <c r="BM112" s="146"/>
      <c r="BN112" s="8" t="str">
        <f>IF(BO112="","",IF(各種設定金額!$B$7="","○○県",各種設定金額!$B$7))</f>
        <v/>
      </c>
      <c r="BO112" s="6"/>
      <c r="BP112" s="4"/>
      <c r="BQ112" s="141" t="str">
        <f t="shared" si="204"/>
        <v/>
      </c>
      <c r="BR112" s="10"/>
      <c r="BS112" s="129"/>
      <c r="BT112" s="145" t="s">
        <v>63</v>
      </c>
      <c r="BU112" s="131" t="str">
        <f t="shared" si="205"/>
        <v/>
      </c>
      <c r="BV112" s="132" t="str">
        <f t="shared" si="206"/>
        <v/>
      </c>
      <c r="BW112" s="132" t="str">
        <f t="shared" si="207"/>
        <v/>
      </c>
      <c r="BX112" s="132" t="str">
        <f t="shared" si="208"/>
        <v/>
      </c>
      <c r="BY112" s="132" t="str">
        <f t="shared" si="209"/>
        <v/>
      </c>
      <c r="BZ112" s="132" t="str">
        <f t="shared" si="210"/>
        <v/>
      </c>
      <c r="CA112" s="146"/>
      <c r="CB112" s="10" t="str">
        <f t="shared" si="211"/>
        <v/>
      </c>
      <c r="CC112" s="7" t="str">
        <f t="shared" si="212"/>
        <v/>
      </c>
      <c r="CD112" s="147"/>
      <c r="CE112" s="147"/>
      <c r="CF112" s="6"/>
      <c r="CG112" s="4"/>
      <c r="CH112" s="148">
        <f t="shared" ca="1" si="213"/>
        <v>2026</v>
      </c>
      <c r="CI112" s="121" t="str">
        <f t="shared" ca="1" si="214"/>
        <v>令和</v>
      </c>
      <c r="CJ112" s="122" t="str">
        <f t="shared" ca="1" si="215"/>
        <v>R</v>
      </c>
      <c r="CK112" s="122" t="str">
        <f t="shared" ca="1" si="216"/>
        <v>8</v>
      </c>
      <c r="CL112" s="122">
        <f t="shared" ca="1" si="217"/>
        <v>10</v>
      </c>
      <c r="CM112" s="149">
        <f t="shared" ca="1" si="218"/>
        <v>24</v>
      </c>
      <c r="CN112" s="1"/>
      <c r="CO112" s="150">
        <f t="shared" ca="1" si="219"/>
        <v>46319</v>
      </c>
    </row>
    <row r="113" spans="1:93" ht="20.100000000000001" customHeight="1" x14ac:dyDescent="0.15">
      <c r="A113" s="7" t="str">
        <f>IF(B113="","",ROW()-ROW(会員表[#Headers]))</f>
        <v/>
      </c>
      <c r="B113" s="4" ph="1"/>
      <c r="C113" s="4" t="str" cm="1">
        <f t="array" ref="C113">_xlfn.LET(_xlpm.s,PHONETIC(B113),_xlpm.c,_xlfn.UNICODE(MID(_xlpm.s,_xlfn.SEQUENCE(LEN(_xlpm.s)),1)),IF(_xlpm.s="","",_xlfn.CONCAT(_xlfn.UNICHAR(_xlpm.c-96*(_xlpm.c&gt;=12449)*(_xlpm.c&lt;=12534)))))</f>
        <v/>
      </c>
      <c r="D113" s="4" t="str" cm="1">
        <f t="array" ref="D113">_xlfn.LET(_xlpm.s,PHONETIC(B113),_xlpm.c,_xlfn.UNICODE(MID(_xlpm.s,_xlfn.SEQUENCE(LEN(_xlpm.s)),1)),IF(_xlpm.s="","",_xlfn.CONCAT(_xlfn.UNICHAR(_xlpm.c+96*(_xlpm.c&gt;=12353)*(_xlpm.c&lt;=12438)))))</f>
        <v/>
      </c>
      <c r="E113" s="129" t="str">
        <f t="shared" ca="1" si="165"/>
        <v/>
      </c>
      <c r="F113" s="130" t="str">
        <f t="shared" si="166"/>
        <v/>
      </c>
      <c r="G113" s="130" t="str">
        <f t="shared" si="167"/>
        <v/>
      </c>
      <c r="H113" s="130" t="str">
        <f t="shared" si="168"/>
        <v/>
      </c>
      <c r="I113" s="131" t="str">
        <f t="shared" si="169"/>
        <v/>
      </c>
      <c r="J113" s="132" t="str">
        <f t="shared" si="170"/>
        <v/>
      </c>
      <c r="K113" s="121" t="str">
        <f t="shared" si="171"/>
        <v/>
      </c>
      <c r="L113" s="129" t="str">
        <f t="shared" si="172"/>
        <v/>
      </c>
      <c r="M113" s="7" t="str">
        <f t="shared" si="173"/>
        <v/>
      </c>
      <c r="N113" s="133"/>
      <c r="O113" s="8"/>
      <c r="P113" s="5" t="str">
        <f t="shared" si="174"/>
        <v/>
      </c>
      <c r="Q113" s="121" t="str">
        <f t="shared" si="175"/>
        <v/>
      </c>
      <c r="R113" s="121" t="str">
        <f t="shared" si="176"/>
        <v/>
      </c>
      <c r="S113" s="7" t="str">
        <f t="shared" si="177"/>
        <v/>
      </c>
      <c r="T113" s="5"/>
      <c r="U113" s="5" t="str">
        <f t="shared" si="178"/>
        <v/>
      </c>
      <c r="V113" s="121" t="str">
        <f t="shared" si="179"/>
        <v/>
      </c>
      <c r="W113" s="121" t="str">
        <f t="shared" si="180"/>
        <v/>
      </c>
      <c r="X113" s="7" t="str">
        <f t="shared" si="181"/>
        <v/>
      </c>
      <c r="Y113" s="136"/>
      <c r="Z113" s="5" t="str">
        <f t="shared" si="182"/>
        <v/>
      </c>
      <c r="AA113" s="137" t="s">
        <v>183</v>
      </c>
      <c r="AB113" s="7" t="str">
        <f t="shared" si="183"/>
        <v/>
      </c>
      <c r="AC113" s="9"/>
      <c r="AD113" s="4"/>
      <c r="AE113" s="138" t="str">
        <f t="shared" si="184"/>
        <v/>
      </c>
      <c r="AF113" s="139" t="str">
        <f t="shared" si="185"/>
        <v/>
      </c>
      <c r="AG113" s="139" t="str">
        <f t="shared" si="186"/>
        <v/>
      </c>
      <c r="AH113" s="139" t="str">
        <f t="shared" si="187"/>
        <v/>
      </c>
      <c r="AI113" s="139" t="str">
        <f t="shared" si="188"/>
        <v/>
      </c>
      <c r="AJ113" s="140" t="str">
        <f t="shared" si="189"/>
        <v/>
      </c>
      <c r="AK113" s="8"/>
      <c r="AL113" s="8" t="str">
        <f>IF(AM113="","",IF(各種設定金額!$B$7="","○○県",各種設定金額!$B$7))</f>
        <v/>
      </c>
      <c r="AM113" s="4"/>
      <c r="AN113" s="4"/>
      <c r="AO113" s="141" t="str">
        <f t="shared" si="190"/>
        <v/>
      </c>
      <c r="AP113" s="10"/>
      <c r="AQ113" s="129"/>
      <c r="AR113" s="142" t="s">
        <v>182</v>
      </c>
      <c r="AS113" s="131" t="str">
        <f t="shared" si="191"/>
        <v/>
      </c>
      <c r="AT113" s="132" t="str">
        <f t="shared" si="192"/>
        <v/>
      </c>
      <c r="AU113" s="132" t="str">
        <f t="shared" si="193"/>
        <v/>
      </c>
      <c r="AV113" s="132" t="str">
        <f t="shared" si="194"/>
        <v/>
      </c>
      <c r="AW113" s="132" t="str">
        <f t="shared" si="195"/>
        <v/>
      </c>
      <c r="AX113" s="143" t="str">
        <f t="shared" si="196"/>
        <v/>
      </c>
      <c r="AY113" s="144"/>
      <c r="AZ113" s="8" t="str">
        <f>IF(BA113="","",IF(各種設定金額!$B$7="","○○県",各種設定金額!$B$7))</f>
        <v/>
      </c>
      <c r="BA113" s="6"/>
      <c r="BB113" s="4"/>
      <c r="BC113" s="141" t="str">
        <f t="shared" si="197"/>
        <v/>
      </c>
      <c r="BD113" s="10"/>
      <c r="BE113" s="129"/>
      <c r="BF113" s="145" t="s">
        <v>63</v>
      </c>
      <c r="BG113" s="131" t="str">
        <f t="shared" si="198"/>
        <v/>
      </c>
      <c r="BH113" s="132" t="str">
        <f t="shared" si="199"/>
        <v/>
      </c>
      <c r="BI113" s="132" t="str">
        <f t="shared" si="200"/>
        <v/>
      </c>
      <c r="BJ113" s="132" t="str">
        <f t="shared" si="201"/>
        <v/>
      </c>
      <c r="BK113" s="132" t="str">
        <f t="shared" si="202"/>
        <v/>
      </c>
      <c r="BL113" s="132" t="str">
        <f t="shared" si="203"/>
        <v/>
      </c>
      <c r="BM113" s="146"/>
      <c r="BN113" s="8" t="str">
        <f>IF(BO113="","",IF(各種設定金額!$B$7="","○○県",各種設定金額!$B$7))</f>
        <v/>
      </c>
      <c r="BO113" s="6"/>
      <c r="BP113" s="4"/>
      <c r="BQ113" s="141" t="str">
        <f t="shared" si="204"/>
        <v/>
      </c>
      <c r="BR113" s="10"/>
      <c r="BS113" s="129"/>
      <c r="BT113" s="145" t="s">
        <v>63</v>
      </c>
      <c r="BU113" s="131" t="str">
        <f t="shared" si="205"/>
        <v/>
      </c>
      <c r="BV113" s="132" t="str">
        <f t="shared" si="206"/>
        <v/>
      </c>
      <c r="BW113" s="132" t="str">
        <f t="shared" si="207"/>
        <v/>
      </c>
      <c r="BX113" s="132" t="str">
        <f t="shared" si="208"/>
        <v/>
      </c>
      <c r="BY113" s="132" t="str">
        <f t="shared" si="209"/>
        <v/>
      </c>
      <c r="BZ113" s="132" t="str">
        <f t="shared" si="210"/>
        <v/>
      </c>
      <c r="CA113" s="146"/>
      <c r="CB113" s="10" t="str">
        <f t="shared" si="211"/>
        <v/>
      </c>
      <c r="CC113" s="7" t="str">
        <f t="shared" si="212"/>
        <v/>
      </c>
      <c r="CD113" s="147"/>
      <c r="CE113" s="147"/>
      <c r="CF113" s="6"/>
      <c r="CG113" s="4"/>
      <c r="CH113" s="148">
        <f t="shared" ca="1" si="213"/>
        <v>2026</v>
      </c>
      <c r="CI113" s="121" t="str">
        <f t="shared" ca="1" si="214"/>
        <v>令和</v>
      </c>
      <c r="CJ113" s="122" t="str">
        <f t="shared" ca="1" si="215"/>
        <v>R</v>
      </c>
      <c r="CK113" s="122" t="str">
        <f t="shared" ca="1" si="216"/>
        <v>8</v>
      </c>
      <c r="CL113" s="122">
        <f t="shared" ca="1" si="217"/>
        <v>10</v>
      </c>
      <c r="CM113" s="149">
        <f t="shared" ca="1" si="218"/>
        <v>24</v>
      </c>
      <c r="CN113" s="1"/>
      <c r="CO113" s="150">
        <f t="shared" ca="1" si="219"/>
        <v>46319</v>
      </c>
    </row>
    <row r="114" spans="1:93" ht="20.100000000000001" customHeight="1" x14ac:dyDescent="0.15">
      <c r="A114" s="7" t="str">
        <f>IF(B114="","",ROW()-ROW(会員表[#Headers]))</f>
        <v/>
      </c>
      <c r="B114" s="4" ph="1"/>
      <c r="C114" s="4" t="str" cm="1">
        <f t="array" ref="C114">_xlfn.LET(_xlpm.s,PHONETIC(B114),_xlpm.c,_xlfn.UNICODE(MID(_xlpm.s,_xlfn.SEQUENCE(LEN(_xlpm.s)),1)),IF(_xlpm.s="","",_xlfn.CONCAT(_xlfn.UNICHAR(_xlpm.c-96*(_xlpm.c&gt;=12449)*(_xlpm.c&lt;=12534)))))</f>
        <v/>
      </c>
      <c r="D114" s="4" t="str" cm="1">
        <f t="array" ref="D114">_xlfn.LET(_xlpm.s,PHONETIC(B114),_xlpm.c,_xlfn.UNICODE(MID(_xlpm.s,_xlfn.SEQUENCE(LEN(_xlpm.s)),1)),IF(_xlpm.s="","",_xlfn.CONCAT(_xlfn.UNICHAR(_xlpm.c+96*(_xlpm.c&gt;=12353)*(_xlpm.c&lt;=12438)))))</f>
        <v/>
      </c>
      <c r="E114" s="129" t="str">
        <f t="shared" ca="1" si="165"/>
        <v/>
      </c>
      <c r="F114" s="130" t="str">
        <f t="shared" si="166"/>
        <v/>
      </c>
      <c r="G114" s="130" t="str">
        <f t="shared" si="167"/>
        <v/>
      </c>
      <c r="H114" s="130" t="str">
        <f t="shared" si="168"/>
        <v/>
      </c>
      <c r="I114" s="131" t="str">
        <f t="shared" si="169"/>
        <v/>
      </c>
      <c r="J114" s="132" t="str">
        <f t="shared" si="170"/>
        <v/>
      </c>
      <c r="K114" s="121" t="str">
        <f t="shared" si="171"/>
        <v/>
      </c>
      <c r="L114" s="129" t="str">
        <f t="shared" si="172"/>
        <v/>
      </c>
      <c r="M114" s="7" t="str">
        <f t="shared" si="173"/>
        <v/>
      </c>
      <c r="N114" s="133"/>
      <c r="O114" s="8"/>
      <c r="P114" s="5" t="str">
        <f t="shared" si="174"/>
        <v/>
      </c>
      <c r="Q114" s="121" t="str">
        <f t="shared" si="175"/>
        <v/>
      </c>
      <c r="R114" s="121" t="str">
        <f t="shared" si="176"/>
        <v/>
      </c>
      <c r="S114" s="7" t="str">
        <f t="shared" si="177"/>
        <v/>
      </c>
      <c r="T114" s="5"/>
      <c r="U114" s="5" t="str">
        <f t="shared" si="178"/>
        <v/>
      </c>
      <c r="V114" s="121" t="str">
        <f t="shared" si="179"/>
        <v/>
      </c>
      <c r="W114" s="121" t="str">
        <f t="shared" si="180"/>
        <v/>
      </c>
      <c r="X114" s="7" t="str">
        <f t="shared" si="181"/>
        <v/>
      </c>
      <c r="Y114" s="136"/>
      <c r="Z114" s="5" t="str">
        <f t="shared" si="182"/>
        <v/>
      </c>
      <c r="AA114" s="137" t="s">
        <v>183</v>
      </c>
      <c r="AB114" s="7" t="str">
        <f t="shared" si="183"/>
        <v/>
      </c>
      <c r="AC114" s="9"/>
      <c r="AD114" s="4"/>
      <c r="AE114" s="138" t="str">
        <f t="shared" si="184"/>
        <v/>
      </c>
      <c r="AF114" s="139" t="str">
        <f t="shared" si="185"/>
        <v/>
      </c>
      <c r="AG114" s="139" t="str">
        <f t="shared" si="186"/>
        <v/>
      </c>
      <c r="AH114" s="139" t="str">
        <f t="shared" si="187"/>
        <v/>
      </c>
      <c r="AI114" s="139" t="str">
        <f t="shared" si="188"/>
        <v/>
      </c>
      <c r="AJ114" s="140" t="str">
        <f t="shared" si="189"/>
        <v/>
      </c>
      <c r="AK114" s="8"/>
      <c r="AL114" s="8" t="str">
        <f>IF(AM114="","",IF(各種設定金額!$B$7="","○○県",各種設定金額!$B$7))</f>
        <v/>
      </c>
      <c r="AM114" s="4"/>
      <c r="AN114" s="4"/>
      <c r="AO114" s="141" t="str">
        <f t="shared" si="190"/>
        <v/>
      </c>
      <c r="AP114" s="10"/>
      <c r="AQ114" s="129"/>
      <c r="AR114" s="142" t="s">
        <v>182</v>
      </c>
      <c r="AS114" s="131" t="str">
        <f t="shared" si="191"/>
        <v/>
      </c>
      <c r="AT114" s="132" t="str">
        <f t="shared" si="192"/>
        <v/>
      </c>
      <c r="AU114" s="132" t="str">
        <f t="shared" si="193"/>
        <v/>
      </c>
      <c r="AV114" s="132" t="str">
        <f t="shared" si="194"/>
        <v/>
      </c>
      <c r="AW114" s="132" t="str">
        <f t="shared" si="195"/>
        <v/>
      </c>
      <c r="AX114" s="143" t="str">
        <f t="shared" si="196"/>
        <v/>
      </c>
      <c r="AY114" s="144"/>
      <c r="AZ114" s="8" t="str">
        <f>IF(BA114="","",IF(各種設定金額!$B$7="","○○県",各種設定金額!$B$7))</f>
        <v/>
      </c>
      <c r="BA114" s="6"/>
      <c r="BB114" s="4"/>
      <c r="BC114" s="141" t="str">
        <f t="shared" si="197"/>
        <v/>
      </c>
      <c r="BD114" s="10"/>
      <c r="BE114" s="129"/>
      <c r="BF114" s="145" t="s">
        <v>63</v>
      </c>
      <c r="BG114" s="131" t="str">
        <f t="shared" si="198"/>
        <v/>
      </c>
      <c r="BH114" s="132" t="str">
        <f t="shared" si="199"/>
        <v/>
      </c>
      <c r="BI114" s="132" t="str">
        <f t="shared" si="200"/>
        <v/>
      </c>
      <c r="BJ114" s="132" t="str">
        <f t="shared" si="201"/>
        <v/>
      </c>
      <c r="BK114" s="132" t="str">
        <f t="shared" si="202"/>
        <v/>
      </c>
      <c r="BL114" s="132" t="str">
        <f t="shared" si="203"/>
        <v/>
      </c>
      <c r="BM114" s="146"/>
      <c r="BN114" s="8" t="str">
        <f>IF(BO114="","",IF(各種設定金額!$B$7="","○○県",各種設定金額!$B$7))</f>
        <v/>
      </c>
      <c r="BO114" s="6"/>
      <c r="BP114" s="4"/>
      <c r="BQ114" s="141" t="str">
        <f t="shared" si="204"/>
        <v/>
      </c>
      <c r="BR114" s="10"/>
      <c r="BS114" s="129"/>
      <c r="BT114" s="145" t="s">
        <v>63</v>
      </c>
      <c r="BU114" s="131" t="str">
        <f t="shared" si="205"/>
        <v/>
      </c>
      <c r="BV114" s="132" t="str">
        <f t="shared" si="206"/>
        <v/>
      </c>
      <c r="BW114" s="132" t="str">
        <f t="shared" si="207"/>
        <v/>
      </c>
      <c r="BX114" s="132" t="str">
        <f t="shared" si="208"/>
        <v/>
      </c>
      <c r="BY114" s="132" t="str">
        <f t="shared" si="209"/>
        <v/>
      </c>
      <c r="BZ114" s="132" t="str">
        <f t="shared" si="210"/>
        <v/>
      </c>
      <c r="CA114" s="146"/>
      <c r="CB114" s="10" t="str">
        <f t="shared" si="211"/>
        <v/>
      </c>
      <c r="CC114" s="7" t="str">
        <f t="shared" si="212"/>
        <v/>
      </c>
      <c r="CD114" s="147"/>
      <c r="CE114" s="147"/>
      <c r="CF114" s="6"/>
      <c r="CG114" s="4"/>
      <c r="CH114" s="148">
        <f t="shared" ca="1" si="213"/>
        <v>2026</v>
      </c>
      <c r="CI114" s="121" t="str">
        <f t="shared" ca="1" si="214"/>
        <v>令和</v>
      </c>
      <c r="CJ114" s="122" t="str">
        <f t="shared" ca="1" si="215"/>
        <v>R</v>
      </c>
      <c r="CK114" s="122" t="str">
        <f t="shared" ca="1" si="216"/>
        <v>8</v>
      </c>
      <c r="CL114" s="122">
        <f t="shared" ca="1" si="217"/>
        <v>10</v>
      </c>
      <c r="CM114" s="149">
        <f t="shared" ca="1" si="218"/>
        <v>24</v>
      </c>
      <c r="CN114" s="1"/>
      <c r="CO114" s="150">
        <f t="shared" ca="1" si="219"/>
        <v>46319</v>
      </c>
    </row>
    <row r="115" spans="1:93" ht="20.100000000000001" customHeight="1" x14ac:dyDescent="0.15">
      <c r="A115" s="7" t="str">
        <f>IF(B115="","",ROW()-ROW(会員表[#Headers]))</f>
        <v/>
      </c>
      <c r="B115" s="4" ph="1"/>
      <c r="C115" s="4" t="str" cm="1">
        <f t="array" ref="C115">_xlfn.LET(_xlpm.s,PHONETIC(B115),_xlpm.c,_xlfn.UNICODE(MID(_xlpm.s,_xlfn.SEQUENCE(LEN(_xlpm.s)),1)),IF(_xlpm.s="","",_xlfn.CONCAT(_xlfn.UNICHAR(_xlpm.c-96*(_xlpm.c&gt;=12449)*(_xlpm.c&lt;=12534)))))</f>
        <v/>
      </c>
      <c r="D115" s="4" t="str" cm="1">
        <f t="array" ref="D115">_xlfn.LET(_xlpm.s,PHONETIC(B115),_xlpm.c,_xlfn.UNICODE(MID(_xlpm.s,_xlfn.SEQUENCE(LEN(_xlpm.s)),1)),IF(_xlpm.s="","",_xlfn.CONCAT(_xlfn.UNICHAR(_xlpm.c+96*(_xlpm.c&gt;=12353)*(_xlpm.c&lt;=12438)))))</f>
        <v/>
      </c>
      <c r="E115" s="129" t="str">
        <f t="shared" ca="1" si="165"/>
        <v/>
      </c>
      <c r="F115" s="130" t="str">
        <f t="shared" si="166"/>
        <v/>
      </c>
      <c r="G115" s="130" t="str">
        <f t="shared" si="167"/>
        <v/>
      </c>
      <c r="H115" s="130" t="str">
        <f t="shared" si="168"/>
        <v/>
      </c>
      <c r="I115" s="131" t="str">
        <f t="shared" si="169"/>
        <v/>
      </c>
      <c r="J115" s="132" t="str">
        <f t="shared" si="170"/>
        <v/>
      </c>
      <c r="K115" s="121" t="str">
        <f t="shared" si="171"/>
        <v/>
      </c>
      <c r="L115" s="129" t="str">
        <f t="shared" si="172"/>
        <v/>
      </c>
      <c r="M115" s="7" t="str">
        <f t="shared" si="173"/>
        <v/>
      </c>
      <c r="N115" s="133"/>
      <c r="O115" s="8"/>
      <c r="P115" s="5" t="str">
        <f t="shared" si="174"/>
        <v/>
      </c>
      <c r="Q115" s="121" t="str">
        <f t="shared" si="175"/>
        <v/>
      </c>
      <c r="R115" s="121" t="str">
        <f t="shared" si="176"/>
        <v/>
      </c>
      <c r="S115" s="7" t="str">
        <f t="shared" si="177"/>
        <v/>
      </c>
      <c r="T115" s="5"/>
      <c r="U115" s="5" t="str">
        <f t="shared" si="178"/>
        <v/>
      </c>
      <c r="V115" s="121" t="str">
        <f t="shared" si="179"/>
        <v/>
      </c>
      <c r="W115" s="121" t="str">
        <f t="shared" si="180"/>
        <v/>
      </c>
      <c r="X115" s="7" t="str">
        <f t="shared" si="181"/>
        <v/>
      </c>
      <c r="Y115" s="136"/>
      <c r="Z115" s="5" t="str">
        <f t="shared" si="182"/>
        <v/>
      </c>
      <c r="AA115" s="137" t="s">
        <v>183</v>
      </c>
      <c r="AB115" s="7" t="str">
        <f t="shared" si="183"/>
        <v/>
      </c>
      <c r="AC115" s="9"/>
      <c r="AD115" s="4"/>
      <c r="AE115" s="138" t="str">
        <f t="shared" si="184"/>
        <v/>
      </c>
      <c r="AF115" s="139" t="str">
        <f t="shared" si="185"/>
        <v/>
      </c>
      <c r="AG115" s="139" t="str">
        <f t="shared" si="186"/>
        <v/>
      </c>
      <c r="AH115" s="139" t="str">
        <f t="shared" si="187"/>
        <v/>
      </c>
      <c r="AI115" s="139" t="str">
        <f t="shared" si="188"/>
        <v/>
      </c>
      <c r="AJ115" s="140" t="str">
        <f t="shared" si="189"/>
        <v/>
      </c>
      <c r="AK115" s="8"/>
      <c r="AL115" s="8" t="str">
        <f>IF(AM115="","",IF(各種設定金額!$B$7="","○○県",各種設定金額!$B$7))</f>
        <v/>
      </c>
      <c r="AM115" s="4"/>
      <c r="AN115" s="4"/>
      <c r="AO115" s="141" t="str">
        <f t="shared" si="190"/>
        <v/>
      </c>
      <c r="AP115" s="10"/>
      <c r="AQ115" s="129"/>
      <c r="AR115" s="142" t="s">
        <v>182</v>
      </c>
      <c r="AS115" s="131" t="str">
        <f t="shared" si="191"/>
        <v/>
      </c>
      <c r="AT115" s="132" t="str">
        <f t="shared" si="192"/>
        <v/>
      </c>
      <c r="AU115" s="132" t="str">
        <f t="shared" si="193"/>
        <v/>
      </c>
      <c r="AV115" s="132" t="str">
        <f t="shared" si="194"/>
        <v/>
      </c>
      <c r="AW115" s="132" t="str">
        <f t="shared" si="195"/>
        <v/>
      </c>
      <c r="AX115" s="143" t="str">
        <f t="shared" si="196"/>
        <v/>
      </c>
      <c r="AY115" s="144"/>
      <c r="AZ115" s="8" t="str">
        <f>IF(BA115="","",IF(各種設定金額!$B$7="","○○県",各種設定金額!$B$7))</f>
        <v/>
      </c>
      <c r="BA115" s="6"/>
      <c r="BB115" s="4"/>
      <c r="BC115" s="141" t="str">
        <f t="shared" si="197"/>
        <v/>
      </c>
      <c r="BD115" s="10"/>
      <c r="BE115" s="129"/>
      <c r="BF115" s="145" t="s">
        <v>63</v>
      </c>
      <c r="BG115" s="131" t="str">
        <f t="shared" si="198"/>
        <v/>
      </c>
      <c r="BH115" s="132" t="str">
        <f t="shared" si="199"/>
        <v/>
      </c>
      <c r="BI115" s="132" t="str">
        <f t="shared" si="200"/>
        <v/>
      </c>
      <c r="BJ115" s="132" t="str">
        <f t="shared" si="201"/>
        <v/>
      </c>
      <c r="BK115" s="132" t="str">
        <f t="shared" si="202"/>
        <v/>
      </c>
      <c r="BL115" s="132" t="str">
        <f t="shared" si="203"/>
        <v/>
      </c>
      <c r="BM115" s="146"/>
      <c r="BN115" s="8" t="str">
        <f>IF(BO115="","",IF(各種設定金額!$B$7="","○○県",各種設定金額!$B$7))</f>
        <v/>
      </c>
      <c r="BO115" s="6"/>
      <c r="BP115" s="4"/>
      <c r="BQ115" s="141" t="str">
        <f t="shared" si="204"/>
        <v/>
      </c>
      <c r="BR115" s="10"/>
      <c r="BS115" s="129"/>
      <c r="BT115" s="145" t="s">
        <v>63</v>
      </c>
      <c r="BU115" s="131" t="str">
        <f t="shared" si="205"/>
        <v/>
      </c>
      <c r="BV115" s="132" t="str">
        <f t="shared" si="206"/>
        <v/>
      </c>
      <c r="BW115" s="132" t="str">
        <f t="shared" si="207"/>
        <v/>
      </c>
      <c r="BX115" s="132" t="str">
        <f t="shared" si="208"/>
        <v/>
      </c>
      <c r="BY115" s="132" t="str">
        <f t="shared" si="209"/>
        <v/>
      </c>
      <c r="BZ115" s="132" t="str">
        <f t="shared" si="210"/>
        <v/>
      </c>
      <c r="CA115" s="146"/>
      <c r="CB115" s="10" t="str">
        <f t="shared" si="211"/>
        <v/>
      </c>
      <c r="CC115" s="7" t="str">
        <f t="shared" si="212"/>
        <v/>
      </c>
      <c r="CD115" s="147"/>
      <c r="CE115" s="147"/>
      <c r="CF115" s="6"/>
      <c r="CG115" s="4"/>
      <c r="CH115" s="148">
        <f t="shared" ca="1" si="213"/>
        <v>2026</v>
      </c>
      <c r="CI115" s="121" t="str">
        <f t="shared" ca="1" si="214"/>
        <v>令和</v>
      </c>
      <c r="CJ115" s="122" t="str">
        <f t="shared" ca="1" si="215"/>
        <v>R</v>
      </c>
      <c r="CK115" s="122" t="str">
        <f t="shared" ca="1" si="216"/>
        <v>8</v>
      </c>
      <c r="CL115" s="122">
        <f t="shared" ca="1" si="217"/>
        <v>10</v>
      </c>
      <c r="CM115" s="149">
        <f t="shared" ca="1" si="218"/>
        <v>24</v>
      </c>
      <c r="CN115" s="1"/>
      <c r="CO115" s="150">
        <f t="shared" ca="1" si="219"/>
        <v>46319</v>
      </c>
    </row>
    <row r="116" spans="1:93" ht="20.100000000000001" customHeight="1" x14ac:dyDescent="0.15">
      <c r="A116" s="7" t="str">
        <f>IF(B116="","",ROW()-ROW(会員表[#Headers]))</f>
        <v/>
      </c>
      <c r="B116" s="4" ph="1"/>
      <c r="C116" s="4" t="str" cm="1">
        <f t="array" ref="C116">_xlfn.LET(_xlpm.s,PHONETIC(B116),_xlpm.c,_xlfn.UNICODE(MID(_xlpm.s,_xlfn.SEQUENCE(LEN(_xlpm.s)),1)),IF(_xlpm.s="","",_xlfn.CONCAT(_xlfn.UNICHAR(_xlpm.c-96*(_xlpm.c&gt;=12449)*(_xlpm.c&lt;=12534)))))</f>
        <v/>
      </c>
      <c r="D116" s="4" t="str" cm="1">
        <f t="array" ref="D116">_xlfn.LET(_xlpm.s,PHONETIC(B116),_xlpm.c,_xlfn.UNICODE(MID(_xlpm.s,_xlfn.SEQUENCE(LEN(_xlpm.s)),1)),IF(_xlpm.s="","",_xlfn.CONCAT(_xlfn.UNICHAR(_xlpm.c+96*(_xlpm.c&gt;=12353)*(_xlpm.c&lt;=12438)))))</f>
        <v/>
      </c>
      <c r="E116" s="129" t="str">
        <f t="shared" ca="1" si="165"/>
        <v/>
      </c>
      <c r="F116" s="130" t="str">
        <f t="shared" si="166"/>
        <v/>
      </c>
      <c r="G116" s="130" t="str">
        <f t="shared" si="167"/>
        <v/>
      </c>
      <c r="H116" s="130" t="str">
        <f t="shared" si="168"/>
        <v/>
      </c>
      <c r="I116" s="131" t="str">
        <f t="shared" si="169"/>
        <v/>
      </c>
      <c r="J116" s="132" t="str">
        <f t="shared" si="170"/>
        <v/>
      </c>
      <c r="K116" s="121" t="str">
        <f t="shared" si="171"/>
        <v/>
      </c>
      <c r="L116" s="129" t="str">
        <f t="shared" si="172"/>
        <v/>
      </c>
      <c r="M116" s="7" t="str">
        <f t="shared" si="173"/>
        <v/>
      </c>
      <c r="N116" s="133"/>
      <c r="O116" s="8"/>
      <c r="P116" s="5" t="str">
        <f t="shared" si="174"/>
        <v/>
      </c>
      <c r="Q116" s="121" t="str">
        <f t="shared" si="175"/>
        <v/>
      </c>
      <c r="R116" s="121" t="str">
        <f t="shared" si="176"/>
        <v/>
      </c>
      <c r="S116" s="7" t="str">
        <f t="shared" si="177"/>
        <v/>
      </c>
      <c r="T116" s="5"/>
      <c r="U116" s="5" t="str">
        <f t="shared" si="178"/>
        <v/>
      </c>
      <c r="V116" s="121" t="str">
        <f t="shared" si="179"/>
        <v/>
      </c>
      <c r="W116" s="121" t="str">
        <f t="shared" si="180"/>
        <v/>
      </c>
      <c r="X116" s="7" t="str">
        <f t="shared" si="181"/>
        <v/>
      </c>
      <c r="Y116" s="136"/>
      <c r="Z116" s="5" t="str">
        <f t="shared" si="182"/>
        <v/>
      </c>
      <c r="AA116" s="137" t="s">
        <v>183</v>
      </c>
      <c r="AB116" s="7" t="str">
        <f t="shared" si="183"/>
        <v/>
      </c>
      <c r="AC116" s="9"/>
      <c r="AD116" s="4"/>
      <c r="AE116" s="138" t="str">
        <f t="shared" si="184"/>
        <v/>
      </c>
      <c r="AF116" s="139" t="str">
        <f t="shared" si="185"/>
        <v/>
      </c>
      <c r="AG116" s="139" t="str">
        <f t="shared" si="186"/>
        <v/>
      </c>
      <c r="AH116" s="139" t="str">
        <f t="shared" si="187"/>
        <v/>
      </c>
      <c r="AI116" s="139" t="str">
        <f t="shared" si="188"/>
        <v/>
      </c>
      <c r="AJ116" s="140" t="str">
        <f t="shared" si="189"/>
        <v/>
      </c>
      <c r="AK116" s="8"/>
      <c r="AL116" s="8" t="str">
        <f>IF(AM116="","",IF(各種設定金額!$B$7="","○○県",各種設定金額!$B$7))</f>
        <v/>
      </c>
      <c r="AM116" s="4"/>
      <c r="AN116" s="4"/>
      <c r="AO116" s="141" t="str">
        <f t="shared" si="190"/>
        <v/>
      </c>
      <c r="AP116" s="10"/>
      <c r="AQ116" s="129"/>
      <c r="AR116" s="142" t="s">
        <v>182</v>
      </c>
      <c r="AS116" s="131" t="str">
        <f t="shared" si="191"/>
        <v/>
      </c>
      <c r="AT116" s="132" t="str">
        <f t="shared" si="192"/>
        <v/>
      </c>
      <c r="AU116" s="132" t="str">
        <f t="shared" si="193"/>
        <v/>
      </c>
      <c r="AV116" s="132" t="str">
        <f t="shared" si="194"/>
        <v/>
      </c>
      <c r="AW116" s="132" t="str">
        <f t="shared" si="195"/>
        <v/>
      </c>
      <c r="AX116" s="143" t="str">
        <f t="shared" si="196"/>
        <v/>
      </c>
      <c r="AY116" s="144"/>
      <c r="AZ116" s="8" t="str">
        <f>IF(BA116="","",IF(各種設定金額!$B$7="","○○県",各種設定金額!$B$7))</f>
        <v/>
      </c>
      <c r="BA116" s="6"/>
      <c r="BB116" s="4"/>
      <c r="BC116" s="141" t="str">
        <f t="shared" si="197"/>
        <v/>
      </c>
      <c r="BD116" s="10"/>
      <c r="BE116" s="129"/>
      <c r="BF116" s="145" t="s">
        <v>63</v>
      </c>
      <c r="BG116" s="131" t="str">
        <f t="shared" si="198"/>
        <v/>
      </c>
      <c r="BH116" s="132" t="str">
        <f t="shared" si="199"/>
        <v/>
      </c>
      <c r="BI116" s="132" t="str">
        <f t="shared" si="200"/>
        <v/>
      </c>
      <c r="BJ116" s="132" t="str">
        <f t="shared" si="201"/>
        <v/>
      </c>
      <c r="BK116" s="132" t="str">
        <f t="shared" si="202"/>
        <v/>
      </c>
      <c r="BL116" s="132" t="str">
        <f t="shared" si="203"/>
        <v/>
      </c>
      <c r="BM116" s="146"/>
      <c r="BN116" s="8" t="str">
        <f>IF(BO116="","",IF(各種設定金額!$B$7="","○○県",各種設定金額!$B$7))</f>
        <v/>
      </c>
      <c r="BO116" s="6"/>
      <c r="BP116" s="4"/>
      <c r="BQ116" s="141" t="str">
        <f t="shared" si="204"/>
        <v/>
      </c>
      <c r="BR116" s="10"/>
      <c r="BS116" s="129"/>
      <c r="BT116" s="145" t="s">
        <v>63</v>
      </c>
      <c r="BU116" s="131" t="str">
        <f t="shared" si="205"/>
        <v/>
      </c>
      <c r="BV116" s="132" t="str">
        <f t="shared" si="206"/>
        <v/>
      </c>
      <c r="BW116" s="132" t="str">
        <f t="shared" si="207"/>
        <v/>
      </c>
      <c r="BX116" s="132" t="str">
        <f t="shared" si="208"/>
        <v/>
      </c>
      <c r="BY116" s="132" t="str">
        <f t="shared" si="209"/>
        <v/>
      </c>
      <c r="BZ116" s="132" t="str">
        <f t="shared" si="210"/>
        <v/>
      </c>
      <c r="CA116" s="146"/>
      <c r="CB116" s="10" t="str">
        <f t="shared" si="211"/>
        <v/>
      </c>
      <c r="CC116" s="7" t="str">
        <f t="shared" si="212"/>
        <v/>
      </c>
      <c r="CD116" s="147"/>
      <c r="CE116" s="147"/>
      <c r="CF116" s="6"/>
      <c r="CG116" s="4"/>
      <c r="CH116" s="148">
        <f t="shared" ca="1" si="213"/>
        <v>2026</v>
      </c>
      <c r="CI116" s="121" t="str">
        <f t="shared" ca="1" si="214"/>
        <v>令和</v>
      </c>
      <c r="CJ116" s="122" t="str">
        <f t="shared" ca="1" si="215"/>
        <v>R</v>
      </c>
      <c r="CK116" s="122" t="str">
        <f t="shared" ca="1" si="216"/>
        <v>8</v>
      </c>
      <c r="CL116" s="122">
        <f t="shared" ca="1" si="217"/>
        <v>10</v>
      </c>
      <c r="CM116" s="149">
        <f t="shared" ca="1" si="218"/>
        <v>24</v>
      </c>
      <c r="CN116" s="1"/>
      <c r="CO116" s="150">
        <f t="shared" ca="1" si="219"/>
        <v>46319</v>
      </c>
    </row>
    <row r="117" spans="1:93" ht="20.100000000000001" customHeight="1" x14ac:dyDescent="0.15">
      <c r="A117" s="7" t="str">
        <f>IF(B117="","",ROW()-ROW(会員表[#Headers]))</f>
        <v/>
      </c>
      <c r="B117" s="4" ph="1"/>
      <c r="C117" s="4" t="str" cm="1">
        <f t="array" ref="C117">_xlfn.LET(_xlpm.s,PHONETIC(B117),_xlpm.c,_xlfn.UNICODE(MID(_xlpm.s,_xlfn.SEQUENCE(LEN(_xlpm.s)),1)),IF(_xlpm.s="","",_xlfn.CONCAT(_xlfn.UNICHAR(_xlpm.c-96*(_xlpm.c&gt;=12449)*(_xlpm.c&lt;=12534)))))</f>
        <v/>
      </c>
      <c r="D117" s="4" t="str" cm="1">
        <f t="array" ref="D117">_xlfn.LET(_xlpm.s,PHONETIC(B117),_xlpm.c,_xlfn.UNICODE(MID(_xlpm.s,_xlfn.SEQUENCE(LEN(_xlpm.s)),1)),IF(_xlpm.s="","",_xlfn.CONCAT(_xlfn.UNICHAR(_xlpm.c+96*(_xlpm.c&gt;=12353)*(_xlpm.c&lt;=12438)))))</f>
        <v/>
      </c>
      <c r="E117" s="129" t="str">
        <f t="shared" ca="1" si="165"/>
        <v/>
      </c>
      <c r="F117" s="130" t="str">
        <f t="shared" si="166"/>
        <v/>
      </c>
      <c r="G117" s="130" t="str">
        <f t="shared" si="167"/>
        <v/>
      </c>
      <c r="H117" s="130" t="str">
        <f t="shared" si="168"/>
        <v/>
      </c>
      <c r="I117" s="131" t="str">
        <f t="shared" si="169"/>
        <v/>
      </c>
      <c r="J117" s="132" t="str">
        <f t="shared" si="170"/>
        <v/>
      </c>
      <c r="K117" s="121" t="str">
        <f t="shared" si="171"/>
        <v/>
      </c>
      <c r="L117" s="129" t="str">
        <f t="shared" si="172"/>
        <v/>
      </c>
      <c r="M117" s="7" t="str">
        <f t="shared" si="173"/>
        <v/>
      </c>
      <c r="N117" s="133"/>
      <c r="O117" s="8"/>
      <c r="P117" s="5" t="str">
        <f t="shared" si="174"/>
        <v/>
      </c>
      <c r="Q117" s="121" t="str">
        <f t="shared" si="175"/>
        <v/>
      </c>
      <c r="R117" s="121" t="str">
        <f t="shared" si="176"/>
        <v/>
      </c>
      <c r="S117" s="7" t="str">
        <f t="shared" si="177"/>
        <v/>
      </c>
      <c r="T117" s="5"/>
      <c r="U117" s="5" t="str">
        <f t="shared" si="178"/>
        <v/>
      </c>
      <c r="V117" s="121" t="str">
        <f t="shared" si="179"/>
        <v/>
      </c>
      <c r="W117" s="121" t="str">
        <f t="shared" si="180"/>
        <v/>
      </c>
      <c r="X117" s="7" t="str">
        <f t="shared" si="181"/>
        <v/>
      </c>
      <c r="Y117" s="136"/>
      <c r="Z117" s="5" t="str">
        <f t="shared" si="182"/>
        <v/>
      </c>
      <c r="AA117" s="137" t="s">
        <v>183</v>
      </c>
      <c r="AB117" s="7" t="str">
        <f t="shared" si="183"/>
        <v/>
      </c>
      <c r="AC117" s="9"/>
      <c r="AD117" s="4"/>
      <c r="AE117" s="138" t="str">
        <f t="shared" si="184"/>
        <v/>
      </c>
      <c r="AF117" s="139" t="str">
        <f t="shared" si="185"/>
        <v/>
      </c>
      <c r="AG117" s="139" t="str">
        <f t="shared" si="186"/>
        <v/>
      </c>
      <c r="AH117" s="139" t="str">
        <f t="shared" si="187"/>
        <v/>
      </c>
      <c r="AI117" s="139" t="str">
        <f t="shared" si="188"/>
        <v/>
      </c>
      <c r="AJ117" s="140" t="str">
        <f t="shared" si="189"/>
        <v/>
      </c>
      <c r="AK117" s="8"/>
      <c r="AL117" s="8" t="str">
        <f>IF(AM117="","",IF(各種設定金額!$B$7="","○○県",各種設定金額!$B$7))</f>
        <v/>
      </c>
      <c r="AM117" s="4"/>
      <c r="AN117" s="4"/>
      <c r="AO117" s="141" t="str">
        <f t="shared" si="190"/>
        <v/>
      </c>
      <c r="AP117" s="10"/>
      <c r="AQ117" s="129"/>
      <c r="AR117" s="142" t="s">
        <v>182</v>
      </c>
      <c r="AS117" s="131" t="str">
        <f t="shared" si="191"/>
        <v/>
      </c>
      <c r="AT117" s="132" t="str">
        <f t="shared" si="192"/>
        <v/>
      </c>
      <c r="AU117" s="132" t="str">
        <f t="shared" si="193"/>
        <v/>
      </c>
      <c r="AV117" s="132" t="str">
        <f t="shared" si="194"/>
        <v/>
      </c>
      <c r="AW117" s="132" t="str">
        <f t="shared" si="195"/>
        <v/>
      </c>
      <c r="AX117" s="143" t="str">
        <f t="shared" si="196"/>
        <v/>
      </c>
      <c r="AY117" s="144"/>
      <c r="AZ117" s="8" t="str">
        <f>IF(BA117="","",IF(各種設定金額!$B$7="","○○県",各種設定金額!$B$7))</f>
        <v/>
      </c>
      <c r="BA117" s="6"/>
      <c r="BB117" s="4"/>
      <c r="BC117" s="141" t="str">
        <f t="shared" si="197"/>
        <v/>
      </c>
      <c r="BD117" s="10"/>
      <c r="BE117" s="129"/>
      <c r="BF117" s="145" t="s">
        <v>63</v>
      </c>
      <c r="BG117" s="131" t="str">
        <f t="shared" si="198"/>
        <v/>
      </c>
      <c r="BH117" s="132" t="str">
        <f t="shared" si="199"/>
        <v/>
      </c>
      <c r="BI117" s="132" t="str">
        <f t="shared" si="200"/>
        <v/>
      </c>
      <c r="BJ117" s="132" t="str">
        <f t="shared" si="201"/>
        <v/>
      </c>
      <c r="BK117" s="132" t="str">
        <f t="shared" si="202"/>
        <v/>
      </c>
      <c r="BL117" s="132" t="str">
        <f t="shared" si="203"/>
        <v/>
      </c>
      <c r="BM117" s="146"/>
      <c r="BN117" s="8" t="str">
        <f>IF(BO117="","",IF(各種設定金額!$B$7="","○○県",各種設定金額!$B$7))</f>
        <v/>
      </c>
      <c r="BO117" s="6"/>
      <c r="BP117" s="4"/>
      <c r="BQ117" s="141" t="str">
        <f t="shared" si="204"/>
        <v/>
      </c>
      <c r="BR117" s="10"/>
      <c r="BS117" s="129"/>
      <c r="BT117" s="145" t="s">
        <v>63</v>
      </c>
      <c r="BU117" s="131" t="str">
        <f t="shared" si="205"/>
        <v/>
      </c>
      <c r="BV117" s="132" t="str">
        <f t="shared" si="206"/>
        <v/>
      </c>
      <c r="BW117" s="132" t="str">
        <f t="shared" si="207"/>
        <v/>
      </c>
      <c r="BX117" s="132" t="str">
        <f t="shared" si="208"/>
        <v/>
      </c>
      <c r="BY117" s="132" t="str">
        <f t="shared" si="209"/>
        <v/>
      </c>
      <c r="BZ117" s="132" t="str">
        <f t="shared" si="210"/>
        <v/>
      </c>
      <c r="CA117" s="146"/>
      <c r="CB117" s="10" t="str">
        <f t="shared" si="211"/>
        <v/>
      </c>
      <c r="CC117" s="7" t="str">
        <f t="shared" si="212"/>
        <v/>
      </c>
      <c r="CD117" s="147"/>
      <c r="CE117" s="147"/>
      <c r="CF117" s="6"/>
      <c r="CG117" s="4"/>
      <c r="CH117" s="148">
        <f t="shared" ca="1" si="213"/>
        <v>2026</v>
      </c>
      <c r="CI117" s="121" t="str">
        <f t="shared" ca="1" si="214"/>
        <v>令和</v>
      </c>
      <c r="CJ117" s="122" t="str">
        <f t="shared" ca="1" si="215"/>
        <v>R</v>
      </c>
      <c r="CK117" s="122" t="str">
        <f t="shared" ca="1" si="216"/>
        <v>8</v>
      </c>
      <c r="CL117" s="122">
        <f t="shared" ca="1" si="217"/>
        <v>10</v>
      </c>
      <c r="CM117" s="149">
        <f t="shared" ca="1" si="218"/>
        <v>24</v>
      </c>
      <c r="CN117" s="1"/>
      <c r="CO117" s="150">
        <f t="shared" ca="1" si="219"/>
        <v>46319</v>
      </c>
    </row>
    <row r="118" spans="1:93" ht="20.100000000000001" customHeight="1" x14ac:dyDescent="0.15">
      <c r="A118" s="7" t="str">
        <f>IF(B118="","",ROW()-ROW(会員表[#Headers]))</f>
        <v/>
      </c>
      <c r="B118" s="4" ph="1"/>
      <c r="C118" s="4" t="str" cm="1">
        <f t="array" ref="C118">_xlfn.LET(_xlpm.s,PHONETIC(B118),_xlpm.c,_xlfn.UNICODE(MID(_xlpm.s,_xlfn.SEQUENCE(LEN(_xlpm.s)),1)),IF(_xlpm.s="","",_xlfn.CONCAT(_xlfn.UNICHAR(_xlpm.c-96*(_xlpm.c&gt;=12449)*(_xlpm.c&lt;=12534)))))</f>
        <v/>
      </c>
      <c r="D118" s="4" t="str" cm="1">
        <f t="array" ref="D118">_xlfn.LET(_xlpm.s,PHONETIC(B118),_xlpm.c,_xlfn.UNICODE(MID(_xlpm.s,_xlfn.SEQUENCE(LEN(_xlpm.s)),1)),IF(_xlpm.s="","",_xlfn.CONCAT(_xlfn.UNICHAR(_xlpm.c+96*(_xlpm.c&gt;=12353)*(_xlpm.c&lt;=12438)))))</f>
        <v/>
      </c>
      <c r="E118" s="129" t="str">
        <f t="shared" ca="1" si="165"/>
        <v/>
      </c>
      <c r="F118" s="130" t="str">
        <f t="shared" si="166"/>
        <v/>
      </c>
      <c r="G118" s="130" t="str">
        <f t="shared" si="167"/>
        <v/>
      </c>
      <c r="H118" s="130" t="str">
        <f t="shared" si="168"/>
        <v/>
      </c>
      <c r="I118" s="131" t="str">
        <f t="shared" si="169"/>
        <v/>
      </c>
      <c r="J118" s="132" t="str">
        <f t="shared" si="170"/>
        <v/>
      </c>
      <c r="K118" s="121" t="str">
        <f t="shared" si="171"/>
        <v/>
      </c>
      <c r="L118" s="129" t="str">
        <f t="shared" si="172"/>
        <v/>
      </c>
      <c r="M118" s="7" t="str">
        <f t="shared" si="173"/>
        <v/>
      </c>
      <c r="N118" s="133"/>
      <c r="O118" s="8"/>
      <c r="P118" s="5" t="str">
        <f t="shared" si="174"/>
        <v/>
      </c>
      <c r="Q118" s="121" t="str">
        <f t="shared" si="175"/>
        <v/>
      </c>
      <c r="R118" s="121" t="str">
        <f t="shared" si="176"/>
        <v/>
      </c>
      <c r="S118" s="7" t="str">
        <f t="shared" si="177"/>
        <v/>
      </c>
      <c r="T118" s="5"/>
      <c r="U118" s="5" t="str">
        <f t="shared" si="178"/>
        <v/>
      </c>
      <c r="V118" s="121" t="str">
        <f t="shared" si="179"/>
        <v/>
      </c>
      <c r="W118" s="121" t="str">
        <f t="shared" si="180"/>
        <v/>
      </c>
      <c r="X118" s="7" t="str">
        <f t="shared" si="181"/>
        <v/>
      </c>
      <c r="Y118" s="136"/>
      <c r="Z118" s="5" t="str">
        <f t="shared" si="182"/>
        <v/>
      </c>
      <c r="AA118" s="137" t="s">
        <v>183</v>
      </c>
      <c r="AB118" s="7" t="str">
        <f t="shared" si="183"/>
        <v/>
      </c>
      <c r="AC118" s="9"/>
      <c r="AD118" s="4"/>
      <c r="AE118" s="138" t="str">
        <f t="shared" si="184"/>
        <v/>
      </c>
      <c r="AF118" s="139" t="str">
        <f t="shared" si="185"/>
        <v/>
      </c>
      <c r="AG118" s="139" t="str">
        <f t="shared" si="186"/>
        <v/>
      </c>
      <c r="AH118" s="139" t="str">
        <f t="shared" si="187"/>
        <v/>
      </c>
      <c r="AI118" s="139" t="str">
        <f t="shared" si="188"/>
        <v/>
      </c>
      <c r="AJ118" s="140" t="str">
        <f t="shared" si="189"/>
        <v/>
      </c>
      <c r="AK118" s="8"/>
      <c r="AL118" s="8" t="str">
        <f>IF(AM118="","",IF(各種設定金額!$B$7="","○○県",各種設定金額!$B$7))</f>
        <v/>
      </c>
      <c r="AM118" s="4"/>
      <c r="AN118" s="4"/>
      <c r="AO118" s="141" t="str">
        <f t="shared" si="190"/>
        <v/>
      </c>
      <c r="AP118" s="10"/>
      <c r="AQ118" s="129"/>
      <c r="AR118" s="142" t="s">
        <v>182</v>
      </c>
      <c r="AS118" s="131" t="str">
        <f t="shared" si="191"/>
        <v/>
      </c>
      <c r="AT118" s="132" t="str">
        <f t="shared" si="192"/>
        <v/>
      </c>
      <c r="AU118" s="132" t="str">
        <f t="shared" si="193"/>
        <v/>
      </c>
      <c r="AV118" s="132" t="str">
        <f t="shared" si="194"/>
        <v/>
      </c>
      <c r="AW118" s="132" t="str">
        <f t="shared" si="195"/>
        <v/>
      </c>
      <c r="AX118" s="143" t="str">
        <f t="shared" si="196"/>
        <v/>
      </c>
      <c r="AY118" s="144"/>
      <c r="AZ118" s="8" t="str">
        <f>IF(BA118="","",IF(各種設定金額!$B$7="","○○県",各種設定金額!$B$7))</f>
        <v/>
      </c>
      <c r="BA118" s="6"/>
      <c r="BB118" s="4"/>
      <c r="BC118" s="141" t="str">
        <f t="shared" si="197"/>
        <v/>
      </c>
      <c r="BD118" s="10"/>
      <c r="BE118" s="129"/>
      <c r="BF118" s="145" t="s">
        <v>63</v>
      </c>
      <c r="BG118" s="131" t="str">
        <f t="shared" si="198"/>
        <v/>
      </c>
      <c r="BH118" s="132" t="str">
        <f t="shared" si="199"/>
        <v/>
      </c>
      <c r="BI118" s="132" t="str">
        <f t="shared" si="200"/>
        <v/>
      </c>
      <c r="BJ118" s="132" t="str">
        <f t="shared" si="201"/>
        <v/>
      </c>
      <c r="BK118" s="132" t="str">
        <f t="shared" si="202"/>
        <v/>
      </c>
      <c r="BL118" s="132" t="str">
        <f t="shared" si="203"/>
        <v/>
      </c>
      <c r="BM118" s="146"/>
      <c r="BN118" s="8" t="str">
        <f>IF(BO118="","",IF(各種設定金額!$B$7="","○○県",各種設定金額!$B$7))</f>
        <v/>
      </c>
      <c r="BO118" s="6"/>
      <c r="BP118" s="4"/>
      <c r="BQ118" s="141" t="str">
        <f t="shared" si="204"/>
        <v/>
      </c>
      <c r="BR118" s="10"/>
      <c r="BS118" s="129"/>
      <c r="BT118" s="145" t="s">
        <v>63</v>
      </c>
      <c r="BU118" s="131" t="str">
        <f t="shared" si="205"/>
        <v/>
      </c>
      <c r="BV118" s="132" t="str">
        <f t="shared" si="206"/>
        <v/>
      </c>
      <c r="BW118" s="132" t="str">
        <f t="shared" si="207"/>
        <v/>
      </c>
      <c r="BX118" s="132" t="str">
        <f t="shared" si="208"/>
        <v/>
      </c>
      <c r="BY118" s="132" t="str">
        <f t="shared" si="209"/>
        <v/>
      </c>
      <c r="BZ118" s="132" t="str">
        <f t="shared" si="210"/>
        <v/>
      </c>
      <c r="CA118" s="146"/>
      <c r="CB118" s="10" t="str">
        <f t="shared" si="211"/>
        <v/>
      </c>
      <c r="CC118" s="7" t="str">
        <f t="shared" si="212"/>
        <v/>
      </c>
      <c r="CD118" s="147"/>
      <c r="CE118" s="147"/>
      <c r="CF118" s="6"/>
      <c r="CG118" s="4"/>
      <c r="CH118" s="148">
        <f t="shared" ca="1" si="213"/>
        <v>2026</v>
      </c>
      <c r="CI118" s="121" t="str">
        <f t="shared" ca="1" si="214"/>
        <v>令和</v>
      </c>
      <c r="CJ118" s="122" t="str">
        <f t="shared" ca="1" si="215"/>
        <v>R</v>
      </c>
      <c r="CK118" s="122" t="str">
        <f t="shared" ca="1" si="216"/>
        <v>8</v>
      </c>
      <c r="CL118" s="122">
        <f t="shared" ca="1" si="217"/>
        <v>10</v>
      </c>
      <c r="CM118" s="149">
        <f t="shared" ca="1" si="218"/>
        <v>24</v>
      </c>
      <c r="CN118" s="1"/>
      <c r="CO118" s="150">
        <f t="shared" ca="1" si="219"/>
        <v>46319</v>
      </c>
    </row>
    <row r="119" spans="1:93" ht="20.100000000000001" customHeight="1" x14ac:dyDescent="0.15">
      <c r="A119" s="7" t="str">
        <f>IF(B119="","",ROW()-ROW(会員表[#Headers]))</f>
        <v/>
      </c>
      <c r="B119" s="4" ph="1"/>
      <c r="C119" s="4" t="str" cm="1">
        <f t="array" ref="C119">_xlfn.LET(_xlpm.s,PHONETIC(B119),_xlpm.c,_xlfn.UNICODE(MID(_xlpm.s,_xlfn.SEQUENCE(LEN(_xlpm.s)),1)),IF(_xlpm.s="","",_xlfn.CONCAT(_xlfn.UNICHAR(_xlpm.c-96*(_xlpm.c&gt;=12449)*(_xlpm.c&lt;=12534)))))</f>
        <v/>
      </c>
      <c r="D119" s="4" t="str" cm="1">
        <f t="array" ref="D119">_xlfn.LET(_xlpm.s,PHONETIC(B119),_xlpm.c,_xlfn.UNICODE(MID(_xlpm.s,_xlfn.SEQUENCE(LEN(_xlpm.s)),1)),IF(_xlpm.s="","",_xlfn.CONCAT(_xlfn.UNICHAR(_xlpm.c+96*(_xlpm.c&gt;=12353)*(_xlpm.c&lt;=12438)))))</f>
        <v/>
      </c>
      <c r="E119" s="129" t="str">
        <f t="shared" ca="1" si="165"/>
        <v/>
      </c>
      <c r="F119" s="130" t="str">
        <f t="shared" si="166"/>
        <v/>
      </c>
      <c r="G119" s="130" t="str">
        <f t="shared" si="167"/>
        <v/>
      </c>
      <c r="H119" s="130" t="str">
        <f t="shared" si="168"/>
        <v/>
      </c>
      <c r="I119" s="131" t="str">
        <f t="shared" si="169"/>
        <v/>
      </c>
      <c r="J119" s="132" t="str">
        <f t="shared" si="170"/>
        <v/>
      </c>
      <c r="K119" s="121" t="str">
        <f t="shared" si="171"/>
        <v/>
      </c>
      <c r="L119" s="129" t="str">
        <f t="shared" si="172"/>
        <v/>
      </c>
      <c r="M119" s="7" t="str">
        <f t="shared" si="173"/>
        <v/>
      </c>
      <c r="N119" s="133"/>
      <c r="O119" s="8"/>
      <c r="P119" s="5" t="str">
        <f t="shared" si="174"/>
        <v/>
      </c>
      <c r="Q119" s="121" t="str">
        <f t="shared" si="175"/>
        <v/>
      </c>
      <c r="R119" s="121" t="str">
        <f t="shared" si="176"/>
        <v/>
      </c>
      <c r="S119" s="7" t="str">
        <f t="shared" si="177"/>
        <v/>
      </c>
      <c r="T119" s="5"/>
      <c r="U119" s="5" t="str">
        <f t="shared" si="178"/>
        <v/>
      </c>
      <c r="V119" s="121" t="str">
        <f t="shared" si="179"/>
        <v/>
      </c>
      <c r="W119" s="121" t="str">
        <f t="shared" si="180"/>
        <v/>
      </c>
      <c r="X119" s="7" t="str">
        <f t="shared" si="181"/>
        <v/>
      </c>
      <c r="Y119" s="136"/>
      <c r="Z119" s="5" t="str">
        <f t="shared" si="182"/>
        <v/>
      </c>
      <c r="AA119" s="137" t="s">
        <v>183</v>
      </c>
      <c r="AB119" s="7" t="str">
        <f t="shared" si="183"/>
        <v/>
      </c>
      <c r="AC119" s="9"/>
      <c r="AD119" s="4"/>
      <c r="AE119" s="138" t="str">
        <f t="shared" si="184"/>
        <v/>
      </c>
      <c r="AF119" s="139" t="str">
        <f t="shared" si="185"/>
        <v/>
      </c>
      <c r="AG119" s="139" t="str">
        <f t="shared" si="186"/>
        <v/>
      </c>
      <c r="AH119" s="139" t="str">
        <f t="shared" si="187"/>
        <v/>
      </c>
      <c r="AI119" s="139" t="str">
        <f t="shared" si="188"/>
        <v/>
      </c>
      <c r="AJ119" s="140" t="str">
        <f t="shared" si="189"/>
        <v/>
      </c>
      <c r="AK119" s="8"/>
      <c r="AL119" s="8" t="str">
        <f>IF(AM119="","",IF(各種設定金額!$B$7="","○○県",各種設定金額!$B$7))</f>
        <v/>
      </c>
      <c r="AM119" s="4"/>
      <c r="AN119" s="4"/>
      <c r="AO119" s="141" t="str">
        <f t="shared" si="190"/>
        <v/>
      </c>
      <c r="AP119" s="10"/>
      <c r="AQ119" s="129"/>
      <c r="AR119" s="142" t="s">
        <v>182</v>
      </c>
      <c r="AS119" s="131" t="str">
        <f t="shared" si="191"/>
        <v/>
      </c>
      <c r="AT119" s="132" t="str">
        <f t="shared" si="192"/>
        <v/>
      </c>
      <c r="AU119" s="132" t="str">
        <f t="shared" si="193"/>
        <v/>
      </c>
      <c r="AV119" s="132" t="str">
        <f t="shared" si="194"/>
        <v/>
      </c>
      <c r="AW119" s="132" t="str">
        <f t="shared" si="195"/>
        <v/>
      </c>
      <c r="AX119" s="143" t="str">
        <f t="shared" si="196"/>
        <v/>
      </c>
      <c r="AY119" s="144"/>
      <c r="AZ119" s="8" t="str">
        <f>IF(BA119="","",IF(各種設定金額!$B$7="","○○県",各種設定金額!$B$7))</f>
        <v/>
      </c>
      <c r="BA119" s="6"/>
      <c r="BB119" s="4"/>
      <c r="BC119" s="141" t="str">
        <f t="shared" si="197"/>
        <v/>
      </c>
      <c r="BD119" s="10"/>
      <c r="BE119" s="129"/>
      <c r="BF119" s="145" t="s">
        <v>63</v>
      </c>
      <c r="BG119" s="131" t="str">
        <f t="shared" si="198"/>
        <v/>
      </c>
      <c r="BH119" s="132" t="str">
        <f t="shared" si="199"/>
        <v/>
      </c>
      <c r="BI119" s="132" t="str">
        <f t="shared" si="200"/>
        <v/>
      </c>
      <c r="BJ119" s="132" t="str">
        <f t="shared" si="201"/>
        <v/>
      </c>
      <c r="BK119" s="132" t="str">
        <f t="shared" si="202"/>
        <v/>
      </c>
      <c r="BL119" s="132" t="str">
        <f t="shared" si="203"/>
        <v/>
      </c>
      <c r="BM119" s="146"/>
      <c r="BN119" s="8" t="str">
        <f>IF(BO119="","",IF(各種設定金額!$B$7="","○○県",各種設定金額!$B$7))</f>
        <v/>
      </c>
      <c r="BO119" s="6"/>
      <c r="BP119" s="4"/>
      <c r="BQ119" s="141" t="str">
        <f t="shared" si="204"/>
        <v/>
      </c>
      <c r="BR119" s="10"/>
      <c r="BS119" s="129"/>
      <c r="BT119" s="145" t="s">
        <v>63</v>
      </c>
      <c r="BU119" s="131" t="str">
        <f t="shared" si="205"/>
        <v/>
      </c>
      <c r="BV119" s="132" t="str">
        <f t="shared" si="206"/>
        <v/>
      </c>
      <c r="BW119" s="132" t="str">
        <f t="shared" si="207"/>
        <v/>
      </c>
      <c r="BX119" s="132" t="str">
        <f t="shared" si="208"/>
        <v/>
      </c>
      <c r="BY119" s="132" t="str">
        <f t="shared" si="209"/>
        <v/>
      </c>
      <c r="BZ119" s="132" t="str">
        <f t="shared" si="210"/>
        <v/>
      </c>
      <c r="CA119" s="146"/>
      <c r="CB119" s="10" t="str">
        <f t="shared" si="211"/>
        <v/>
      </c>
      <c r="CC119" s="7" t="str">
        <f t="shared" si="212"/>
        <v/>
      </c>
      <c r="CD119" s="147"/>
      <c r="CE119" s="147"/>
      <c r="CF119" s="6"/>
      <c r="CG119" s="4"/>
      <c r="CH119" s="148">
        <f t="shared" ca="1" si="213"/>
        <v>2026</v>
      </c>
      <c r="CI119" s="121" t="str">
        <f t="shared" ca="1" si="214"/>
        <v>令和</v>
      </c>
      <c r="CJ119" s="122" t="str">
        <f t="shared" ca="1" si="215"/>
        <v>R</v>
      </c>
      <c r="CK119" s="122" t="str">
        <f t="shared" ca="1" si="216"/>
        <v>8</v>
      </c>
      <c r="CL119" s="122">
        <f t="shared" ca="1" si="217"/>
        <v>10</v>
      </c>
      <c r="CM119" s="149">
        <f t="shared" ca="1" si="218"/>
        <v>24</v>
      </c>
      <c r="CN119" s="1"/>
      <c r="CO119" s="150">
        <f t="shared" ca="1" si="219"/>
        <v>46319</v>
      </c>
    </row>
    <row r="120" spans="1:93" ht="20.100000000000001" customHeight="1" x14ac:dyDescent="0.15">
      <c r="A120" s="7" t="str">
        <f>IF(B120="","",ROW()-ROW(会員表[#Headers]))</f>
        <v/>
      </c>
      <c r="B120" s="4" ph="1"/>
      <c r="C120" s="4" t="str" cm="1">
        <f t="array" ref="C120">_xlfn.LET(_xlpm.s,PHONETIC(B120),_xlpm.c,_xlfn.UNICODE(MID(_xlpm.s,_xlfn.SEQUENCE(LEN(_xlpm.s)),1)),IF(_xlpm.s="","",_xlfn.CONCAT(_xlfn.UNICHAR(_xlpm.c-96*(_xlpm.c&gt;=12449)*(_xlpm.c&lt;=12534)))))</f>
        <v/>
      </c>
      <c r="D120" s="4" t="str" cm="1">
        <f t="array" ref="D120">_xlfn.LET(_xlpm.s,PHONETIC(B120),_xlpm.c,_xlfn.UNICODE(MID(_xlpm.s,_xlfn.SEQUENCE(LEN(_xlpm.s)),1)),IF(_xlpm.s="","",_xlfn.CONCAT(_xlfn.UNICHAR(_xlpm.c+96*(_xlpm.c&gt;=12353)*(_xlpm.c&lt;=12438)))))</f>
        <v/>
      </c>
      <c r="E120" s="129" t="str">
        <f t="shared" ca="1" si="165"/>
        <v/>
      </c>
      <c r="F120" s="130" t="str">
        <f t="shared" si="166"/>
        <v/>
      </c>
      <c r="G120" s="130" t="str">
        <f t="shared" si="167"/>
        <v/>
      </c>
      <c r="H120" s="130" t="str">
        <f t="shared" si="168"/>
        <v/>
      </c>
      <c r="I120" s="131" t="str">
        <f t="shared" si="169"/>
        <v/>
      </c>
      <c r="J120" s="132" t="str">
        <f t="shared" si="170"/>
        <v/>
      </c>
      <c r="K120" s="121" t="str">
        <f t="shared" si="171"/>
        <v/>
      </c>
      <c r="L120" s="129" t="str">
        <f t="shared" si="172"/>
        <v/>
      </c>
      <c r="M120" s="7" t="str">
        <f t="shared" si="173"/>
        <v/>
      </c>
      <c r="N120" s="133"/>
      <c r="O120" s="8"/>
      <c r="P120" s="5" t="str">
        <f t="shared" si="174"/>
        <v/>
      </c>
      <c r="Q120" s="121" t="str">
        <f t="shared" si="175"/>
        <v/>
      </c>
      <c r="R120" s="121" t="str">
        <f t="shared" si="176"/>
        <v/>
      </c>
      <c r="S120" s="7" t="str">
        <f t="shared" si="177"/>
        <v/>
      </c>
      <c r="T120" s="5"/>
      <c r="U120" s="5" t="str">
        <f t="shared" si="178"/>
        <v/>
      </c>
      <c r="V120" s="121" t="str">
        <f t="shared" si="179"/>
        <v/>
      </c>
      <c r="W120" s="121" t="str">
        <f t="shared" si="180"/>
        <v/>
      </c>
      <c r="X120" s="7" t="str">
        <f t="shared" si="181"/>
        <v/>
      </c>
      <c r="Y120" s="136"/>
      <c r="Z120" s="5" t="str">
        <f t="shared" si="182"/>
        <v/>
      </c>
      <c r="AA120" s="137" t="s">
        <v>183</v>
      </c>
      <c r="AB120" s="7" t="str">
        <f t="shared" si="183"/>
        <v/>
      </c>
      <c r="AC120" s="9"/>
      <c r="AD120" s="4"/>
      <c r="AE120" s="138" t="str">
        <f t="shared" si="184"/>
        <v/>
      </c>
      <c r="AF120" s="139" t="str">
        <f t="shared" si="185"/>
        <v/>
      </c>
      <c r="AG120" s="139" t="str">
        <f t="shared" si="186"/>
        <v/>
      </c>
      <c r="AH120" s="139" t="str">
        <f t="shared" si="187"/>
        <v/>
      </c>
      <c r="AI120" s="139" t="str">
        <f t="shared" si="188"/>
        <v/>
      </c>
      <c r="AJ120" s="140" t="str">
        <f t="shared" si="189"/>
        <v/>
      </c>
      <c r="AK120" s="8"/>
      <c r="AL120" s="8" t="str">
        <f>IF(AM120="","",IF(各種設定金額!$B$7="","○○県",各種設定金額!$B$7))</f>
        <v/>
      </c>
      <c r="AM120" s="4"/>
      <c r="AN120" s="4"/>
      <c r="AO120" s="141" t="str">
        <f t="shared" si="190"/>
        <v/>
      </c>
      <c r="AP120" s="10"/>
      <c r="AQ120" s="129"/>
      <c r="AR120" s="142" t="s">
        <v>182</v>
      </c>
      <c r="AS120" s="131" t="str">
        <f t="shared" si="191"/>
        <v/>
      </c>
      <c r="AT120" s="132" t="str">
        <f t="shared" si="192"/>
        <v/>
      </c>
      <c r="AU120" s="132" t="str">
        <f t="shared" si="193"/>
        <v/>
      </c>
      <c r="AV120" s="132" t="str">
        <f t="shared" si="194"/>
        <v/>
      </c>
      <c r="AW120" s="132" t="str">
        <f t="shared" si="195"/>
        <v/>
      </c>
      <c r="AX120" s="143" t="str">
        <f t="shared" si="196"/>
        <v/>
      </c>
      <c r="AY120" s="144"/>
      <c r="AZ120" s="8" t="str">
        <f>IF(BA120="","",IF(各種設定金額!$B$7="","○○県",各種設定金額!$B$7))</f>
        <v/>
      </c>
      <c r="BA120" s="6"/>
      <c r="BB120" s="4"/>
      <c r="BC120" s="141" t="str">
        <f t="shared" si="197"/>
        <v/>
      </c>
      <c r="BD120" s="10"/>
      <c r="BE120" s="129"/>
      <c r="BF120" s="145" t="s">
        <v>63</v>
      </c>
      <c r="BG120" s="131" t="str">
        <f t="shared" si="198"/>
        <v/>
      </c>
      <c r="BH120" s="132" t="str">
        <f t="shared" si="199"/>
        <v/>
      </c>
      <c r="BI120" s="132" t="str">
        <f t="shared" si="200"/>
        <v/>
      </c>
      <c r="BJ120" s="132" t="str">
        <f t="shared" si="201"/>
        <v/>
      </c>
      <c r="BK120" s="132" t="str">
        <f t="shared" si="202"/>
        <v/>
      </c>
      <c r="BL120" s="132" t="str">
        <f t="shared" si="203"/>
        <v/>
      </c>
      <c r="BM120" s="146"/>
      <c r="BN120" s="8" t="str">
        <f>IF(BO120="","",IF(各種設定金額!$B$7="","○○県",各種設定金額!$B$7))</f>
        <v/>
      </c>
      <c r="BO120" s="6"/>
      <c r="BP120" s="4"/>
      <c r="BQ120" s="141" t="str">
        <f t="shared" si="204"/>
        <v/>
      </c>
      <c r="BR120" s="10"/>
      <c r="BS120" s="129"/>
      <c r="BT120" s="145" t="s">
        <v>63</v>
      </c>
      <c r="BU120" s="131" t="str">
        <f t="shared" si="205"/>
        <v/>
      </c>
      <c r="BV120" s="132" t="str">
        <f t="shared" si="206"/>
        <v/>
      </c>
      <c r="BW120" s="132" t="str">
        <f t="shared" si="207"/>
        <v/>
      </c>
      <c r="BX120" s="132" t="str">
        <f t="shared" si="208"/>
        <v/>
      </c>
      <c r="BY120" s="132" t="str">
        <f t="shared" si="209"/>
        <v/>
      </c>
      <c r="BZ120" s="132" t="str">
        <f t="shared" si="210"/>
        <v/>
      </c>
      <c r="CA120" s="146"/>
      <c r="CB120" s="10" t="str">
        <f t="shared" si="211"/>
        <v/>
      </c>
      <c r="CC120" s="7" t="str">
        <f t="shared" si="212"/>
        <v/>
      </c>
      <c r="CD120" s="147"/>
      <c r="CE120" s="147"/>
      <c r="CF120" s="6"/>
      <c r="CG120" s="4"/>
      <c r="CH120" s="148">
        <f t="shared" ca="1" si="213"/>
        <v>2026</v>
      </c>
      <c r="CI120" s="121" t="str">
        <f t="shared" ca="1" si="214"/>
        <v>令和</v>
      </c>
      <c r="CJ120" s="122" t="str">
        <f t="shared" ca="1" si="215"/>
        <v>R</v>
      </c>
      <c r="CK120" s="122" t="str">
        <f t="shared" ca="1" si="216"/>
        <v>8</v>
      </c>
      <c r="CL120" s="122">
        <f t="shared" ca="1" si="217"/>
        <v>10</v>
      </c>
      <c r="CM120" s="149">
        <f t="shared" ca="1" si="218"/>
        <v>24</v>
      </c>
      <c r="CN120" s="1"/>
      <c r="CO120" s="150">
        <f t="shared" ca="1" si="219"/>
        <v>46319</v>
      </c>
    </row>
    <row r="121" spans="1:93" ht="20.100000000000001" customHeight="1" x14ac:dyDescent="0.15">
      <c r="A121" s="7" t="str">
        <f>IF(B121="","",ROW()-ROW(会員表[#Headers]))</f>
        <v/>
      </c>
      <c r="B121" s="4" ph="1"/>
      <c r="C121" s="4" t="str" cm="1">
        <f t="array" ref="C121">_xlfn.LET(_xlpm.s,PHONETIC(B121),_xlpm.c,_xlfn.UNICODE(MID(_xlpm.s,_xlfn.SEQUENCE(LEN(_xlpm.s)),1)),IF(_xlpm.s="","",_xlfn.CONCAT(_xlfn.UNICHAR(_xlpm.c-96*(_xlpm.c&gt;=12449)*(_xlpm.c&lt;=12534)))))</f>
        <v/>
      </c>
      <c r="D121" s="4" t="str" cm="1">
        <f t="array" ref="D121">_xlfn.LET(_xlpm.s,PHONETIC(B121),_xlpm.c,_xlfn.UNICODE(MID(_xlpm.s,_xlfn.SEQUENCE(LEN(_xlpm.s)),1)),IF(_xlpm.s="","",_xlfn.CONCAT(_xlfn.UNICHAR(_xlpm.c+96*(_xlpm.c&gt;=12353)*(_xlpm.c&lt;=12438)))))</f>
        <v/>
      </c>
      <c r="E121" s="129" t="str">
        <f t="shared" ca="1" si="165"/>
        <v/>
      </c>
      <c r="F121" s="130" t="str">
        <f t="shared" si="166"/>
        <v/>
      </c>
      <c r="G121" s="130" t="str">
        <f t="shared" si="167"/>
        <v/>
      </c>
      <c r="H121" s="130" t="str">
        <f t="shared" si="168"/>
        <v/>
      </c>
      <c r="I121" s="131" t="str">
        <f t="shared" si="169"/>
        <v/>
      </c>
      <c r="J121" s="132" t="str">
        <f t="shared" si="170"/>
        <v/>
      </c>
      <c r="K121" s="121" t="str">
        <f t="shared" si="171"/>
        <v/>
      </c>
      <c r="L121" s="129" t="str">
        <f t="shared" si="172"/>
        <v/>
      </c>
      <c r="M121" s="7" t="str">
        <f t="shared" si="173"/>
        <v/>
      </c>
      <c r="N121" s="133"/>
      <c r="O121" s="8"/>
      <c r="P121" s="5" t="str">
        <f t="shared" si="174"/>
        <v/>
      </c>
      <c r="Q121" s="121" t="str">
        <f t="shared" si="175"/>
        <v/>
      </c>
      <c r="R121" s="121" t="str">
        <f t="shared" si="176"/>
        <v/>
      </c>
      <c r="S121" s="7" t="str">
        <f t="shared" si="177"/>
        <v/>
      </c>
      <c r="T121" s="5"/>
      <c r="U121" s="5" t="str">
        <f t="shared" si="178"/>
        <v/>
      </c>
      <c r="V121" s="121" t="str">
        <f t="shared" si="179"/>
        <v/>
      </c>
      <c r="W121" s="121" t="str">
        <f t="shared" si="180"/>
        <v/>
      </c>
      <c r="X121" s="7" t="str">
        <f t="shared" si="181"/>
        <v/>
      </c>
      <c r="Y121" s="136"/>
      <c r="Z121" s="5" t="str">
        <f t="shared" si="182"/>
        <v/>
      </c>
      <c r="AA121" s="137" t="s">
        <v>183</v>
      </c>
      <c r="AB121" s="7" t="str">
        <f t="shared" si="183"/>
        <v/>
      </c>
      <c r="AC121" s="9"/>
      <c r="AD121" s="4"/>
      <c r="AE121" s="138" t="str">
        <f t="shared" si="184"/>
        <v/>
      </c>
      <c r="AF121" s="139" t="str">
        <f t="shared" si="185"/>
        <v/>
      </c>
      <c r="AG121" s="139" t="str">
        <f t="shared" si="186"/>
        <v/>
      </c>
      <c r="AH121" s="139" t="str">
        <f t="shared" si="187"/>
        <v/>
      </c>
      <c r="AI121" s="139" t="str">
        <f t="shared" si="188"/>
        <v/>
      </c>
      <c r="AJ121" s="140" t="str">
        <f t="shared" si="189"/>
        <v/>
      </c>
      <c r="AK121" s="8"/>
      <c r="AL121" s="8" t="str">
        <f>IF(AM121="","",IF(各種設定金額!$B$7="","○○県",各種設定金額!$B$7))</f>
        <v/>
      </c>
      <c r="AM121" s="4"/>
      <c r="AN121" s="4"/>
      <c r="AO121" s="141" t="str">
        <f t="shared" si="190"/>
        <v/>
      </c>
      <c r="AP121" s="10"/>
      <c r="AQ121" s="129"/>
      <c r="AR121" s="142" t="s">
        <v>182</v>
      </c>
      <c r="AS121" s="131" t="str">
        <f t="shared" si="191"/>
        <v/>
      </c>
      <c r="AT121" s="132" t="str">
        <f t="shared" si="192"/>
        <v/>
      </c>
      <c r="AU121" s="132" t="str">
        <f t="shared" si="193"/>
        <v/>
      </c>
      <c r="AV121" s="132" t="str">
        <f t="shared" si="194"/>
        <v/>
      </c>
      <c r="AW121" s="132" t="str">
        <f t="shared" si="195"/>
        <v/>
      </c>
      <c r="AX121" s="143" t="str">
        <f t="shared" si="196"/>
        <v/>
      </c>
      <c r="AY121" s="144"/>
      <c r="AZ121" s="8" t="str">
        <f>IF(BA121="","",IF(各種設定金額!$B$7="","○○県",各種設定金額!$B$7))</f>
        <v/>
      </c>
      <c r="BA121" s="6"/>
      <c r="BB121" s="4"/>
      <c r="BC121" s="141" t="str">
        <f t="shared" si="197"/>
        <v/>
      </c>
      <c r="BD121" s="10"/>
      <c r="BE121" s="129"/>
      <c r="BF121" s="145" t="s">
        <v>63</v>
      </c>
      <c r="BG121" s="131" t="str">
        <f t="shared" si="198"/>
        <v/>
      </c>
      <c r="BH121" s="132" t="str">
        <f t="shared" si="199"/>
        <v/>
      </c>
      <c r="BI121" s="132" t="str">
        <f t="shared" si="200"/>
        <v/>
      </c>
      <c r="BJ121" s="132" t="str">
        <f t="shared" si="201"/>
        <v/>
      </c>
      <c r="BK121" s="132" t="str">
        <f t="shared" si="202"/>
        <v/>
      </c>
      <c r="BL121" s="132" t="str">
        <f t="shared" si="203"/>
        <v/>
      </c>
      <c r="BM121" s="146"/>
      <c r="BN121" s="8" t="str">
        <f>IF(BO121="","",IF(各種設定金額!$B$7="","○○県",各種設定金額!$B$7))</f>
        <v/>
      </c>
      <c r="BO121" s="6"/>
      <c r="BP121" s="4"/>
      <c r="BQ121" s="141" t="str">
        <f t="shared" si="204"/>
        <v/>
      </c>
      <c r="BR121" s="10"/>
      <c r="BS121" s="129"/>
      <c r="BT121" s="145" t="s">
        <v>63</v>
      </c>
      <c r="BU121" s="131" t="str">
        <f t="shared" si="205"/>
        <v/>
      </c>
      <c r="BV121" s="132" t="str">
        <f t="shared" si="206"/>
        <v/>
      </c>
      <c r="BW121" s="132" t="str">
        <f t="shared" si="207"/>
        <v/>
      </c>
      <c r="BX121" s="132" t="str">
        <f t="shared" si="208"/>
        <v/>
      </c>
      <c r="BY121" s="132" t="str">
        <f t="shared" si="209"/>
        <v/>
      </c>
      <c r="BZ121" s="132" t="str">
        <f t="shared" si="210"/>
        <v/>
      </c>
      <c r="CA121" s="146"/>
      <c r="CB121" s="10" t="str">
        <f t="shared" si="211"/>
        <v/>
      </c>
      <c r="CC121" s="7" t="str">
        <f t="shared" si="212"/>
        <v/>
      </c>
      <c r="CD121" s="147"/>
      <c r="CE121" s="147"/>
      <c r="CF121" s="6"/>
      <c r="CG121" s="4"/>
      <c r="CH121" s="148">
        <f t="shared" ca="1" si="213"/>
        <v>2026</v>
      </c>
      <c r="CI121" s="121" t="str">
        <f t="shared" ca="1" si="214"/>
        <v>令和</v>
      </c>
      <c r="CJ121" s="122" t="str">
        <f t="shared" ca="1" si="215"/>
        <v>R</v>
      </c>
      <c r="CK121" s="122" t="str">
        <f t="shared" ca="1" si="216"/>
        <v>8</v>
      </c>
      <c r="CL121" s="122">
        <f t="shared" ca="1" si="217"/>
        <v>10</v>
      </c>
      <c r="CM121" s="149">
        <f t="shared" ca="1" si="218"/>
        <v>24</v>
      </c>
      <c r="CN121" s="1"/>
      <c r="CO121" s="150">
        <f t="shared" ca="1" si="219"/>
        <v>46319</v>
      </c>
    </row>
    <row r="122" spans="1:93" ht="20.100000000000001" customHeight="1" x14ac:dyDescent="0.15">
      <c r="A122" s="7" t="str">
        <f>IF(B122="","",ROW()-ROW(会員表[#Headers]))</f>
        <v/>
      </c>
      <c r="B122" s="4" ph="1"/>
      <c r="C122" s="4" t="str" cm="1">
        <f t="array" ref="C122">_xlfn.LET(_xlpm.s,PHONETIC(B122),_xlpm.c,_xlfn.UNICODE(MID(_xlpm.s,_xlfn.SEQUENCE(LEN(_xlpm.s)),1)),IF(_xlpm.s="","",_xlfn.CONCAT(_xlfn.UNICHAR(_xlpm.c-96*(_xlpm.c&gt;=12449)*(_xlpm.c&lt;=12534)))))</f>
        <v/>
      </c>
      <c r="D122" s="4" t="str" cm="1">
        <f t="array" ref="D122">_xlfn.LET(_xlpm.s,PHONETIC(B122),_xlpm.c,_xlfn.UNICODE(MID(_xlpm.s,_xlfn.SEQUENCE(LEN(_xlpm.s)),1)),IF(_xlpm.s="","",_xlfn.CONCAT(_xlfn.UNICHAR(_xlpm.c+96*(_xlpm.c&gt;=12353)*(_xlpm.c&lt;=12438)))))</f>
        <v/>
      </c>
      <c r="E122" s="129" t="str">
        <f t="shared" ca="1" si="165"/>
        <v/>
      </c>
      <c r="F122" s="130" t="str">
        <f t="shared" si="166"/>
        <v/>
      </c>
      <c r="G122" s="130" t="str">
        <f t="shared" si="167"/>
        <v/>
      </c>
      <c r="H122" s="130" t="str">
        <f t="shared" si="168"/>
        <v/>
      </c>
      <c r="I122" s="131" t="str">
        <f t="shared" si="169"/>
        <v/>
      </c>
      <c r="J122" s="132" t="str">
        <f t="shared" si="170"/>
        <v/>
      </c>
      <c r="K122" s="121" t="str">
        <f t="shared" si="171"/>
        <v/>
      </c>
      <c r="L122" s="129" t="str">
        <f t="shared" si="172"/>
        <v/>
      </c>
      <c r="M122" s="7" t="str">
        <f t="shared" si="173"/>
        <v/>
      </c>
      <c r="N122" s="133"/>
      <c r="O122" s="8"/>
      <c r="P122" s="5" t="str">
        <f t="shared" si="174"/>
        <v/>
      </c>
      <c r="Q122" s="121" t="str">
        <f t="shared" si="175"/>
        <v/>
      </c>
      <c r="R122" s="121" t="str">
        <f t="shared" si="176"/>
        <v/>
      </c>
      <c r="S122" s="7" t="str">
        <f t="shared" si="177"/>
        <v/>
      </c>
      <c r="T122" s="5"/>
      <c r="U122" s="5" t="str">
        <f t="shared" si="178"/>
        <v/>
      </c>
      <c r="V122" s="121" t="str">
        <f t="shared" si="179"/>
        <v/>
      </c>
      <c r="W122" s="121" t="str">
        <f t="shared" si="180"/>
        <v/>
      </c>
      <c r="X122" s="7" t="str">
        <f t="shared" si="181"/>
        <v/>
      </c>
      <c r="Y122" s="136"/>
      <c r="Z122" s="5" t="str">
        <f t="shared" si="182"/>
        <v/>
      </c>
      <c r="AA122" s="137" t="s">
        <v>183</v>
      </c>
      <c r="AB122" s="7" t="str">
        <f t="shared" si="183"/>
        <v/>
      </c>
      <c r="AC122" s="9"/>
      <c r="AD122" s="4"/>
      <c r="AE122" s="138" t="str">
        <f t="shared" si="184"/>
        <v/>
      </c>
      <c r="AF122" s="139" t="str">
        <f t="shared" si="185"/>
        <v/>
      </c>
      <c r="AG122" s="139" t="str">
        <f t="shared" si="186"/>
        <v/>
      </c>
      <c r="AH122" s="139" t="str">
        <f t="shared" si="187"/>
        <v/>
      </c>
      <c r="AI122" s="139" t="str">
        <f t="shared" si="188"/>
        <v/>
      </c>
      <c r="AJ122" s="140" t="str">
        <f t="shared" si="189"/>
        <v/>
      </c>
      <c r="AK122" s="8"/>
      <c r="AL122" s="8" t="str">
        <f>IF(AM122="","",IF(各種設定金額!$B$7="","○○県",各種設定金額!$B$7))</f>
        <v/>
      </c>
      <c r="AM122" s="4"/>
      <c r="AN122" s="4"/>
      <c r="AO122" s="141" t="str">
        <f t="shared" si="190"/>
        <v/>
      </c>
      <c r="AP122" s="10"/>
      <c r="AQ122" s="129"/>
      <c r="AR122" s="142" t="s">
        <v>182</v>
      </c>
      <c r="AS122" s="131" t="str">
        <f t="shared" si="191"/>
        <v/>
      </c>
      <c r="AT122" s="132" t="str">
        <f t="shared" si="192"/>
        <v/>
      </c>
      <c r="AU122" s="132" t="str">
        <f t="shared" si="193"/>
        <v/>
      </c>
      <c r="AV122" s="132" t="str">
        <f t="shared" si="194"/>
        <v/>
      </c>
      <c r="AW122" s="132" t="str">
        <f t="shared" si="195"/>
        <v/>
      </c>
      <c r="AX122" s="143" t="str">
        <f t="shared" si="196"/>
        <v/>
      </c>
      <c r="AY122" s="144"/>
      <c r="AZ122" s="8" t="str">
        <f>IF(BA122="","",IF(各種設定金額!$B$7="","○○県",各種設定金額!$B$7))</f>
        <v/>
      </c>
      <c r="BA122" s="6"/>
      <c r="BB122" s="4"/>
      <c r="BC122" s="141" t="str">
        <f t="shared" si="197"/>
        <v/>
      </c>
      <c r="BD122" s="10"/>
      <c r="BE122" s="129"/>
      <c r="BF122" s="145" t="s">
        <v>63</v>
      </c>
      <c r="BG122" s="131" t="str">
        <f t="shared" si="198"/>
        <v/>
      </c>
      <c r="BH122" s="132" t="str">
        <f t="shared" si="199"/>
        <v/>
      </c>
      <c r="BI122" s="132" t="str">
        <f t="shared" si="200"/>
        <v/>
      </c>
      <c r="BJ122" s="132" t="str">
        <f t="shared" si="201"/>
        <v/>
      </c>
      <c r="BK122" s="132" t="str">
        <f t="shared" si="202"/>
        <v/>
      </c>
      <c r="BL122" s="132" t="str">
        <f t="shared" si="203"/>
        <v/>
      </c>
      <c r="BM122" s="146"/>
      <c r="BN122" s="8" t="str">
        <f>IF(BO122="","",IF(各種設定金額!$B$7="","○○県",各種設定金額!$B$7))</f>
        <v/>
      </c>
      <c r="BO122" s="6"/>
      <c r="BP122" s="4"/>
      <c r="BQ122" s="141" t="str">
        <f t="shared" si="204"/>
        <v/>
      </c>
      <c r="BR122" s="10"/>
      <c r="BS122" s="129"/>
      <c r="BT122" s="145" t="s">
        <v>63</v>
      </c>
      <c r="BU122" s="131" t="str">
        <f t="shared" si="205"/>
        <v/>
      </c>
      <c r="BV122" s="132" t="str">
        <f t="shared" si="206"/>
        <v/>
      </c>
      <c r="BW122" s="132" t="str">
        <f t="shared" si="207"/>
        <v/>
      </c>
      <c r="BX122" s="132" t="str">
        <f t="shared" si="208"/>
        <v/>
      </c>
      <c r="BY122" s="132" t="str">
        <f t="shared" si="209"/>
        <v/>
      </c>
      <c r="BZ122" s="132" t="str">
        <f t="shared" si="210"/>
        <v/>
      </c>
      <c r="CA122" s="146"/>
      <c r="CB122" s="10" t="str">
        <f t="shared" si="211"/>
        <v/>
      </c>
      <c r="CC122" s="7" t="str">
        <f t="shared" si="212"/>
        <v/>
      </c>
      <c r="CD122" s="147"/>
      <c r="CE122" s="147"/>
      <c r="CF122" s="6"/>
      <c r="CG122" s="4"/>
      <c r="CH122" s="148">
        <f t="shared" ca="1" si="213"/>
        <v>2026</v>
      </c>
      <c r="CI122" s="121" t="str">
        <f t="shared" ca="1" si="214"/>
        <v>令和</v>
      </c>
      <c r="CJ122" s="122" t="str">
        <f t="shared" ca="1" si="215"/>
        <v>R</v>
      </c>
      <c r="CK122" s="122" t="str">
        <f t="shared" ca="1" si="216"/>
        <v>8</v>
      </c>
      <c r="CL122" s="122">
        <f t="shared" ca="1" si="217"/>
        <v>10</v>
      </c>
      <c r="CM122" s="149">
        <f t="shared" ca="1" si="218"/>
        <v>24</v>
      </c>
      <c r="CN122" s="1"/>
      <c r="CO122" s="150">
        <f t="shared" ca="1" si="219"/>
        <v>46319</v>
      </c>
    </row>
    <row r="123" spans="1:93" ht="20.100000000000001" customHeight="1" x14ac:dyDescent="0.15">
      <c r="A123" s="7" t="str">
        <f>IF(B123="","",ROW()-ROW(会員表[#Headers]))</f>
        <v/>
      </c>
      <c r="B123" s="4" ph="1"/>
      <c r="C123" s="4" t="str" cm="1">
        <f t="array" ref="C123">_xlfn.LET(_xlpm.s,PHONETIC(B123),_xlpm.c,_xlfn.UNICODE(MID(_xlpm.s,_xlfn.SEQUENCE(LEN(_xlpm.s)),1)),IF(_xlpm.s="","",_xlfn.CONCAT(_xlfn.UNICHAR(_xlpm.c-96*(_xlpm.c&gt;=12449)*(_xlpm.c&lt;=12534)))))</f>
        <v/>
      </c>
      <c r="D123" s="4" t="str" cm="1">
        <f t="array" ref="D123">_xlfn.LET(_xlpm.s,PHONETIC(B123),_xlpm.c,_xlfn.UNICODE(MID(_xlpm.s,_xlfn.SEQUENCE(LEN(_xlpm.s)),1)),IF(_xlpm.s="","",_xlfn.CONCAT(_xlfn.UNICHAR(_xlpm.c+96*(_xlpm.c&gt;=12353)*(_xlpm.c&lt;=12438)))))</f>
        <v/>
      </c>
      <c r="E123" s="129" t="str">
        <f t="shared" ca="1" si="165"/>
        <v/>
      </c>
      <c r="F123" s="130" t="str">
        <f t="shared" si="166"/>
        <v/>
      </c>
      <c r="G123" s="130" t="str">
        <f t="shared" si="167"/>
        <v/>
      </c>
      <c r="H123" s="130" t="str">
        <f t="shared" si="168"/>
        <v/>
      </c>
      <c r="I123" s="131" t="str">
        <f t="shared" si="169"/>
        <v/>
      </c>
      <c r="J123" s="132" t="str">
        <f t="shared" si="170"/>
        <v/>
      </c>
      <c r="K123" s="121" t="str">
        <f t="shared" si="171"/>
        <v/>
      </c>
      <c r="L123" s="129" t="str">
        <f t="shared" si="172"/>
        <v/>
      </c>
      <c r="M123" s="7" t="str">
        <f t="shared" si="173"/>
        <v/>
      </c>
      <c r="N123" s="133"/>
      <c r="O123" s="8"/>
      <c r="P123" s="5" t="str">
        <f t="shared" si="174"/>
        <v/>
      </c>
      <c r="Q123" s="121" t="str">
        <f t="shared" si="175"/>
        <v/>
      </c>
      <c r="R123" s="121" t="str">
        <f t="shared" si="176"/>
        <v/>
      </c>
      <c r="S123" s="7" t="str">
        <f t="shared" si="177"/>
        <v/>
      </c>
      <c r="T123" s="5"/>
      <c r="U123" s="5" t="str">
        <f t="shared" si="178"/>
        <v/>
      </c>
      <c r="V123" s="121" t="str">
        <f t="shared" si="179"/>
        <v/>
      </c>
      <c r="W123" s="121" t="str">
        <f t="shared" si="180"/>
        <v/>
      </c>
      <c r="X123" s="7" t="str">
        <f t="shared" si="181"/>
        <v/>
      </c>
      <c r="Y123" s="136"/>
      <c r="Z123" s="5" t="str">
        <f t="shared" si="182"/>
        <v/>
      </c>
      <c r="AA123" s="137" t="s">
        <v>183</v>
      </c>
      <c r="AB123" s="7" t="str">
        <f t="shared" si="183"/>
        <v/>
      </c>
      <c r="AC123" s="9"/>
      <c r="AD123" s="4"/>
      <c r="AE123" s="138" t="str">
        <f t="shared" si="184"/>
        <v/>
      </c>
      <c r="AF123" s="139" t="str">
        <f t="shared" si="185"/>
        <v/>
      </c>
      <c r="AG123" s="139" t="str">
        <f t="shared" si="186"/>
        <v/>
      </c>
      <c r="AH123" s="139" t="str">
        <f t="shared" si="187"/>
        <v/>
      </c>
      <c r="AI123" s="139" t="str">
        <f t="shared" si="188"/>
        <v/>
      </c>
      <c r="AJ123" s="140" t="str">
        <f t="shared" si="189"/>
        <v/>
      </c>
      <c r="AK123" s="8"/>
      <c r="AL123" s="8" t="str">
        <f>IF(AM123="","",IF(各種設定金額!$B$7="","○○県",各種設定金額!$B$7))</f>
        <v/>
      </c>
      <c r="AM123" s="4"/>
      <c r="AN123" s="4"/>
      <c r="AO123" s="141" t="str">
        <f t="shared" si="190"/>
        <v/>
      </c>
      <c r="AP123" s="10"/>
      <c r="AQ123" s="129"/>
      <c r="AR123" s="142" t="s">
        <v>182</v>
      </c>
      <c r="AS123" s="131" t="str">
        <f t="shared" si="191"/>
        <v/>
      </c>
      <c r="AT123" s="132" t="str">
        <f t="shared" si="192"/>
        <v/>
      </c>
      <c r="AU123" s="132" t="str">
        <f t="shared" si="193"/>
        <v/>
      </c>
      <c r="AV123" s="132" t="str">
        <f t="shared" si="194"/>
        <v/>
      </c>
      <c r="AW123" s="132" t="str">
        <f t="shared" si="195"/>
        <v/>
      </c>
      <c r="AX123" s="143" t="str">
        <f t="shared" si="196"/>
        <v/>
      </c>
      <c r="AY123" s="144"/>
      <c r="AZ123" s="8" t="str">
        <f>IF(BA123="","",IF(各種設定金額!$B$7="","○○県",各種設定金額!$B$7))</f>
        <v/>
      </c>
      <c r="BA123" s="6"/>
      <c r="BB123" s="4"/>
      <c r="BC123" s="141" t="str">
        <f t="shared" si="197"/>
        <v/>
      </c>
      <c r="BD123" s="10"/>
      <c r="BE123" s="129"/>
      <c r="BF123" s="145" t="s">
        <v>63</v>
      </c>
      <c r="BG123" s="131" t="str">
        <f t="shared" si="198"/>
        <v/>
      </c>
      <c r="BH123" s="132" t="str">
        <f t="shared" si="199"/>
        <v/>
      </c>
      <c r="BI123" s="132" t="str">
        <f t="shared" si="200"/>
        <v/>
      </c>
      <c r="BJ123" s="132" t="str">
        <f t="shared" si="201"/>
        <v/>
      </c>
      <c r="BK123" s="132" t="str">
        <f t="shared" si="202"/>
        <v/>
      </c>
      <c r="BL123" s="132" t="str">
        <f t="shared" si="203"/>
        <v/>
      </c>
      <c r="BM123" s="146"/>
      <c r="BN123" s="8" t="str">
        <f>IF(BO123="","",IF(各種設定金額!$B$7="","○○県",各種設定金額!$B$7))</f>
        <v/>
      </c>
      <c r="BO123" s="6"/>
      <c r="BP123" s="4"/>
      <c r="BQ123" s="141" t="str">
        <f t="shared" si="204"/>
        <v/>
      </c>
      <c r="BR123" s="10"/>
      <c r="BS123" s="129"/>
      <c r="BT123" s="145" t="s">
        <v>63</v>
      </c>
      <c r="BU123" s="131" t="str">
        <f t="shared" si="205"/>
        <v/>
      </c>
      <c r="BV123" s="132" t="str">
        <f t="shared" si="206"/>
        <v/>
      </c>
      <c r="BW123" s="132" t="str">
        <f t="shared" si="207"/>
        <v/>
      </c>
      <c r="BX123" s="132" t="str">
        <f t="shared" si="208"/>
        <v/>
      </c>
      <c r="BY123" s="132" t="str">
        <f t="shared" si="209"/>
        <v/>
      </c>
      <c r="BZ123" s="132" t="str">
        <f t="shared" si="210"/>
        <v/>
      </c>
      <c r="CA123" s="146"/>
      <c r="CB123" s="10" t="str">
        <f t="shared" si="211"/>
        <v/>
      </c>
      <c r="CC123" s="7" t="str">
        <f t="shared" si="212"/>
        <v/>
      </c>
      <c r="CD123" s="147"/>
      <c r="CE123" s="147"/>
      <c r="CF123" s="6"/>
      <c r="CG123" s="4"/>
      <c r="CH123" s="148">
        <f t="shared" ca="1" si="213"/>
        <v>2026</v>
      </c>
      <c r="CI123" s="121" t="str">
        <f t="shared" ca="1" si="214"/>
        <v>令和</v>
      </c>
      <c r="CJ123" s="122" t="str">
        <f t="shared" ca="1" si="215"/>
        <v>R</v>
      </c>
      <c r="CK123" s="122" t="str">
        <f t="shared" ca="1" si="216"/>
        <v>8</v>
      </c>
      <c r="CL123" s="122">
        <f t="shared" ca="1" si="217"/>
        <v>10</v>
      </c>
      <c r="CM123" s="149">
        <f t="shared" ca="1" si="218"/>
        <v>24</v>
      </c>
      <c r="CN123" s="1"/>
      <c r="CO123" s="150">
        <f t="shared" ca="1" si="219"/>
        <v>46319</v>
      </c>
    </row>
    <row r="124" spans="1:93" ht="20.100000000000001" customHeight="1" x14ac:dyDescent="0.15">
      <c r="A124" s="7" t="str">
        <f>IF(B124="","",ROW()-ROW(会員表[#Headers]))</f>
        <v/>
      </c>
      <c r="B124" s="4" ph="1"/>
      <c r="C124" s="4" t="str" cm="1">
        <f t="array" ref="C124">_xlfn.LET(_xlpm.s,PHONETIC(B124),_xlpm.c,_xlfn.UNICODE(MID(_xlpm.s,_xlfn.SEQUENCE(LEN(_xlpm.s)),1)),IF(_xlpm.s="","",_xlfn.CONCAT(_xlfn.UNICHAR(_xlpm.c-96*(_xlpm.c&gt;=12449)*(_xlpm.c&lt;=12534)))))</f>
        <v/>
      </c>
      <c r="D124" s="4" t="str" cm="1">
        <f t="array" ref="D124">_xlfn.LET(_xlpm.s,PHONETIC(B124),_xlpm.c,_xlfn.UNICODE(MID(_xlpm.s,_xlfn.SEQUENCE(LEN(_xlpm.s)),1)),IF(_xlpm.s="","",_xlfn.CONCAT(_xlfn.UNICHAR(_xlpm.c+96*(_xlpm.c&gt;=12353)*(_xlpm.c&lt;=12438)))))</f>
        <v/>
      </c>
      <c r="E124" s="129" t="str">
        <f t="shared" ca="1" si="165"/>
        <v/>
      </c>
      <c r="F124" s="130" t="str">
        <f t="shared" si="166"/>
        <v/>
      </c>
      <c r="G124" s="130" t="str">
        <f t="shared" si="167"/>
        <v/>
      </c>
      <c r="H124" s="130" t="str">
        <f t="shared" si="168"/>
        <v/>
      </c>
      <c r="I124" s="131" t="str">
        <f t="shared" si="169"/>
        <v/>
      </c>
      <c r="J124" s="132" t="str">
        <f t="shared" si="170"/>
        <v/>
      </c>
      <c r="K124" s="121" t="str">
        <f t="shared" si="171"/>
        <v/>
      </c>
      <c r="L124" s="129" t="str">
        <f t="shared" si="172"/>
        <v/>
      </c>
      <c r="M124" s="7" t="str">
        <f t="shared" si="173"/>
        <v/>
      </c>
      <c r="N124" s="133"/>
      <c r="O124" s="8"/>
      <c r="P124" s="5" t="str">
        <f t="shared" si="174"/>
        <v/>
      </c>
      <c r="Q124" s="121" t="str">
        <f t="shared" si="175"/>
        <v/>
      </c>
      <c r="R124" s="121" t="str">
        <f t="shared" si="176"/>
        <v/>
      </c>
      <c r="S124" s="7" t="str">
        <f t="shared" si="177"/>
        <v/>
      </c>
      <c r="T124" s="5"/>
      <c r="U124" s="5" t="str">
        <f t="shared" si="178"/>
        <v/>
      </c>
      <c r="V124" s="121" t="str">
        <f t="shared" si="179"/>
        <v/>
      </c>
      <c r="W124" s="121" t="str">
        <f t="shared" si="180"/>
        <v/>
      </c>
      <c r="X124" s="7" t="str">
        <f t="shared" si="181"/>
        <v/>
      </c>
      <c r="Y124" s="136"/>
      <c r="Z124" s="5" t="str">
        <f t="shared" si="182"/>
        <v/>
      </c>
      <c r="AA124" s="137" t="s">
        <v>183</v>
      </c>
      <c r="AB124" s="7" t="str">
        <f t="shared" si="183"/>
        <v/>
      </c>
      <c r="AC124" s="9"/>
      <c r="AD124" s="4"/>
      <c r="AE124" s="138" t="str">
        <f t="shared" si="184"/>
        <v/>
      </c>
      <c r="AF124" s="139" t="str">
        <f t="shared" si="185"/>
        <v/>
      </c>
      <c r="AG124" s="139" t="str">
        <f t="shared" si="186"/>
        <v/>
      </c>
      <c r="AH124" s="139" t="str">
        <f t="shared" si="187"/>
        <v/>
      </c>
      <c r="AI124" s="139" t="str">
        <f t="shared" si="188"/>
        <v/>
      </c>
      <c r="AJ124" s="140" t="str">
        <f t="shared" si="189"/>
        <v/>
      </c>
      <c r="AK124" s="8"/>
      <c r="AL124" s="8" t="str">
        <f>IF(AM124="","",IF(各種設定金額!$B$7="","○○県",各種設定金額!$B$7))</f>
        <v/>
      </c>
      <c r="AM124" s="4"/>
      <c r="AN124" s="4"/>
      <c r="AO124" s="141" t="str">
        <f t="shared" si="190"/>
        <v/>
      </c>
      <c r="AP124" s="10"/>
      <c r="AQ124" s="129"/>
      <c r="AR124" s="142" t="s">
        <v>182</v>
      </c>
      <c r="AS124" s="131" t="str">
        <f t="shared" si="191"/>
        <v/>
      </c>
      <c r="AT124" s="132" t="str">
        <f t="shared" si="192"/>
        <v/>
      </c>
      <c r="AU124" s="132" t="str">
        <f t="shared" si="193"/>
        <v/>
      </c>
      <c r="AV124" s="132" t="str">
        <f t="shared" si="194"/>
        <v/>
      </c>
      <c r="AW124" s="132" t="str">
        <f t="shared" si="195"/>
        <v/>
      </c>
      <c r="AX124" s="143" t="str">
        <f t="shared" si="196"/>
        <v/>
      </c>
      <c r="AY124" s="144"/>
      <c r="AZ124" s="8" t="str">
        <f>IF(BA124="","",IF(各種設定金額!$B$7="","○○県",各種設定金額!$B$7))</f>
        <v/>
      </c>
      <c r="BA124" s="6"/>
      <c r="BB124" s="4"/>
      <c r="BC124" s="141" t="str">
        <f t="shared" si="197"/>
        <v/>
      </c>
      <c r="BD124" s="10"/>
      <c r="BE124" s="129"/>
      <c r="BF124" s="145" t="s">
        <v>63</v>
      </c>
      <c r="BG124" s="131" t="str">
        <f t="shared" si="198"/>
        <v/>
      </c>
      <c r="BH124" s="132" t="str">
        <f t="shared" si="199"/>
        <v/>
      </c>
      <c r="BI124" s="132" t="str">
        <f t="shared" si="200"/>
        <v/>
      </c>
      <c r="BJ124" s="132" t="str">
        <f t="shared" si="201"/>
        <v/>
      </c>
      <c r="BK124" s="132" t="str">
        <f t="shared" si="202"/>
        <v/>
      </c>
      <c r="BL124" s="132" t="str">
        <f t="shared" si="203"/>
        <v/>
      </c>
      <c r="BM124" s="146"/>
      <c r="BN124" s="8" t="str">
        <f>IF(BO124="","",IF(各種設定金額!$B$7="","○○県",各種設定金額!$B$7))</f>
        <v/>
      </c>
      <c r="BO124" s="6"/>
      <c r="BP124" s="4"/>
      <c r="BQ124" s="141" t="str">
        <f t="shared" si="204"/>
        <v/>
      </c>
      <c r="BR124" s="10"/>
      <c r="BS124" s="129"/>
      <c r="BT124" s="145" t="s">
        <v>63</v>
      </c>
      <c r="BU124" s="131" t="str">
        <f t="shared" si="205"/>
        <v/>
      </c>
      <c r="BV124" s="132" t="str">
        <f t="shared" si="206"/>
        <v/>
      </c>
      <c r="BW124" s="132" t="str">
        <f t="shared" si="207"/>
        <v/>
      </c>
      <c r="BX124" s="132" t="str">
        <f t="shared" si="208"/>
        <v/>
      </c>
      <c r="BY124" s="132" t="str">
        <f t="shared" si="209"/>
        <v/>
      </c>
      <c r="BZ124" s="132" t="str">
        <f t="shared" si="210"/>
        <v/>
      </c>
      <c r="CA124" s="146"/>
      <c r="CB124" s="10" t="str">
        <f t="shared" si="211"/>
        <v/>
      </c>
      <c r="CC124" s="7" t="str">
        <f t="shared" si="212"/>
        <v/>
      </c>
      <c r="CD124" s="147"/>
      <c r="CE124" s="147"/>
      <c r="CF124" s="6"/>
      <c r="CG124" s="4"/>
      <c r="CH124" s="148">
        <f t="shared" ca="1" si="213"/>
        <v>2026</v>
      </c>
      <c r="CI124" s="121" t="str">
        <f t="shared" ca="1" si="214"/>
        <v>令和</v>
      </c>
      <c r="CJ124" s="122" t="str">
        <f t="shared" ca="1" si="215"/>
        <v>R</v>
      </c>
      <c r="CK124" s="122" t="str">
        <f t="shared" ca="1" si="216"/>
        <v>8</v>
      </c>
      <c r="CL124" s="122">
        <f t="shared" ca="1" si="217"/>
        <v>10</v>
      </c>
      <c r="CM124" s="149">
        <f t="shared" ca="1" si="218"/>
        <v>24</v>
      </c>
      <c r="CN124" s="1"/>
      <c r="CO124" s="150">
        <f t="shared" ca="1" si="219"/>
        <v>46319</v>
      </c>
    </row>
    <row r="125" spans="1:93" ht="20.100000000000001" customHeight="1" x14ac:dyDescent="0.15">
      <c r="A125" s="7" t="str">
        <f>IF(B125="","",ROW()-ROW(会員表[#Headers]))</f>
        <v/>
      </c>
      <c r="B125" s="4" ph="1"/>
      <c r="C125" s="4" t="str" cm="1">
        <f t="array" ref="C125">_xlfn.LET(_xlpm.s,PHONETIC(B125),_xlpm.c,_xlfn.UNICODE(MID(_xlpm.s,_xlfn.SEQUENCE(LEN(_xlpm.s)),1)),IF(_xlpm.s="","",_xlfn.CONCAT(_xlfn.UNICHAR(_xlpm.c-96*(_xlpm.c&gt;=12449)*(_xlpm.c&lt;=12534)))))</f>
        <v/>
      </c>
      <c r="D125" s="4" t="str" cm="1">
        <f t="array" ref="D125">_xlfn.LET(_xlpm.s,PHONETIC(B125),_xlpm.c,_xlfn.UNICODE(MID(_xlpm.s,_xlfn.SEQUENCE(LEN(_xlpm.s)),1)),IF(_xlpm.s="","",_xlfn.CONCAT(_xlfn.UNICHAR(_xlpm.c+96*(_xlpm.c&gt;=12353)*(_xlpm.c&lt;=12438)))))</f>
        <v/>
      </c>
      <c r="E125" s="129" t="str">
        <f t="shared" ca="1" si="165"/>
        <v/>
      </c>
      <c r="F125" s="130" t="str">
        <f t="shared" si="166"/>
        <v/>
      </c>
      <c r="G125" s="130" t="str">
        <f t="shared" si="167"/>
        <v/>
      </c>
      <c r="H125" s="130" t="str">
        <f t="shared" si="168"/>
        <v/>
      </c>
      <c r="I125" s="131" t="str">
        <f t="shared" si="169"/>
        <v/>
      </c>
      <c r="J125" s="132" t="str">
        <f t="shared" si="170"/>
        <v/>
      </c>
      <c r="K125" s="121" t="str">
        <f t="shared" si="171"/>
        <v/>
      </c>
      <c r="L125" s="129" t="str">
        <f t="shared" si="172"/>
        <v/>
      </c>
      <c r="M125" s="7" t="str">
        <f t="shared" si="173"/>
        <v/>
      </c>
      <c r="N125" s="133"/>
      <c r="O125" s="8"/>
      <c r="P125" s="5" t="str">
        <f t="shared" si="174"/>
        <v/>
      </c>
      <c r="Q125" s="121" t="str">
        <f t="shared" si="175"/>
        <v/>
      </c>
      <c r="R125" s="121" t="str">
        <f t="shared" si="176"/>
        <v/>
      </c>
      <c r="S125" s="7" t="str">
        <f t="shared" si="177"/>
        <v/>
      </c>
      <c r="T125" s="5"/>
      <c r="U125" s="5" t="str">
        <f t="shared" si="178"/>
        <v/>
      </c>
      <c r="V125" s="121" t="str">
        <f t="shared" si="179"/>
        <v/>
      </c>
      <c r="W125" s="121" t="str">
        <f t="shared" si="180"/>
        <v/>
      </c>
      <c r="X125" s="7" t="str">
        <f t="shared" si="181"/>
        <v/>
      </c>
      <c r="Y125" s="136"/>
      <c r="Z125" s="5" t="str">
        <f t="shared" si="182"/>
        <v/>
      </c>
      <c r="AA125" s="137" t="s">
        <v>183</v>
      </c>
      <c r="AB125" s="7" t="str">
        <f t="shared" si="183"/>
        <v/>
      </c>
      <c r="AC125" s="9"/>
      <c r="AD125" s="4"/>
      <c r="AE125" s="138" t="str">
        <f t="shared" si="184"/>
        <v/>
      </c>
      <c r="AF125" s="139" t="str">
        <f t="shared" si="185"/>
        <v/>
      </c>
      <c r="AG125" s="139" t="str">
        <f t="shared" si="186"/>
        <v/>
      </c>
      <c r="AH125" s="139" t="str">
        <f t="shared" si="187"/>
        <v/>
      </c>
      <c r="AI125" s="139" t="str">
        <f t="shared" si="188"/>
        <v/>
      </c>
      <c r="AJ125" s="140" t="str">
        <f t="shared" si="189"/>
        <v/>
      </c>
      <c r="AK125" s="8"/>
      <c r="AL125" s="8" t="str">
        <f>IF(AM125="","",IF(各種設定金額!$B$7="","○○県",各種設定金額!$B$7))</f>
        <v/>
      </c>
      <c r="AM125" s="4"/>
      <c r="AN125" s="4"/>
      <c r="AO125" s="141" t="str">
        <f t="shared" si="190"/>
        <v/>
      </c>
      <c r="AP125" s="10"/>
      <c r="AQ125" s="129"/>
      <c r="AR125" s="142" t="s">
        <v>182</v>
      </c>
      <c r="AS125" s="131" t="str">
        <f t="shared" si="191"/>
        <v/>
      </c>
      <c r="AT125" s="132" t="str">
        <f t="shared" si="192"/>
        <v/>
      </c>
      <c r="AU125" s="132" t="str">
        <f t="shared" si="193"/>
        <v/>
      </c>
      <c r="AV125" s="132" t="str">
        <f t="shared" si="194"/>
        <v/>
      </c>
      <c r="AW125" s="132" t="str">
        <f t="shared" si="195"/>
        <v/>
      </c>
      <c r="AX125" s="143" t="str">
        <f t="shared" si="196"/>
        <v/>
      </c>
      <c r="AY125" s="144"/>
      <c r="AZ125" s="8" t="str">
        <f>IF(BA125="","",IF(各種設定金額!$B$7="","○○県",各種設定金額!$B$7))</f>
        <v/>
      </c>
      <c r="BA125" s="6"/>
      <c r="BB125" s="4"/>
      <c r="BC125" s="141" t="str">
        <f t="shared" si="197"/>
        <v/>
      </c>
      <c r="BD125" s="10"/>
      <c r="BE125" s="129"/>
      <c r="BF125" s="145" t="s">
        <v>63</v>
      </c>
      <c r="BG125" s="131" t="str">
        <f t="shared" si="198"/>
        <v/>
      </c>
      <c r="BH125" s="132" t="str">
        <f t="shared" si="199"/>
        <v/>
      </c>
      <c r="BI125" s="132" t="str">
        <f t="shared" si="200"/>
        <v/>
      </c>
      <c r="BJ125" s="132" t="str">
        <f t="shared" si="201"/>
        <v/>
      </c>
      <c r="BK125" s="132" t="str">
        <f t="shared" si="202"/>
        <v/>
      </c>
      <c r="BL125" s="132" t="str">
        <f t="shared" si="203"/>
        <v/>
      </c>
      <c r="BM125" s="146"/>
      <c r="BN125" s="8" t="str">
        <f>IF(BO125="","",IF(各種設定金額!$B$7="","○○県",各種設定金額!$B$7))</f>
        <v/>
      </c>
      <c r="BO125" s="6"/>
      <c r="BP125" s="4"/>
      <c r="BQ125" s="141" t="str">
        <f t="shared" si="204"/>
        <v/>
      </c>
      <c r="BR125" s="10"/>
      <c r="BS125" s="129"/>
      <c r="BT125" s="145" t="s">
        <v>63</v>
      </c>
      <c r="BU125" s="131" t="str">
        <f t="shared" si="205"/>
        <v/>
      </c>
      <c r="BV125" s="132" t="str">
        <f t="shared" si="206"/>
        <v/>
      </c>
      <c r="BW125" s="132" t="str">
        <f t="shared" si="207"/>
        <v/>
      </c>
      <c r="BX125" s="132" t="str">
        <f t="shared" si="208"/>
        <v/>
      </c>
      <c r="BY125" s="132" t="str">
        <f t="shared" si="209"/>
        <v/>
      </c>
      <c r="BZ125" s="132" t="str">
        <f t="shared" si="210"/>
        <v/>
      </c>
      <c r="CA125" s="146"/>
      <c r="CB125" s="10" t="str">
        <f t="shared" si="211"/>
        <v/>
      </c>
      <c r="CC125" s="7" t="str">
        <f t="shared" si="212"/>
        <v/>
      </c>
      <c r="CD125" s="147"/>
      <c r="CE125" s="147"/>
      <c r="CF125" s="6"/>
      <c r="CG125" s="4"/>
      <c r="CH125" s="148">
        <f t="shared" ca="1" si="213"/>
        <v>2026</v>
      </c>
      <c r="CI125" s="121" t="str">
        <f t="shared" ca="1" si="214"/>
        <v>令和</v>
      </c>
      <c r="CJ125" s="122" t="str">
        <f t="shared" ca="1" si="215"/>
        <v>R</v>
      </c>
      <c r="CK125" s="122" t="str">
        <f t="shared" ca="1" si="216"/>
        <v>8</v>
      </c>
      <c r="CL125" s="122">
        <f t="shared" ca="1" si="217"/>
        <v>10</v>
      </c>
      <c r="CM125" s="149">
        <f t="shared" ca="1" si="218"/>
        <v>24</v>
      </c>
      <c r="CN125" s="1"/>
      <c r="CO125" s="150">
        <f t="shared" ca="1" si="219"/>
        <v>46319</v>
      </c>
    </row>
    <row r="126" spans="1:93" ht="20.100000000000001" customHeight="1" x14ac:dyDescent="0.15">
      <c r="A126" s="7" t="str">
        <f>IF(B126="","",ROW()-ROW(会員表[#Headers]))</f>
        <v/>
      </c>
      <c r="B126" s="4" ph="1"/>
      <c r="C126" s="4" t="str" cm="1">
        <f t="array" ref="C126">_xlfn.LET(_xlpm.s,PHONETIC(B126),_xlpm.c,_xlfn.UNICODE(MID(_xlpm.s,_xlfn.SEQUENCE(LEN(_xlpm.s)),1)),IF(_xlpm.s="","",_xlfn.CONCAT(_xlfn.UNICHAR(_xlpm.c-96*(_xlpm.c&gt;=12449)*(_xlpm.c&lt;=12534)))))</f>
        <v/>
      </c>
      <c r="D126" s="4" t="str" cm="1">
        <f t="array" ref="D126">_xlfn.LET(_xlpm.s,PHONETIC(B126),_xlpm.c,_xlfn.UNICODE(MID(_xlpm.s,_xlfn.SEQUENCE(LEN(_xlpm.s)),1)),IF(_xlpm.s="","",_xlfn.CONCAT(_xlfn.UNICHAR(_xlpm.c+96*(_xlpm.c&gt;=12353)*(_xlpm.c&lt;=12438)))))</f>
        <v/>
      </c>
      <c r="E126" s="129" t="str">
        <f t="shared" ca="1" si="165"/>
        <v/>
      </c>
      <c r="F126" s="130" t="str">
        <f t="shared" si="166"/>
        <v/>
      </c>
      <c r="G126" s="130" t="str">
        <f t="shared" si="167"/>
        <v/>
      </c>
      <c r="H126" s="130" t="str">
        <f t="shared" si="168"/>
        <v/>
      </c>
      <c r="I126" s="131" t="str">
        <f t="shared" si="169"/>
        <v/>
      </c>
      <c r="J126" s="132" t="str">
        <f t="shared" si="170"/>
        <v/>
      </c>
      <c r="K126" s="121" t="str">
        <f t="shared" si="171"/>
        <v/>
      </c>
      <c r="L126" s="129" t="str">
        <f t="shared" si="172"/>
        <v/>
      </c>
      <c r="M126" s="7" t="str">
        <f t="shared" si="173"/>
        <v/>
      </c>
      <c r="N126" s="133"/>
      <c r="O126" s="8"/>
      <c r="P126" s="5" t="str">
        <f t="shared" si="174"/>
        <v/>
      </c>
      <c r="Q126" s="121" t="str">
        <f t="shared" si="175"/>
        <v/>
      </c>
      <c r="R126" s="121" t="str">
        <f t="shared" si="176"/>
        <v/>
      </c>
      <c r="S126" s="7" t="str">
        <f t="shared" si="177"/>
        <v/>
      </c>
      <c r="T126" s="5"/>
      <c r="U126" s="5" t="str">
        <f t="shared" si="178"/>
        <v/>
      </c>
      <c r="V126" s="121" t="str">
        <f t="shared" si="179"/>
        <v/>
      </c>
      <c r="W126" s="121" t="str">
        <f t="shared" si="180"/>
        <v/>
      </c>
      <c r="X126" s="7" t="str">
        <f t="shared" si="181"/>
        <v/>
      </c>
      <c r="Y126" s="136"/>
      <c r="Z126" s="5" t="str">
        <f t="shared" si="182"/>
        <v/>
      </c>
      <c r="AA126" s="137" t="s">
        <v>183</v>
      </c>
      <c r="AB126" s="7" t="str">
        <f t="shared" si="183"/>
        <v/>
      </c>
      <c r="AC126" s="9"/>
      <c r="AD126" s="4"/>
      <c r="AE126" s="138" t="str">
        <f t="shared" si="184"/>
        <v/>
      </c>
      <c r="AF126" s="139" t="str">
        <f t="shared" si="185"/>
        <v/>
      </c>
      <c r="AG126" s="139" t="str">
        <f t="shared" si="186"/>
        <v/>
      </c>
      <c r="AH126" s="139" t="str">
        <f t="shared" si="187"/>
        <v/>
      </c>
      <c r="AI126" s="139" t="str">
        <f t="shared" si="188"/>
        <v/>
      </c>
      <c r="AJ126" s="140" t="str">
        <f t="shared" si="189"/>
        <v/>
      </c>
      <c r="AK126" s="8"/>
      <c r="AL126" s="8" t="str">
        <f>IF(AM126="","",IF(各種設定金額!$B$7="","○○県",各種設定金額!$B$7))</f>
        <v/>
      </c>
      <c r="AM126" s="4"/>
      <c r="AN126" s="4"/>
      <c r="AO126" s="141" t="str">
        <f t="shared" si="190"/>
        <v/>
      </c>
      <c r="AP126" s="10"/>
      <c r="AQ126" s="129"/>
      <c r="AR126" s="142" t="s">
        <v>182</v>
      </c>
      <c r="AS126" s="131" t="str">
        <f t="shared" si="191"/>
        <v/>
      </c>
      <c r="AT126" s="132" t="str">
        <f t="shared" si="192"/>
        <v/>
      </c>
      <c r="AU126" s="132" t="str">
        <f t="shared" si="193"/>
        <v/>
      </c>
      <c r="AV126" s="132" t="str">
        <f t="shared" si="194"/>
        <v/>
      </c>
      <c r="AW126" s="132" t="str">
        <f t="shared" si="195"/>
        <v/>
      </c>
      <c r="AX126" s="143" t="str">
        <f t="shared" si="196"/>
        <v/>
      </c>
      <c r="AY126" s="144"/>
      <c r="AZ126" s="8" t="str">
        <f>IF(BA126="","",IF(各種設定金額!$B$7="","○○県",各種設定金額!$B$7))</f>
        <v/>
      </c>
      <c r="BA126" s="6"/>
      <c r="BB126" s="4"/>
      <c r="BC126" s="141" t="str">
        <f t="shared" si="197"/>
        <v/>
      </c>
      <c r="BD126" s="10"/>
      <c r="BE126" s="129"/>
      <c r="BF126" s="145" t="s">
        <v>63</v>
      </c>
      <c r="BG126" s="131" t="str">
        <f t="shared" si="198"/>
        <v/>
      </c>
      <c r="BH126" s="132" t="str">
        <f t="shared" si="199"/>
        <v/>
      </c>
      <c r="BI126" s="132" t="str">
        <f t="shared" si="200"/>
        <v/>
      </c>
      <c r="BJ126" s="132" t="str">
        <f t="shared" si="201"/>
        <v/>
      </c>
      <c r="BK126" s="132" t="str">
        <f t="shared" si="202"/>
        <v/>
      </c>
      <c r="BL126" s="132" t="str">
        <f t="shared" si="203"/>
        <v/>
      </c>
      <c r="BM126" s="146"/>
      <c r="BN126" s="8" t="str">
        <f>IF(BO126="","",IF(各種設定金額!$B$7="","○○県",各種設定金額!$B$7))</f>
        <v/>
      </c>
      <c r="BO126" s="6"/>
      <c r="BP126" s="4"/>
      <c r="BQ126" s="141" t="str">
        <f t="shared" si="204"/>
        <v/>
      </c>
      <c r="BR126" s="10"/>
      <c r="BS126" s="129"/>
      <c r="BT126" s="145" t="s">
        <v>63</v>
      </c>
      <c r="BU126" s="131" t="str">
        <f t="shared" si="205"/>
        <v/>
      </c>
      <c r="BV126" s="132" t="str">
        <f t="shared" si="206"/>
        <v/>
      </c>
      <c r="BW126" s="132" t="str">
        <f t="shared" si="207"/>
        <v/>
      </c>
      <c r="BX126" s="132" t="str">
        <f t="shared" si="208"/>
        <v/>
      </c>
      <c r="BY126" s="132" t="str">
        <f t="shared" si="209"/>
        <v/>
      </c>
      <c r="BZ126" s="132" t="str">
        <f t="shared" si="210"/>
        <v/>
      </c>
      <c r="CA126" s="146"/>
      <c r="CB126" s="10" t="str">
        <f t="shared" si="211"/>
        <v/>
      </c>
      <c r="CC126" s="7" t="str">
        <f t="shared" si="212"/>
        <v/>
      </c>
      <c r="CD126" s="147"/>
      <c r="CE126" s="147"/>
      <c r="CF126" s="6"/>
      <c r="CG126" s="4"/>
      <c r="CH126" s="148">
        <f t="shared" ca="1" si="213"/>
        <v>2026</v>
      </c>
      <c r="CI126" s="121" t="str">
        <f t="shared" ca="1" si="214"/>
        <v>令和</v>
      </c>
      <c r="CJ126" s="122" t="str">
        <f t="shared" ca="1" si="215"/>
        <v>R</v>
      </c>
      <c r="CK126" s="122" t="str">
        <f t="shared" ca="1" si="216"/>
        <v>8</v>
      </c>
      <c r="CL126" s="122">
        <f t="shared" ca="1" si="217"/>
        <v>10</v>
      </c>
      <c r="CM126" s="149">
        <f t="shared" ca="1" si="218"/>
        <v>24</v>
      </c>
      <c r="CN126" s="1"/>
      <c r="CO126" s="150">
        <f t="shared" ca="1" si="219"/>
        <v>46319</v>
      </c>
    </row>
    <row r="127" spans="1:93" ht="20.100000000000001" customHeight="1" x14ac:dyDescent="0.15">
      <c r="A127" s="7" t="str">
        <f>IF(B127="","",ROW()-ROW(会員表[#Headers]))</f>
        <v/>
      </c>
      <c r="B127" s="4" ph="1"/>
      <c r="C127" s="4" t="str" cm="1">
        <f t="array" ref="C127">_xlfn.LET(_xlpm.s,PHONETIC(B127),_xlpm.c,_xlfn.UNICODE(MID(_xlpm.s,_xlfn.SEQUENCE(LEN(_xlpm.s)),1)),IF(_xlpm.s="","",_xlfn.CONCAT(_xlfn.UNICHAR(_xlpm.c-96*(_xlpm.c&gt;=12449)*(_xlpm.c&lt;=12534)))))</f>
        <v/>
      </c>
      <c r="D127" s="4" t="str" cm="1">
        <f t="array" ref="D127">_xlfn.LET(_xlpm.s,PHONETIC(B127),_xlpm.c,_xlfn.UNICODE(MID(_xlpm.s,_xlfn.SEQUENCE(LEN(_xlpm.s)),1)),IF(_xlpm.s="","",_xlfn.CONCAT(_xlfn.UNICHAR(_xlpm.c+96*(_xlpm.c&gt;=12353)*(_xlpm.c&lt;=12438)))))</f>
        <v/>
      </c>
      <c r="E127" s="129" t="str">
        <f t="shared" ca="1" si="165"/>
        <v/>
      </c>
      <c r="F127" s="130" t="str">
        <f t="shared" si="166"/>
        <v/>
      </c>
      <c r="G127" s="130" t="str">
        <f t="shared" si="167"/>
        <v/>
      </c>
      <c r="H127" s="130" t="str">
        <f t="shared" si="168"/>
        <v/>
      </c>
      <c r="I127" s="131" t="str">
        <f t="shared" si="169"/>
        <v/>
      </c>
      <c r="J127" s="132" t="str">
        <f t="shared" si="170"/>
        <v/>
      </c>
      <c r="K127" s="121" t="str">
        <f t="shared" si="171"/>
        <v/>
      </c>
      <c r="L127" s="129" t="str">
        <f t="shared" si="172"/>
        <v/>
      </c>
      <c r="M127" s="7" t="str">
        <f t="shared" si="173"/>
        <v/>
      </c>
      <c r="N127" s="133"/>
      <c r="O127" s="8"/>
      <c r="P127" s="5" t="str">
        <f t="shared" si="174"/>
        <v/>
      </c>
      <c r="Q127" s="121" t="str">
        <f t="shared" si="175"/>
        <v/>
      </c>
      <c r="R127" s="121" t="str">
        <f t="shared" si="176"/>
        <v/>
      </c>
      <c r="S127" s="7" t="str">
        <f t="shared" si="177"/>
        <v/>
      </c>
      <c r="T127" s="5"/>
      <c r="U127" s="5" t="str">
        <f t="shared" si="178"/>
        <v/>
      </c>
      <c r="V127" s="121" t="str">
        <f t="shared" si="179"/>
        <v/>
      </c>
      <c r="W127" s="121" t="str">
        <f t="shared" si="180"/>
        <v/>
      </c>
      <c r="X127" s="7" t="str">
        <f t="shared" si="181"/>
        <v/>
      </c>
      <c r="Y127" s="136"/>
      <c r="Z127" s="5" t="str">
        <f t="shared" si="182"/>
        <v/>
      </c>
      <c r="AA127" s="137" t="s">
        <v>183</v>
      </c>
      <c r="AB127" s="7" t="str">
        <f t="shared" si="183"/>
        <v/>
      </c>
      <c r="AC127" s="9"/>
      <c r="AD127" s="4"/>
      <c r="AE127" s="138" t="str">
        <f t="shared" si="184"/>
        <v/>
      </c>
      <c r="AF127" s="139" t="str">
        <f t="shared" si="185"/>
        <v/>
      </c>
      <c r="AG127" s="139" t="str">
        <f t="shared" si="186"/>
        <v/>
      </c>
      <c r="AH127" s="139" t="str">
        <f t="shared" si="187"/>
        <v/>
      </c>
      <c r="AI127" s="139" t="str">
        <f t="shared" si="188"/>
        <v/>
      </c>
      <c r="AJ127" s="140" t="str">
        <f t="shared" si="189"/>
        <v/>
      </c>
      <c r="AK127" s="8"/>
      <c r="AL127" s="8" t="str">
        <f>IF(AM127="","",IF(各種設定金額!$B$7="","○○県",各種設定金額!$B$7))</f>
        <v/>
      </c>
      <c r="AM127" s="4"/>
      <c r="AN127" s="4"/>
      <c r="AO127" s="141" t="str">
        <f t="shared" si="190"/>
        <v/>
      </c>
      <c r="AP127" s="10"/>
      <c r="AQ127" s="129"/>
      <c r="AR127" s="142" t="s">
        <v>182</v>
      </c>
      <c r="AS127" s="131" t="str">
        <f t="shared" si="191"/>
        <v/>
      </c>
      <c r="AT127" s="132" t="str">
        <f t="shared" si="192"/>
        <v/>
      </c>
      <c r="AU127" s="132" t="str">
        <f t="shared" si="193"/>
        <v/>
      </c>
      <c r="AV127" s="132" t="str">
        <f t="shared" si="194"/>
        <v/>
      </c>
      <c r="AW127" s="132" t="str">
        <f t="shared" si="195"/>
        <v/>
      </c>
      <c r="AX127" s="143" t="str">
        <f t="shared" si="196"/>
        <v/>
      </c>
      <c r="AY127" s="144"/>
      <c r="AZ127" s="8" t="str">
        <f>IF(BA127="","",IF(各種設定金額!$B$7="","○○県",各種設定金額!$B$7))</f>
        <v/>
      </c>
      <c r="BA127" s="6"/>
      <c r="BB127" s="4"/>
      <c r="BC127" s="141" t="str">
        <f t="shared" si="197"/>
        <v/>
      </c>
      <c r="BD127" s="10"/>
      <c r="BE127" s="129"/>
      <c r="BF127" s="145" t="s">
        <v>63</v>
      </c>
      <c r="BG127" s="131" t="str">
        <f t="shared" si="198"/>
        <v/>
      </c>
      <c r="BH127" s="132" t="str">
        <f t="shared" si="199"/>
        <v/>
      </c>
      <c r="BI127" s="132" t="str">
        <f t="shared" si="200"/>
        <v/>
      </c>
      <c r="BJ127" s="132" t="str">
        <f t="shared" si="201"/>
        <v/>
      </c>
      <c r="BK127" s="132" t="str">
        <f t="shared" si="202"/>
        <v/>
      </c>
      <c r="BL127" s="132" t="str">
        <f t="shared" si="203"/>
        <v/>
      </c>
      <c r="BM127" s="146"/>
      <c r="BN127" s="8" t="str">
        <f>IF(BO127="","",IF(各種設定金額!$B$7="","○○県",各種設定金額!$B$7))</f>
        <v/>
      </c>
      <c r="BO127" s="6"/>
      <c r="BP127" s="4"/>
      <c r="BQ127" s="141" t="str">
        <f t="shared" si="204"/>
        <v/>
      </c>
      <c r="BR127" s="10"/>
      <c r="BS127" s="129"/>
      <c r="BT127" s="145" t="s">
        <v>63</v>
      </c>
      <c r="BU127" s="131" t="str">
        <f t="shared" si="205"/>
        <v/>
      </c>
      <c r="BV127" s="132" t="str">
        <f t="shared" si="206"/>
        <v/>
      </c>
      <c r="BW127" s="132" t="str">
        <f t="shared" si="207"/>
        <v/>
      </c>
      <c r="BX127" s="132" t="str">
        <f t="shared" si="208"/>
        <v/>
      </c>
      <c r="BY127" s="132" t="str">
        <f t="shared" si="209"/>
        <v/>
      </c>
      <c r="BZ127" s="132" t="str">
        <f t="shared" si="210"/>
        <v/>
      </c>
      <c r="CA127" s="146"/>
      <c r="CB127" s="10" t="str">
        <f t="shared" si="211"/>
        <v/>
      </c>
      <c r="CC127" s="7" t="str">
        <f t="shared" si="212"/>
        <v/>
      </c>
      <c r="CD127" s="147"/>
      <c r="CE127" s="147"/>
      <c r="CF127" s="6"/>
      <c r="CG127" s="4"/>
      <c r="CH127" s="148">
        <f t="shared" ca="1" si="213"/>
        <v>2026</v>
      </c>
      <c r="CI127" s="121" t="str">
        <f t="shared" ca="1" si="214"/>
        <v>令和</v>
      </c>
      <c r="CJ127" s="122" t="str">
        <f t="shared" ca="1" si="215"/>
        <v>R</v>
      </c>
      <c r="CK127" s="122" t="str">
        <f t="shared" ca="1" si="216"/>
        <v>8</v>
      </c>
      <c r="CL127" s="122">
        <f t="shared" ca="1" si="217"/>
        <v>10</v>
      </c>
      <c r="CM127" s="149">
        <f t="shared" ca="1" si="218"/>
        <v>24</v>
      </c>
      <c r="CN127" s="1"/>
      <c r="CO127" s="150">
        <f t="shared" ca="1" si="219"/>
        <v>46319</v>
      </c>
    </row>
    <row r="128" spans="1:93" ht="20.100000000000001" customHeight="1" x14ac:dyDescent="0.15">
      <c r="A128" s="7" t="str">
        <f>IF(B128="","",ROW()-ROW(会員表[#Headers]))</f>
        <v/>
      </c>
      <c r="B128" s="4" ph="1"/>
      <c r="C128" s="4" t="str" cm="1">
        <f t="array" ref="C128">_xlfn.LET(_xlpm.s,PHONETIC(B128),_xlpm.c,_xlfn.UNICODE(MID(_xlpm.s,_xlfn.SEQUENCE(LEN(_xlpm.s)),1)),IF(_xlpm.s="","",_xlfn.CONCAT(_xlfn.UNICHAR(_xlpm.c-96*(_xlpm.c&gt;=12449)*(_xlpm.c&lt;=12534)))))</f>
        <v/>
      </c>
      <c r="D128" s="4" t="str" cm="1">
        <f t="array" ref="D128">_xlfn.LET(_xlpm.s,PHONETIC(B128),_xlpm.c,_xlfn.UNICODE(MID(_xlpm.s,_xlfn.SEQUENCE(LEN(_xlpm.s)),1)),IF(_xlpm.s="","",_xlfn.CONCAT(_xlfn.UNICHAR(_xlpm.c+96*(_xlpm.c&gt;=12353)*(_xlpm.c&lt;=12438)))))</f>
        <v/>
      </c>
      <c r="E128" s="129" t="str">
        <f t="shared" ca="1" si="165"/>
        <v/>
      </c>
      <c r="F128" s="130" t="str">
        <f t="shared" si="166"/>
        <v/>
      </c>
      <c r="G128" s="130" t="str">
        <f t="shared" si="167"/>
        <v/>
      </c>
      <c r="H128" s="130" t="str">
        <f t="shared" si="168"/>
        <v/>
      </c>
      <c r="I128" s="131" t="str">
        <f t="shared" si="169"/>
        <v/>
      </c>
      <c r="J128" s="132" t="str">
        <f t="shared" si="170"/>
        <v/>
      </c>
      <c r="K128" s="121" t="str">
        <f t="shared" si="171"/>
        <v/>
      </c>
      <c r="L128" s="129" t="str">
        <f t="shared" si="172"/>
        <v/>
      </c>
      <c r="M128" s="7" t="str">
        <f t="shared" si="173"/>
        <v/>
      </c>
      <c r="N128" s="133"/>
      <c r="O128" s="8"/>
      <c r="P128" s="5" t="str">
        <f t="shared" si="174"/>
        <v/>
      </c>
      <c r="Q128" s="121" t="str">
        <f t="shared" si="175"/>
        <v/>
      </c>
      <c r="R128" s="121" t="str">
        <f t="shared" si="176"/>
        <v/>
      </c>
      <c r="S128" s="7" t="str">
        <f t="shared" si="177"/>
        <v/>
      </c>
      <c r="T128" s="5"/>
      <c r="U128" s="5" t="str">
        <f t="shared" si="178"/>
        <v/>
      </c>
      <c r="V128" s="121" t="str">
        <f t="shared" si="179"/>
        <v/>
      </c>
      <c r="W128" s="121" t="str">
        <f t="shared" si="180"/>
        <v/>
      </c>
      <c r="X128" s="7" t="str">
        <f t="shared" si="181"/>
        <v/>
      </c>
      <c r="Y128" s="136"/>
      <c r="Z128" s="5" t="str">
        <f t="shared" si="182"/>
        <v/>
      </c>
      <c r="AA128" s="137" t="s">
        <v>183</v>
      </c>
      <c r="AB128" s="7" t="str">
        <f t="shared" si="183"/>
        <v/>
      </c>
      <c r="AC128" s="9"/>
      <c r="AD128" s="4"/>
      <c r="AE128" s="138" t="str">
        <f t="shared" si="184"/>
        <v/>
      </c>
      <c r="AF128" s="139" t="str">
        <f t="shared" si="185"/>
        <v/>
      </c>
      <c r="AG128" s="139" t="str">
        <f t="shared" si="186"/>
        <v/>
      </c>
      <c r="AH128" s="139" t="str">
        <f t="shared" si="187"/>
        <v/>
      </c>
      <c r="AI128" s="139" t="str">
        <f t="shared" si="188"/>
        <v/>
      </c>
      <c r="AJ128" s="140" t="str">
        <f t="shared" si="189"/>
        <v/>
      </c>
      <c r="AK128" s="8"/>
      <c r="AL128" s="8" t="str">
        <f>IF(AM128="","",IF(各種設定金額!$B$7="","○○県",各種設定金額!$B$7))</f>
        <v/>
      </c>
      <c r="AM128" s="4"/>
      <c r="AN128" s="4"/>
      <c r="AO128" s="141" t="str">
        <f t="shared" si="190"/>
        <v/>
      </c>
      <c r="AP128" s="10"/>
      <c r="AQ128" s="129"/>
      <c r="AR128" s="142" t="s">
        <v>182</v>
      </c>
      <c r="AS128" s="131" t="str">
        <f t="shared" si="191"/>
        <v/>
      </c>
      <c r="AT128" s="132" t="str">
        <f t="shared" si="192"/>
        <v/>
      </c>
      <c r="AU128" s="132" t="str">
        <f t="shared" si="193"/>
        <v/>
      </c>
      <c r="AV128" s="132" t="str">
        <f t="shared" si="194"/>
        <v/>
      </c>
      <c r="AW128" s="132" t="str">
        <f t="shared" si="195"/>
        <v/>
      </c>
      <c r="AX128" s="143" t="str">
        <f t="shared" si="196"/>
        <v/>
      </c>
      <c r="AY128" s="144"/>
      <c r="AZ128" s="8" t="str">
        <f>IF(BA128="","",IF(各種設定金額!$B$7="","○○県",各種設定金額!$B$7))</f>
        <v/>
      </c>
      <c r="BA128" s="6"/>
      <c r="BB128" s="4"/>
      <c r="BC128" s="141" t="str">
        <f t="shared" si="197"/>
        <v/>
      </c>
      <c r="BD128" s="10"/>
      <c r="BE128" s="129"/>
      <c r="BF128" s="145" t="s">
        <v>63</v>
      </c>
      <c r="BG128" s="131" t="str">
        <f t="shared" si="198"/>
        <v/>
      </c>
      <c r="BH128" s="132" t="str">
        <f t="shared" si="199"/>
        <v/>
      </c>
      <c r="BI128" s="132" t="str">
        <f t="shared" si="200"/>
        <v/>
      </c>
      <c r="BJ128" s="132" t="str">
        <f t="shared" si="201"/>
        <v/>
      </c>
      <c r="BK128" s="132" t="str">
        <f t="shared" si="202"/>
        <v/>
      </c>
      <c r="BL128" s="132" t="str">
        <f t="shared" si="203"/>
        <v/>
      </c>
      <c r="BM128" s="146"/>
      <c r="BN128" s="8" t="str">
        <f>IF(BO128="","",IF(各種設定金額!$B$7="","○○県",各種設定金額!$B$7))</f>
        <v/>
      </c>
      <c r="BO128" s="6"/>
      <c r="BP128" s="4"/>
      <c r="BQ128" s="141" t="str">
        <f t="shared" si="204"/>
        <v/>
      </c>
      <c r="BR128" s="10"/>
      <c r="BS128" s="129"/>
      <c r="BT128" s="145" t="s">
        <v>63</v>
      </c>
      <c r="BU128" s="131" t="str">
        <f t="shared" si="205"/>
        <v/>
      </c>
      <c r="BV128" s="132" t="str">
        <f t="shared" si="206"/>
        <v/>
      </c>
      <c r="BW128" s="132" t="str">
        <f t="shared" si="207"/>
        <v/>
      </c>
      <c r="BX128" s="132" t="str">
        <f t="shared" si="208"/>
        <v/>
      </c>
      <c r="BY128" s="132" t="str">
        <f t="shared" si="209"/>
        <v/>
      </c>
      <c r="BZ128" s="132" t="str">
        <f t="shared" si="210"/>
        <v/>
      </c>
      <c r="CA128" s="146"/>
      <c r="CB128" s="10" t="str">
        <f t="shared" si="211"/>
        <v/>
      </c>
      <c r="CC128" s="7" t="str">
        <f t="shared" si="212"/>
        <v/>
      </c>
      <c r="CD128" s="147"/>
      <c r="CE128" s="147"/>
      <c r="CF128" s="6"/>
      <c r="CG128" s="4"/>
      <c r="CH128" s="148">
        <f t="shared" ca="1" si="213"/>
        <v>2026</v>
      </c>
      <c r="CI128" s="121" t="str">
        <f t="shared" ca="1" si="214"/>
        <v>令和</v>
      </c>
      <c r="CJ128" s="122" t="str">
        <f t="shared" ca="1" si="215"/>
        <v>R</v>
      </c>
      <c r="CK128" s="122" t="str">
        <f t="shared" ca="1" si="216"/>
        <v>8</v>
      </c>
      <c r="CL128" s="122">
        <f t="shared" ca="1" si="217"/>
        <v>10</v>
      </c>
      <c r="CM128" s="149">
        <f t="shared" ca="1" si="218"/>
        <v>24</v>
      </c>
      <c r="CN128" s="1"/>
      <c r="CO128" s="150">
        <f t="shared" ca="1" si="219"/>
        <v>46319</v>
      </c>
    </row>
    <row r="129" spans="1:93" ht="20.100000000000001" customHeight="1" x14ac:dyDescent="0.15">
      <c r="A129" s="7" t="str">
        <f>IF(B129="","",ROW()-ROW(会員表[#Headers]))</f>
        <v/>
      </c>
      <c r="B129" s="4" ph="1"/>
      <c r="C129" s="4" t="str" cm="1">
        <f t="array" ref="C129">_xlfn.LET(_xlpm.s,PHONETIC(B129),_xlpm.c,_xlfn.UNICODE(MID(_xlpm.s,_xlfn.SEQUENCE(LEN(_xlpm.s)),1)),IF(_xlpm.s="","",_xlfn.CONCAT(_xlfn.UNICHAR(_xlpm.c-96*(_xlpm.c&gt;=12449)*(_xlpm.c&lt;=12534)))))</f>
        <v/>
      </c>
      <c r="D129" s="4" t="str" cm="1">
        <f t="array" ref="D129">_xlfn.LET(_xlpm.s,PHONETIC(B129),_xlpm.c,_xlfn.UNICODE(MID(_xlpm.s,_xlfn.SEQUENCE(LEN(_xlpm.s)),1)),IF(_xlpm.s="","",_xlfn.CONCAT(_xlfn.UNICHAR(_xlpm.c+96*(_xlpm.c&gt;=12353)*(_xlpm.c&lt;=12438)))))</f>
        <v/>
      </c>
      <c r="E129" s="129" t="str">
        <f t="shared" ca="1" si="165"/>
        <v/>
      </c>
      <c r="F129" s="130" t="str">
        <f t="shared" si="166"/>
        <v/>
      </c>
      <c r="G129" s="130" t="str">
        <f t="shared" si="167"/>
        <v/>
      </c>
      <c r="H129" s="130" t="str">
        <f t="shared" si="168"/>
        <v/>
      </c>
      <c r="I129" s="131" t="str">
        <f t="shared" si="169"/>
        <v/>
      </c>
      <c r="J129" s="132" t="str">
        <f t="shared" si="170"/>
        <v/>
      </c>
      <c r="K129" s="121" t="str">
        <f t="shared" si="171"/>
        <v/>
      </c>
      <c r="L129" s="129" t="str">
        <f t="shared" si="172"/>
        <v/>
      </c>
      <c r="M129" s="7" t="str">
        <f t="shared" si="173"/>
        <v/>
      </c>
      <c r="N129" s="133"/>
      <c r="O129" s="8"/>
      <c r="P129" s="5" t="str">
        <f t="shared" si="174"/>
        <v/>
      </c>
      <c r="Q129" s="121" t="str">
        <f t="shared" si="175"/>
        <v/>
      </c>
      <c r="R129" s="121" t="str">
        <f t="shared" si="176"/>
        <v/>
      </c>
      <c r="S129" s="7" t="str">
        <f t="shared" si="177"/>
        <v/>
      </c>
      <c r="T129" s="5"/>
      <c r="U129" s="5" t="str">
        <f t="shared" si="178"/>
        <v/>
      </c>
      <c r="V129" s="121" t="str">
        <f t="shared" si="179"/>
        <v/>
      </c>
      <c r="W129" s="121" t="str">
        <f t="shared" si="180"/>
        <v/>
      </c>
      <c r="X129" s="7" t="str">
        <f t="shared" si="181"/>
        <v/>
      </c>
      <c r="Y129" s="136"/>
      <c r="Z129" s="5" t="str">
        <f t="shared" si="182"/>
        <v/>
      </c>
      <c r="AA129" s="137" t="s">
        <v>183</v>
      </c>
      <c r="AB129" s="7" t="str">
        <f t="shared" si="183"/>
        <v/>
      </c>
      <c r="AC129" s="9"/>
      <c r="AD129" s="4"/>
      <c r="AE129" s="138" t="str">
        <f t="shared" si="184"/>
        <v/>
      </c>
      <c r="AF129" s="139" t="str">
        <f t="shared" si="185"/>
        <v/>
      </c>
      <c r="AG129" s="139" t="str">
        <f t="shared" si="186"/>
        <v/>
      </c>
      <c r="AH129" s="139" t="str">
        <f t="shared" si="187"/>
        <v/>
      </c>
      <c r="AI129" s="139" t="str">
        <f t="shared" si="188"/>
        <v/>
      </c>
      <c r="AJ129" s="140" t="str">
        <f t="shared" si="189"/>
        <v/>
      </c>
      <c r="AK129" s="8"/>
      <c r="AL129" s="8" t="str">
        <f>IF(AM129="","",IF(各種設定金額!$B$7="","○○県",各種設定金額!$B$7))</f>
        <v/>
      </c>
      <c r="AM129" s="4"/>
      <c r="AN129" s="4"/>
      <c r="AO129" s="141" t="str">
        <f t="shared" si="190"/>
        <v/>
      </c>
      <c r="AP129" s="10"/>
      <c r="AQ129" s="129"/>
      <c r="AR129" s="142" t="s">
        <v>182</v>
      </c>
      <c r="AS129" s="131" t="str">
        <f t="shared" si="191"/>
        <v/>
      </c>
      <c r="AT129" s="132" t="str">
        <f t="shared" si="192"/>
        <v/>
      </c>
      <c r="AU129" s="132" t="str">
        <f t="shared" si="193"/>
        <v/>
      </c>
      <c r="AV129" s="132" t="str">
        <f t="shared" si="194"/>
        <v/>
      </c>
      <c r="AW129" s="132" t="str">
        <f t="shared" si="195"/>
        <v/>
      </c>
      <c r="AX129" s="143" t="str">
        <f t="shared" si="196"/>
        <v/>
      </c>
      <c r="AY129" s="144"/>
      <c r="AZ129" s="8" t="str">
        <f>IF(BA129="","",IF(各種設定金額!$B$7="","○○県",各種設定金額!$B$7))</f>
        <v/>
      </c>
      <c r="BA129" s="6"/>
      <c r="BB129" s="4"/>
      <c r="BC129" s="141" t="str">
        <f t="shared" si="197"/>
        <v/>
      </c>
      <c r="BD129" s="10"/>
      <c r="BE129" s="129"/>
      <c r="BF129" s="145" t="s">
        <v>63</v>
      </c>
      <c r="BG129" s="131" t="str">
        <f t="shared" si="198"/>
        <v/>
      </c>
      <c r="BH129" s="132" t="str">
        <f t="shared" si="199"/>
        <v/>
      </c>
      <c r="BI129" s="132" t="str">
        <f t="shared" si="200"/>
        <v/>
      </c>
      <c r="BJ129" s="132" t="str">
        <f t="shared" si="201"/>
        <v/>
      </c>
      <c r="BK129" s="132" t="str">
        <f t="shared" si="202"/>
        <v/>
      </c>
      <c r="BL129" s="132" t="str">
        <f t="shared" si="203"/>
        <v/>
      </c>
      <c r="BM129" s="146"/>
      <c r="BN129" s="8" t="str">
        <f>IF(BO129="","",IF(各種設定金額!$B$7="","○○県",各種設定金額!$B$7))</f>
        <v/>
      </c>
      <c r="BO129" s="6"/>
      <c r="BP129" s="4"/>
      <c r="BQ129" s="141" t="str">
        <f t="shared" si="204"/>
        <v/>
      </c>
      <c r="BR129" s="10"/>
      <c r="BS129" s="129"/>
      <c r="BT129" s="145" t="s">
        <v>63</v>
      </c>
      <c r="BU129" s="131" t="str">
        <f t="shared" si="205"/>
        <v/>
      </c>
      <c r="BV129" s="132" t="str">
        <f t="shared" si="206"/>
        <v/>
      </c>
      <c r="BW129" s="132" t="str">
        <f t="shared" si="207"/>
        <v/>
      </c>
      <c r="BX129" s="132" t="str">
        <f t="shared" si="208"/>
        <v/>
      </c>
      <c r="BY129" s="132" t="str">
        <f t="shared" si="209"/>
        <v/>
      </c>
      <c r="BZ129" s="132" t="str">
        <f t="shared" si="210"/>
        <v/>
      </c>
      <c r="CA129" s="146"/>
      <c r="CB129" s="10" t="str">
        <f t="shared" si="211"/>
        <v/>
      </c>
      <c r="CC129" s="7" t="str">
        <f t="shared" si="212"/>
        <v/>
      </c>
      <c r="CD129" s="147"/>
      <c r="CE129" s="147"/>
      <c r="CF129" s="6"/>
      <c r="CG129" s="4"/>
      <c r="CH129" s="148">
        <f t="shared" ca="1" si="213"/>
        <v>2026</v>
      </c>
      <c r="CI129" s="121" t="str">
        <f t="shared" ca="1" si="214"/>
        <v>令和</v>
      </c>
      <c r="CJ129" s="122" t="str">
        <f t="shared" ca="1" si="215"/>
        <v>R</v>
      </c>
      <c r="CK129" s="122" t="str">
        <f t="shared" ca="1" si="216"/>
        <v>8</v>
      </c>
      <c r="CL129" s="122">
        <f t="shared" ca="1" si="217"/>
        <v>10</v>
      </c>
      <c r="CM129" s="149">
        <f t="shared" ca="1" si="218"/>
        <v>24</v>
      </c>
      <c r="CN129" s="1"/>
      <c r="CO129" s="150">
        <f t="shared" ca="1" si="219"/>
        <v>46319</v>
      </c>
    </row>
    <row r="130" spans="1:93" ht="20.100000000000001" customHeight="1" x14ac:dyDescent="0.15">
      <c r="A130" s="7" t="str">
        <f>IF(B130="","",ROW()-ROW(会員表[#Headers]))</f>
        <v/>
      </c>
      <c r="B130" s="4" ph="1"/>
      <c r="C130" s="4" t="str" cm="1">
        <f t="array" ref="C130">_xlfn.LET(_xlpm.s,PHONETIC(B130),_xlpm.c,_xlfn.UNICODE(MID(_xlpm.s,_xlfn.SEQUENCE(LEN(_xlpm.s)),1)),IF(_xlpm.s="","",_xlfn.CONCAT(_xlfn.UNICHAR(_xlpm.c-96*(_xlpm.c&gt;=12449)*(_xlpm.c&lt;=12534)))))</f>
        <v/>
      </c>
      <c r="D130" s="4" t="str" cm="1">
        <f t="array" ref="D130">_xlfn.LET(_xlpm.s,PHONETIC(B130),_xlpm.c,_xlfn.UNICODE(MID(_xlpm.s,_xlfn.SEQUENCE(LEN(_xlpm.s)),1)),IF(_xlpm.s="","",_xlfn.CONCAT(_xlfn.UNICHAR(_xlpm.c+96*(_xlpm.c&gt;=12353)*(_xlpm.c&lt;=12438)))))</f>
        <v/>
      </c>
      <c r="E130" s="129" t="str">
        <f t="shared" ref="E130:E151" ca="1" si="220">IF(N130="","",DATEDIF(N130,TODAY(),"Y"))</f>
        <v/>
      </c>
      <c r="F130" s="130" t="str">
        <f t="shared" ref="F130:F151" si="221">IF(I130="昭","〇","")</f>
        <v/>
      </c>
      <c r="G130" s="130" t="str">
        <f t="shared" ref="G130:G151" si="222">IF(I130="平","〇","")</f>
        <v/>
      </c>
      <c r="H130" s="130" t="str">
        <f t="shared" ref="H130:H151" si="223">IF(I130="令","〇","")</f>
        <v/>
      </c>
      <c r="I130" s="131" t="str">
        <f t="shared" ref="I130:I151" si="224">IF($N130="","",TEXT($N130,"gg"))</f>
        <v/>
      </c>
      <c r="J130" s="132" t="str">
        <f t="shared" ref="J130:J151" si="225">IF($N130="","",TEXT($N130,"ggg"))</f>
        <v/>
      </c>
      <c r="K130" s="121" t="str">
        <f t="shared" ref="K130:K151" si="226">IF($N130="","",TEXT($N130,"e"))</f>
        <v/>
      </c>
      <c r="L130" s="129" t="str">
        <f t="shared" ref="L130:L151" si="227">IF($N130="","",TEXT($N130,"m"))</f>
        <v/>
      </c>
      <c r="M130" s="7" t="str">
        <f t="shared" ref="M130:M151" si="228">IF($N130="","",TEXT($N130,"d"))</f>
        <v/>
      </c>
      <c r="N130" s="133"/>
      <c r="O130" s="8"/>
      <c r="P130" s="5" t="str">
        <f t="shared" ref="P130:P151" si="229">IFERROR(LEFT(O130,FIND("-",O130)-1),"")</f>
        <v/>
      </c>
      <c r="Q130" s="121" t="str">
        <f t="shared" ref="Q130:Q151" si="230">IFERROR(RIGHT(O130,LEN(O130)-FIND("-",O130)),"")</f>
        <v/>
      </c>
      <c r="R130" s="121" t="str">
        <f t="shared" ref="R130:R151" si="231">IFERROR(LEFT(Q130,FIND("-",Q130)-1),"")</f>
        <v/>
      </c>
      <c r="S130" s="7" t="str">
        <f t="shared" ref="S130:S151" si="232">IFERROR(RIGHT(Q130,LEN(Q130)-FIND("-",Q130)),"")</f>
        <v/>
      </c>
      <c r="T130" s="5"/>
      <c r="U130" s="5" t="str">
        <f t="shared" ref="U130:U151" si="233">IFERROR(LEFT(T130,FIND("-",T130)-1),"")</f>
        <v/>
      </c>
      <c r="V130" s="121" t="str">
        <f t="shared" ref="V130:V151" si="234">IFERROR(RIGHT(T130,LEN(T130)-FIND("-",T130)),"")</f>
        <v/>
      </c>
      <c r="W130" s="121" t="str">
        <f t="shared" ref="W130:W151" si="235">IFERROR(LEFT(V130,FIND("-",V130)-1),"")</f>
        <v/>
      </c>
      <c r="X130" s="7" t="str">
        <f t="shared" ref="X130:X151" si="236">IFERROR(RIGHT(V130,LEN(V130)-FIND("-",V130)),"")</f>
        <v/>
      </c>
      <c r="Y130" s="136"/>
      <c r="Z130" s="5" t="str">
        <f t="shared" ref="Z130:Z151" si="237">IF(Y130="","",LEFT(SUBSTITUTE(ASC(Y130),"-",""),3))</f>
        <v/>
      </c>
      <c r="AA130" s="137" t="s">
        <v>183</v>
      </c>
      <c r="AB130" s="7" t="str">
        <f t="shared" ref="AB130:AB151" si="238">IF(Y130="","",MID(SUBSTITUTE(ASC(Y130),"-",""),4,4))</f>
        <v/>
      </c>
      <c r="AC130" s="9"/>
      <c r="AD130" s="4"/>
      <c r="AE130" s="138" t="str">
        <f t="shared" ref="AE130:AE151" si="239">IF(AK130="","",TEXT($AK130,"ggg"))</f>
        <v/>
      </c>
      <c r="AF130" s="139" t="str">
        <f t="shared" ref="AF130:AF151" si="240">IF(AK130="","",TEXT($AK130,"gg"))</f>
        <v/>
      </c>
      <c r="AG130" s="139" t="str">
        <f t="shared" ref="AG130:AG151" si="241">IF(AK130="","",TEXT($AK130,"g"))</f>
        <v/>
      </c>
      <c r="AH130" s="139" t="str">
        <f t="shared" ref="AH130:AH151" si="242">IF(AK130="","",TEXT($AK130,"e"))</f>
        <v/>
      </c>
      <c r="AI130" s="139" t="str">
        <f t="shared" ref="AI130:AI151" si="243">IF(AK130="","",TEXT($AK130,"m"))</f>
        <v/>
      </c>
      <c r="AJ130" s="140" t="str">
        <f t="shared" ref="AJ130:AJ151" si="244">IF(AK130="","",TEXT($AK130,"d"))</f>
        <v/>
      </c>
      <c r="AK130" s="8"/>
      <c r="AL130" s="8" t="str">
        <f>IF(AM130="","",IF(各種設定金額!$B$7="","○○県",各種設定金額!$B$7))</f>
        <v/>
      </c>
      <c r="AM130" s="4"/>
      <c r="AN130" s="4"/>
      <c r="AO130" s="141" t="str">
        <f t="shared" ref="AO130:AO151" si="245">IF(TRIM(AQ130)="","",AP130&amp;AQ130&amp;AR130)</f>
        <v/>
      </c>
      <c r="AP130" s="10"/>
      <c r="AQ130" s="129"/>
      <c r="AR130" s="142" t="s">
        <v>182</v>
      </c>
      <c r="AS130" s="131" t="str">
        <f t="shared" ref="AS130:AS151" si="246">IF(AY130="","",TEXT($AY130,"ggg"))</f>
        <v/>
      </c>
      <c r="AT130" s="132" t="str">
        <f t="shared" ref="AT130:AT151" si="247">IF(AY130="","",TEXT($AY130,"gg"))</f>
        <v/>
      </c>
      <c r="AU130" s="132" t="str">
        <f t="shared" ref="AU130:AU151" si="248">IF(AY130="","",TEXT($AY130,"g"))</f>
        <v/>
      </c>
      <c r="AV130" s="132" t="str">
        <f t="shared" ref="AV130:AV151" si="249">IF(AY130="","",TEXT($AY130,"e"))</f>
        <v/>
      </c>
      <c r="AW130" s="132" t="str">
        <f t="shared" ref="AW130:AW151" si="250">IF(AY130="","",TEXT($AY130,"m"))</f>
        <v/>
      </c>
      <c r="AX130" s="143" t="str">
        <f t="shared" ref="AX130:AX151" si="251">IF(AY130="","",TEXT($AY130,"d"))</f>
        <v/>
      </c>
      <c r="AY130" s="144"/>
      <c r="AZ130" s="8" t="str">
        <f>IF(BA130="","",IF(各種設定金額!$B$7="","○○県",各種設定金額!$B$7))</f>
        <v/>
      </c>
      <c r="BA130" s="6"/>
      <c r="BB130" s="4"/>
      <c r="BC130" s="141" t="str">
        <f t="shared" ref="BC130:BC151" si="252">IF(TRIM(BE130)="","",BD130&amp;BE130&amp;BF130)</f>
        <v/>
      </c>
      <c r="BD130" s="10"/>
      <c r="BE130" s="129"/>
      <c r="BF130" s="145" t="s">
        <v>63</v>
      </c>
      <c r="BG130" s="131" t="str">
        <f t="shared" ref="BG130:BG151" si="253">IF(BM130="","",TEXT($BM130,"ggg"))</f>
        <v/>
      </c>
      <c r="BH130" s="132" t="str">
        <f t="shared" ref="BH130:BH151" si="254">IF(BM130="","",TEXT($BM130,"gg"))</f>
        <v/>
      </c>
      <c r="BI130" s="132" t="str">
        <f t="shared" ref="BI130:BI151" si="255">IF(BM130="","",TEXT($BM130,"g"))</f>
        <v/>
      </c>
      <c r="BJ130" s="132" t="str">
        <f t="shared" ref="BJ130:BJ151" si="256">IF(BM130="","",TEXT($BM130,"e"))</f>
        <v/>
      </c>
      <c r="BK130" s="132" t="str">
        <f t="shared" ref="BK130:BK151" si="257">IF(BM130="","",TEXT($BM130,"m"))</f>
        <v/>
      </c>
      <c r="BL130" s="132" t="str">
        <f t="shared" ref="BL130:BL151" si="258">IF(BM130="","",TEXT($BM130,"d"))</f>
        <v/>
      </c>
      <c r="BM130" s="146"/>
      <c r="BN130" s="8" t="str">
        <f>IF(BO130="","",IF(各種設定金額!$B$7="","○○県",各種設定金額!$B$7))</f>
        <v/>
      </c>
      <c r="BO130" s="6"/>
      <c r="BP130" s="4"/>
      <c r="BQ130" s="141" t="str">
        <f t="shared" ref="BQ130:BQ151" si="259">IF(TRIM(BS130)="","",BR130&amp;BS130&amp;BT130)</f>
        <v/>
      </c>
      <c r="BR130" s="10"/>
      <c r="BS130" s="129"/>
      <c r="BT130" s="145" t="s">
        <v>63</v>
      </c>
      <c r="BU130" s="131" t="str">
        <f t="shared" ref="BU130:BU151" si="260">IF(CA130="","",TEXT($CA130,"ggg"))</f>
        <v/>
      </c>
      <c r="BV130" s="132" t="str">
        <f t="shared" ref="BV130:BV151" si="261">IF(CA130="","",TEXT($CA130,"gg"))</f>
        <v/>
      </c>
      <c r="BW130" s="132" t="str">
        <f t="shared" ref="BW130:BW151" si="262">IF(CA130="","",TEXT($CA130,"g"))</f>
        <v/>
      </c>
      <c r="BX130" s="132" t="str">
        <f t="shared" ref="BX130:BX151" si="263">IF(CA130="","",TEXT($CA130,"e"))</f>
        <v/>
      </c>
      <c r="BY130" s="132" t="str">
        <f t="shared" ref="BY130:BY151" si="264">IF(CA130="","",TEXT($CA130,"m"))</f>
        <v/>
      </c>
      <c r="BZ130" s="132" t="str">
        <f t="shared" ref="BZ130:BZ151" si="265">IF(CA130="","",TEXT($CA130,"d"))</f>
        <v/>
      </c>
      <c r="CA130" s="146"/>
      <c r="CB130" s="10" t="str">
        <f t="shared" ref="CB130:CB151" si="266">IF(COUNT(AY130,BM130,CA130)=0,"",TEXT(DATE(YEAR(MIN(AY130,BM130,CA130))+3,9,14),"g"))</f>
        <v/>
      </c>
      <c r="CC130" s="7" t="str">
        <f t="shared" ref="CC130:CC151" si="267">IF(COUNT(AY130,BM130,CA130)=0,"",VALUE(TEXT(DATE(YEAR(MIN(AY130,BM130,CA130))+3,9,14),"e")))</f>
        <v/>
      </c>
      <c r="CD130" s="147"/>
      <c r="CE130" s="147"/>
      <c r="CF130" s="6"/>
      <c r="CG130" s="4"/>
      <c r="CH130" s="148">
        <f t="shared" ref="CH130:CH151" ca="1" si="268">YEAR(TODAY())</f>
        <v>2026</v>
      </c>
      <c r="CI130" s="121" t="str">
        <f t="shared" ref="CI130:CI151" ca="1" si="269">TEXT($CO130,"ggg")</f>
        <v>令和</v>
      </c>
      <c r="CJ130" s="122" t="str">
        <f t="shared" ref="CJ130:CJ151" ca="1" si="270">TEXT($CO130,"g")</f>
        <v>R</v>
      </c>
      <c r="CK130" s="122" t="str">
        <f t="shared" ref="CK130:CK151" ca="1" si="271">TEXT($CO130,"e")</f>
        <v>8</v>
      </c>
      <c r="CL130" s="122">
        <f t="shared" ref="CL130:CL151" ca="1" si="272">MONTH(TODAY())</f>
        <v>10</v>
      </c>
      <c r="CM130" s="149">
        <f t="shared" ref="CM130:CM151" ca="1" si="273">DAY(TODAY())</f>
        <v>24</v>
      </c>
      <c r="CN130" s="1"/>
      <c r="CO130" s="150">
        <f t="shared" ref="CO130:CO151" ca="1" si="274">TODAY()</f>
        <v>46319</v>
      </c>
    </row>
    <row r="131" spans="1:93" ht="20.100000000000001" customHeight="1" x14ac:dyDescent="0.15">
      <c r="A131" s="7" t="str">
        <f>IF(B131="","",ROW()-ROW(会員表[#Headers]))</f>
        <v/>
      </c>
      <c r="B131" s="4" ph="1"/>
      <c r="C131" s="4" t="str" cm="1">
        <f t="array" ref="C131">_xlfn.LET(_xlpm.s,PHONETIC(B131),_xlpm.c,_xlfn.UNICODE(MID(_xlpm.s,_xlfn.SEQUENCE(LEN(_xlpm.s)),1)),IF(_xlpm.s="","",_xlfn.CONCAT(_xlfn.UNICHAR(_xlpm.c-96*(_xlpm.c&gt;=12449)*(_xlpm.c&lt;=12534)))))</f>
        <v/>
      </c>
      <c r="D131" s="4" t="str" cm="1">
        <f t="array" ref="D131">_xlfn.LET(_xlpm.s,PHONETIC(B131),_xlpm.c,_xlfn.UNICODE(MID(_xlpm.s,_xlfn.SEQUENCE(LEN(_xlpm.s)),1)),IF(_xlpm.s="","",_xlfn.CONCAT(_xlfn.UNICHAR(_xlpm.c+96*(_xlpm.c&gt;=12353)*(_xlpm.c&lt;=12438)))))</f>
        <v/>
      </c>
      <c r="E131" s="129" t="str">
        <f t="shared" ca="1" si="220"/>
        <v/>
      </c>
      <c r="F131" s="130" t="str">
        <f t="shared" si="221"/>
        <v/>
      </c>
      <c r="G131" s="130" t="str">
        <f t="shared" si="222"/>
        <v/>
      </c>
      <c r="H131" s="130" t="str">
        <f t="shared" si="223"/>
        <v/>
      </c>
      <c r="I131" s="131" t="str">
        <f t="shared" si="224"/>
        <v/>
      </c>
      <c r="J131" s="132" t="str">
        <f t="shared" si="225"/>
        <v/>
      </c>
      <c r="K131" s="121" t="str">
        <f t="shared" si="226"/>
        <v/>
      </c>
      <c r="L131" s="129" t="str">
        <f t="shared" si="227"/>
        <v/>
      </c>
      <c r="M131" s="7" t="str">
        <f t="shared" si="228"/>
        <v/>
      </c>
      <c r="N131" s="133"/>
      <c r="O131" s="8"/>
      <c r="P131" s="5" t="str">
        <f t="shared" si="229"/>
        <v/>
      </c>
      <c r="Q131" s="121" t="str">
        <f t="shared" si="230"/>
        <v/>
      </c>
      <c r="R131" s="121" t="str">
        <f t="shared" si="231"/>
        <v/>
      </c>
      <c r="S131" s="7" t="str">
        <f t="shared" si="232"/>
        <v/>
      </c>
      <c r="T131" s="5"/>
      <c r="U131" s="5" t="str">
        <f t="shared" si="233"/>
        <v/>
      </c>
      <c r="V131" s="121" t="str">
        <f t="shared" si="234"/>
        <v/>
      </c>
      <c r="W131" s="121" t="str">
        <f t="shared" si="235"/>
        <v/>
      </c>
      <c r="X131" s="7" t="str">
        <f t="shared" si="236"/>
        <v/>
      </c>
      <c r="Y131" s="136"/>
      <c r="Z131" s="5" t="str">
        <f t="shared" si="237"/>
        <v/>
      </c>
      <c r="AA131" s="137" t="s">
        <v>183</v>
      </c>
      <c r="AB131" s="7" t="str">
        <f t="shared" si="238"/>
        <v/>
      </c>
      <c r="AC131" s="9"/>
      <c r="AD131" s="4"/>
      <c r="AE131" s="138" t="str">
        <f t="shared" si="239"/>
        <v/>
      </c>
      <c r="AF131" s="139" t="str">
        <f t="shared" si="240"/>
        <v/>
      </c>
      <c r="AG131" s="139" t="str">
        <f t="shared" si="241"/>
        <v/>
      </c>
      <c r="AH131" s="139" t="str">
        <f t="shared" si="242"/>
        <v/>
      </c>
      <c r="AI131" s="139" t="str">
        <f t="shared" si="243"/>
        <v/>
      </c>
      <c r="AJ131" s="140" t="str">
        <f t="shared" si="244"/>
        <v/>
      </c>
      <c r="AK131" s="8"/>
      <c r="AL131" s="8" t="str">
        <f>IF(AM131="","",IF(各種設定金額!$B$7="","○○県",各種設定金額!$B$7))</f>
        <v/>
      </c>
      <c r="AM131" s="4"/>
      <c r="AN131" s="4"/>
      <c r="AO131" s="141" t="str">
        <f t="shared" si="245"/>
        <v/>
      </c>
      <c r="AP131" s="10"/>
      <c r="AQ131" s="129"/>
      <c r="AR131" s="142" t="s">
        <v>182</v>
      </c>
      <c r="AS131" s="131" t="str">
        <f t="shared" si="246"/>
        <v/>
      </c>
      <c r="AT131" s="132" t="str">
        <f t="shared" si="247"/>
        <v/>
      </c>
      <c r="AU131" s="132" t="str">
        <f t="shared" si="248"/>
        <v/>
      </c>
      <c r="AV131" s="132" t="str">
        <f t="shared" si="249"/>
        <v/>
      </c>
      <c r="AW131" s="132" t="str">
        <f t="shared" si="250"/>
        <v/>
      </c>
      <c r="AX131" s="143" t="str">
        <f t="shared" si="251"/>
        <v/>
      </c>
      <c r="AY131" s="144"/>
      <c r="AZ131" s="8" t="str">
        <f>IF(BA131="","",IF(各種設定金額!$B$7="","○○県",各種設定金額!$B$7))</f>
        <v/>
      </c>
      <c r="BA131" s="6"/>
      <c r="BB131" s="4"/>
      <c r="BC131" s="141" t="str">
        <f t="shared" si="252"/>
        <v/>
      </c>
      <c r="BD131" s="10"/>
      <c r="BE131" s="129"/>
      <c r="BF131" s="145" t="s">
        <v>63</v>
      </c>
      <c r="BG131" s="131" t="str">
        <f t="shared" si="253"/>
        <v/>
      </c>
      <c r="BH131" s="132" t="str">
        <f t="shared" si="254"/>
        <v/>
      </c>
      <c r="BI131" s="132" t="str">
        <f t="shared" si="255"/>
        <v/>
      </c>
      <c r="BJ131" s="132" t="str">
        <f t="shared" si="256"/>
        <v/>
      </c>
      <c r="BK131" s="132" t="str">
        <f t="shared" si="257"/>
        <v/>
      </c>
      <c r="BL131" s="132" t="str">
        <f t="shared" si="258"/>
        <v/>
      </c>
      <c r="BM131" s="146"/>
      <c r="BN131" s="8" t="str">
        <f>IF(BO131="","",IF(各種設定金額!$B$7="","○○県",各種設定金額!$B$7))</f>
        <v/>
      </c>
      <c r="BO131" s="6"/>
      <c r="BP131" s="4"/>
      <c r="BQ131" s="141" t="str">
        <f t="shared" si="259"/>
        <v/>
      </c>
      <c r="BR131" s="10"/>
      <c r="BS131" s="129"/>
      <c r="BT131" s="145" t="s">
        <v>63</v>
      </c>
      <c r="BU131" s="131" t="str">
        <f t="shared" si="260"/>
        <v/>
      </c>
      <c r="BV131" s="132" t="str">
        <f t="shared" si="261"/>
        <v/>
      </c>
      <c r="BW131" s="132" t="str">
        <f t="shared" si="262"/>
        <v/>
      </c>
      <c r="BX131" s="132" t="str">
        <f t="shared" si="263"/>
        <v/>
      </c>
      <c r="BY131" s="132" t="str">
        <f t="shared" si="264"/>
        <v/>
      </c>
      <c r="BZ131" s="132" t="str">
        <f t="shared" si="265"/>
        <v/>
      </c>
      <c r="CA131" s="146"/>
      <c r="CB131" s="10" t="str">
        <f t="shared" si="266"/>
        <v/>
      </c>
      <c r="CC131" s="7" t="str">
        <f t="shared" si="267"/>
        <v/>
      </c>
      <c r="CD131" s="147"/>
      <c r="CE131" s="147"/>
      <c r="CF131" s="6"/>
      <c r="CG131" s="4"/>
      <c r="CH131" s="148">
        <f t="shared" ca="1" si="268"/>
        <v>2026</v>
      </c>
      <c r="CI131" s="121" t="str">
        <f t="shared" ca="1" si="269"/>
        <v>令和</v>
      </c>
      <c r="CJ131" s="122" t="str">
        <f t="shared" ca="1" si="270"/>
        <v>R</v>
      </c>
      <c r="CK131" s="122" t="str">
        <f t="shared" ca="1" si="271"/>
        <v>8</v>
      </c>
      <c r="CL131" s="122">
        <f t="shared" ca="1" si="272"/>
        <v>10</v>
      </c>
      <c r="CM131" s="149">
        <f t="shared" ca="1" si="273"/>
        <v>24</v>
      </c>
      <c r="CN131" s="1"/>
      <c r="CO131" s="150">
        <f t="shared" ca="1" si="274"/>
        <v>46319</v>
      </c>
    </row>
    <row r="132" spans="1:93" ht="20.100000000000001" customHeight="1" x14ac:dyDescent="0.15">
      <c r="A132" s="7" t="str">
        <f>IF(B132="","",ROW()-ROW(会員表[#Headers]))</f>
        <v/>
      </c>
      <c r="B132" s="4" ph="1"/>
      <c r="C132" s="4" t="str" cm="1">
        <f t="array" ref="C132">_xlfn.LET(_xlpm.s,PHONETIC(B132),_xlpm.c,_xlfn.UNICODE(MID(_xlpm.s,_xlfn.SEQUENCE(LEN(_xlpm.s)),1)),IF(_xlpm.s="","",_xlfn.CONCAT(_xlfn.UNICHAR(_xlpm.c-96*(_xlpm.c&gt;=12449)*(_xlpm.c&lt;=12534)))))</f>
        <v/>
      </c>
      <c r="D132" s="4" t="str" cm="1">
        <f t="array" ref="D132">_xlfn.LET(_xlpm.s,PHONETIC(B132),_xlpm.c,_xlfn.UNICODE(MID(_xlpm.s,_xlfn.SEQUENCE(LEN(_xlpm.s)),1)),IF(_xlpm.s="","",_xlfn.CONCAT(_xlfn.UNICHAR(_xlpm.c+96*(_xlpm.c&gt;=12353)*(_xlpm.c&lt;=12438)))))</f>
        <v/>
      </c>
      <c r="E132" s="129" t="str">
        <f t="shared" ca="1" si="220"/>
        <v/>
      </c>
      <c r="F132" s="130" t="str">
        <f t="shared" si="221"/>
        <v/>
      </c>
      <c r="G132" s="130" t="str">
        <f t="shared" si="222"/>
        <v/>
      </c>
      <c r="H132" s="130" t="str">
        <f t="shared" si="223"/>
        <v/>
      </c>
      <c r="I132" s="131" t="str">
        <f t="shared" si="224"/>
        <v/>
      </c>
      <c r="J132" s="132" t="str">
        <f t="shared" si="225"/>
        <v/>
      </c>
      <c r="K132" s="121" t="str">
        <f t="shared" si="226"/>
        <v/>
      </c>
      <c r="L132" s="129" t="str">
        <f t="shared" si="227"/>
        <v/>
      </c>
      <c r="M132" s="7" t="str">
        <f t="shared" si="228"/>
        <v/>
      </c>
      <c r="N132" s="133"/>
      <c r="O132" s="8"/>
      <c r="P132" s="5" t="str">
        <f t="shared" si="229"/>
        <v/>
      </c>
      <c r="Q132" s="121" t="str">
        <f t="shared" si="230"/>
        <v/>
      </c>
      <c r="R132" s="121" t="str">
        <f t="shared" si="231"/>
        <v/>
      </c>
      <c r="S132" s="7" t="str">
        <f t="shared" si="232"/>
        <v/>
      </c>
      <c r="T132" s="5"/>
      <c r="U132" s="5" t="str">
        <f t="shared" si="233"/>
        <v/>
      </c>
      <c r="V132" s="121" t="str">
        <f t="shared" si="234"/>
        <v/>
      </c>
      <c r="W132" s="121" t="str">
        <f t="shared" si="235"/>
        <v/>
      </c>
      <c r="X132" s="7" t="str">
        <f t="shared" si="236"/>
        <v/>
      </c>
      <c r="Y132" s="136"/>
      <c r="Z132" s="5" t="str">
        <f t="shared" si="237"/>
        <v/>
      </c>
      <c r="AA132" s="137" t="s">
        <v>183</v>
      </c>
      <c r="AB132" s="7" t="str">
        <f t="shared" si="238"/>
        <v/>
      </c>
      <c r="AC132" s="9"/>
      <c r="AD132" s="4"/>
      <c r="AE132" s="138" t="str">
        <f t="shared" si="239"/>
        <v/>
      </c>
      <c r="AF132" s="139" t="str">
        <f t="shared" si="240"/>
        <v/>
      </c>
      <c r="AG132" s="139" t="str">
        <f t="shared" si="241"/>
        <v/>
      </c>
      <c r="AH132" s="139" t="str">
        <f t="shared" si="242"/>
        <v/>
      </c>
      <c r="AI132" s="139" t="str">
        <f t="shared" si="243"/>
        <v/>
      </c>
      <c r="AJ132" s="140" t="str">
        <f t="shared" si="244"/>
        <v/>
      </c>
      <c r="AK132" s="8"/>
      <c r="AL132" s="8" t="str">
        <f>IF(AM132="","",IF(各種設定金額!$B$7="","○○県",各種設定金額!$B$7))</f>
        <v/>
      </c>
      <c r="AM132" s="4"/>
      <c r="AN132" s="4"/>
      <c r="AO132" s="141" t="str">
        <f t="shared" si="245"/>
        <v/>
      </c>
      <c r="AP132" s="10"/>
      <c r="AQ132" s="129"/>
      <c r="AR132" s="142" t="s">
        <v>182</v>
      </c>
      <c r="AS132" s="131" t="str">
        <f t="shared" si="246"/>
        <v/>
      </c>
      <c r="AT132" s="132" t="str">
        <f t="shared" si="247"/>
        <v/>
      </c>
      <c r="AU132" s="132" t="str">
        <f t="shared" si="248"/>
        <v/>
      </c>
      <c r="AV132" s="132" t="str">
        <f t="shared" si="249"/>
        <v/>
      </c>
      <c r="AW132" s="132" t="str">
        <f t="shared" si="250"/>
        <v/>
      </c>
      <c r="AX132" s="143" t="str">
        <f t="shared" si="251"/>
        <v/>
      </c>
      <c r="AY132" s="144"/>
      <c r="AZ132" s="8" t="str">
        <f>IF(BA132="","",IF(各種設定金額!$B$7="","○○県",各種設定金額!$B$7))</f>
        <v/>
      </c>
      <c r="BA132" s="6"/>
      <c r="BB132" s="4"/>
      <c r="BC132" s="141" t="str">
        <f t="shared" si="252"/>
        <v/>
      </c>
      <c r="BD132" s="10"/>
      <c r="BE132" s="129"/>
      <c r="BF132" s="145" t="s">
        <v>63</v>
      </c>
      <c r="BG132" s="131" t="str">
        <f t="shared" si="253"/>
        <v/>
      </c>
      <c r="BH132" s="132" t="str">
        <f t="shared" si="254"/>
        <v/>
      </c>
      <c r="BI132" s="132" t="str">
        <f t="shared" si="255"/>
        <v/>
      </c>
      <c r="BJ132" s="132" t="str">
        <f t="shared" si="256"/>
        <v/>
      </c>
      <c r="BK132" s="132" t="str">
        <f t="shared" si="257"/>
        <v/>
      </c>
      <c r="BL132" s="132" t="str">
        <f t="shared" si="258"/>
        <v/>
      </c>
      <c r="BM132" s="146"/>
      <c r="BN132" s="8" t="str">
        <f>IF(BO132="","",IF(各種設定金額!$B$7="","○○県",各種設定金額!$B$7))</f>
        <v/>
      </c>
      <c r="BO132" s="6"/>
      <c r="BP132" s="4"/>
      <c r="BQ132" s="141" t="str">
        <f t="shared" si="259"/>
        <v/>
      </c>
      <c r="BR132" s="10"/>
      <c r="BS132" s="129"/>
      <c r="BT132" s="145" t="s">
        <v>63</v>
      </c>
      <c r="BU132" s="131" t="str">
        <f t="shared" si="260"/>
        <v/>
      </c>
      <c r="BV132" s="132" t="str">
        <f t="shared" si="261"/>
        <v/>
      </c>
      <c r="BW132" s="132" t="str">
        <f t="shared" si="262"/>
        <v/>
      </c>
      <c r="BX132" s="132" t="str">
        <f t="shared" si="263"/>
        <v/>
      </c>
      <c r="BY132" s="132" t="str">
        <f t="shared" si="264"/>
        <v/>
      </c>
      <c r="BZ132" s="132" t="str">
        <f t="shared" si="265"/>
        <v/>
      </c>
      <c r="CA132" s="146"/>
      <c r="CB132" s="10" t="str">
        <f t="shared" si="266"/>
        <v/>
      </c>
      <c r="CC132" s="7" t="str">
        <f t="shared" si="267"/>
        <v/>
      </c>
      <c r="CD132" s="147"/>
      <c r="CE132" s="147"/>
      <c r="CF132" s="6"/>
      <c r="CG132" s="4"/>
      <c r="CH132" s="148">
        <f t="shared" ca="1" si="268"/>
        <v>2026</v>
      </c>
      <c r="CI132" s="121" t="str">
        <f t="shared" ca="1" si="269"/>
        <v>令和</v>
      </c>
      <c r="CJ132" s="122" t="str">
        <f t="shared" ca="1" si="270"/>
        <v>R</v>
      </c>
      <c r="CK132" s="122" t="str">
        <f t="shared" ca="1" si="271"/>
        <v>8</v>
      </c>
      <c r="CL132" s="122">
        <f t="shared" ca="1" si="272"/>
        <v>10</v>
      </c>
      <c r="CM132" s="149">
        <f t="shared" ca="1" si="273"/>
        <v>24</v>
      </c>
      <c r="CN132" s="1"/>
      <c r="CO132" s="150">
        <f t="shared" ca="1" si="274"/>
        <v>46319</v>
      </c>
    </row>
    <row r="133" spans="1:93" ht="20.100000000000001" customHeight="1" x14ac:dyDescent="0.15">
      <c r="A133" s="7" t="str">
        <f>IF(B133="","",ROW()-ROW(会員表[#Headers]))</f>
        <v/>
      </c>
      <c r="B133" s="4" ph="1"/>
      <c r="C133" s="4" t="str" cm="1">
        <f t="array" ref="C133">_xlfn.LET(_xlpm.s,PHONETIC(B133),_xlpm.c,_xlfn.UNICODE(MID(_xlpm.s,_xlfn.SEQUENCE(LEN(_xlpm.s)),1)),IF(_xlpm.s="","",_xlfn.CONCAT(_xlfn.UNICHAR(_xlpm.c-96*(_xlpm.c&gt;=12449)*(_xlpm.c&lt;=12534)))))</f>
        <v/>
      </c>
      <c r="D133" s="4" t="str" cm="1">
        <f t="array" ref="D133">_xlfn.LET(_xlpm.s,PHONETIC(B133),_xlpm.c,_xlfn.UNICODE(MID(_xlpm.s,_xlfn.SEQUENCE(LEN(_xlpm.s)),1)),IF(_xlpm.s="","",_xlfn.CONCAT(_xlfn.UNICHAR(_xlpm.c+96*(_xlpm.c&gt;=12353)*(_xlpm.c&lt;=12438)))))</f>
        <v/>
      </c>
      <c r="E133" s="129" t="str">
        <f t="shared" ca="1" si="220"/>
        <v/>
      </c>
      <c r="F133" s="130" t="str">
        <f t="shared" si="221"/>
        <v/>
      </c>
      <c r="G133" s="130" t="str">
        <f t="shared" si="222"/>
        <v/>
      </c>
      <c r="H133" s="130" t="str">
        <f t="shared" si="223"/>
        <v/>
      </c>
      <c r="I133" s="131" t="str">
        <f t="shared" si="224"/>
        <v/>
      </c>
      <c r="J133" s="132" t="str">
        <f t="shared" si="225"/>
        <v/>
      </c>
      <c r="K133" s="121" t="str">
        <f t="shared" si="226"/>
        <v/>
      </c>
      <c r="L133" s="129" t="str">
        <f t="shared" si="227"/>
        <v/>
      </c>
      <c r="M133" s="7" t="str">
        <f t="shared" si="228"/>
        <v/>
      </c>
      <c r="N133" s="133"/>
      <c r="O133" s="8"/>
      <c r="P133" s="5" t="str">
        <f t="shared" si="229"/>
        <v/>
      </c>
      <c r="Q133" s="121" t="str">
        <f t="shared" si="230"/>
        <v/>
      </c>
      <c r="R133" s="121" t="str">
        <f t="shared" si="231"/>
        <v/>
      </c>
      <c r="S133" s="7" t="str">
        <f t="shared" si="232"/>
        <v/>
      </c>
      <c r="T133" s="5"/>
      <c r="U133" s="5" t="str">
        <f t="shared" si="233"/>
        <v/>
      </c>
      <c r="V133" s="121" t="str">
        <f t="shared" si="234"/>
        <v/>
      </c>
      <c r="W133" s="121" t="str">
        <f t="shared" si="235"/>
        <v/>
      </c>
      <c r="X133" s="7" t="str">
        <f t="shared" si="236"/>
        <v/>
      </c>
      <c r="Y133" s="136"/>
      <c r="Z133" s="5" t="str">
        <f t="shared" si="237"/>
        <v/>
      </c>
      <c r="AA133" s="137" t="s">
        <v>183</v>
      </c>
      <c r="AB133" s="7" t="str">
        <f t="shared" si="238"/>
        <v/>
      </c>
      <c r="AC133" s="9"/>
      <c r="AD133" s="4"/>
      <c r="AE133" s="138" t="str">
        <f t="shared" si="239"/>
        <v/>
      </c>
      <c r="AF133" s="139" t="str">
        <f t="shared" si="240"/>
        <v/>
      </c>
      <c r="AG133" s="139" t="str">
        <f t="shared" si="241"/>
        <v/>
      </c>
      <c r="AH133" s="139" t="str">
        <f t="shared" si="242"/>
        <v/>
      </c>
      <c r="AI133" s="139" t="str">
        <f t="shared" si="243"/>
        <v/>
      </c>
      <c r="AJ133" s="140" t="str">
        <f t="shared" si="244"/>
        <v/>
      </c>
      <c r="AK133" s="8"/>
      <c r="AL133" s="8" t="str">
        <f>IF(AM133="","",IF(各種設定金額!$B$7="","○○県",各種設定金額!$B$7))</f>
        <v/>
      </c>
      <c r="AM133" s="4"/>
      <c r="AN133" s="4"/>
      <c r="AO133" s="141" t="str">
        <f t="shared" si="245"/>
        <v/>
      </c>
      <c r="AP133" s="10"/>
      <c r="AQ133" s="129"/>
      <c r="AR133" s="142" t="s">
        <v>182</v>
      </c>
      <c r="AS133" s="131" t="str">
        <f t="shared" si="246"/>
        <v/>
      </c>
      <c r="AT133" s="132" t="str">
        <f t="shared" si="247"/>
        <v/>
      </c>
      <c r="AU133" s="132" t="str">
        <f t="shared" si="248"/>
        <v/>
      </c>
      <c r="AV133" s="132" t="str">
        <f t="shared" si="249"/>
        <v/>
      </c>
      <c r="AW133" s="132" t="str">
        <f t="shared" si="250"/>
        <v/>
      </c>
      <c r="AX133" s="143" t="str">
        <f t="shared" si="251"/>
        <v/>
      </c>
      <c r="AY133" s="144"/>
      <c r="AZ133" s="8" t="str">
        <f>IF(BA133="","",IF(各種設定金額!$B$7="","○○県",各種設定金額!$B$7))</f>
        <v/>
      </c>
      <c r="BA133" s="6"/>
      <c r="BB133" s="4"/>
      <c r="BC133" s="141" t="str">
        <f t="shared" si="252"/>
        <v/>
      </c>
      <c r="BD133" s="10"/>
      <c r="BE133" s="129"/>
      <c r="BF133" s="145" t="s">
        <v>63</v>
      </c>
      <c r="BG133" s="131" t="str">
        <f t="shared" si="253"/>
        <v/>
      </c>
      <c r="BH133" s="132" t="str">
        <f t="shared" si="254"/>
        <v/>
      </c>
      <c r="BI133" s="132" t="str">
        <f t="shared" si="255"/>
        <v/>
      </c>
      <c r="BJ133" s="132" t="str">
        <f t="shared" si="256"/>
        <v/>
      </c>
      <c r="BK133" s="132" t="str">
        <f t="shared" si="257"/>
        <v/>
      </c>
      <c r="BL133" s="132" t="str">
        <f t="shared" si="258"/>
        <v/>
      </c>
      <c r="BM133" s="146"/>
      <c r="BN133" s="8" t="str">
        <f>IF(BO133="","",IF(各種設定金額!$B$7="","○○県",各種設定金額!$B$7))</f>
        <v/>
      </c>
      <c r="BO133" s="6"/>
      <c r="BP133" s="4"/>
      <c r="BQ133" s="141" t="str">
        <f t="shared" si="259"/>
        <v/>
      </c>
      <c r="BR133" s="10"/>
      <c r="BS133" s="129"/>
      <c r="BT133" s="145" t="s">
        <v>63</v>
      </c>
      <c r="BU133" s="131" t="str">
        <f t="shared" si="260"/>
        <v/>
      </c>
      <c r="BV133" s="132" t="str">
        <f t="shared" si="261"/>
        <v/>
      </c>
      <c r="BW133" s="132" t="str">
        <f t="shared" si="262"/>
        <v/>
      </c>
      <c r="BX133" s="132" t="str">
        <f t="shared" si="263"/>
        <v/>
      </c>
      <c r="BY133" s="132" t="str">
        <f t="shared" si="264"/>
        <v/>
      </c>
      <c r="BZ133" s="132" t="str">
        <f t="shared" si="265"/>
        <v/>
      </c>
      <c r="CA133" s="146"/>
      <c r="CB133" s="10" t="str">
        <f t="shared" si="266"/>
        <v/>
      </c>
      <c r="CC133" s="7" t="str">
        <f t="shared" si="267"/>
        <v/>
      </c>
      <c r="CD133" s="147"/>
      <c r="CE133" s="147"/>
      <c r="CF133" s="6"/>
      <c r="CG133" s="4"/>
      <c r="CH133" s="148">
        <f t="shared" ca="1" si="268"/>
        <v>2026</v>
      </c>
      <c r="CI133" s="121" t="str">
        <f t="shared" ca="1" si="269"/>
        <v>令和</v>
      </c>
      <c r="CJ133" s="122" t="str">
        <f t="shared" ca="1" si="270"/>
        <v>R</v>
      </c>
      <c r="CK133" s="122" t="str">
        <f t="shared" ca="1" si="271"/>
        <v>8</v>
      </c>
      <c r="CL133" s="122">
        <f t="shared" ca="1" si="272"/>
        <v>10</v>
      </c>
      <c r="CM133" s="149">
        <f t="shared" ca="1" si="273"/>
        <v>24</v>
      </c>
      <c r="CN133" s="1"/>
      <c r="CO133" s="150">
        <f t="shared" ca="1" si="274"/>
        <v>46319</v>
      </c>
    </row>
    <row r="134" spans="1:93" ht="20.100000000000001" customHeight="1" x14ac:dyDescent="0.15">
      <c r="A134" s="7" t="str">
        <f>IF(B134="","",ROW()-ROW(会員表[#Headers]))</f>
        <v/>
      </c>
      <c r="B134" s="4" ph="1"/>
      <c r="C134" s="4" t="str" cm="1">
        <f t="array" ref="C134">_xlfn.LET(_xlpm.s,PHONETIC(B134),_xlpm.c,_xlfn.UNICODE(MID(_xlpm.s,_xlfn.SEQUENCE(LEN(_xlpm.s)),1)),IF(_xlpm.s="","",_xlfn.CONCAT(_xlfn.UNICHAR(_xlpm.c-96*(_xlpm.c&gt;=12449)*(_xlpm.c&lt;=12534)))))</f>
        <v/>
      </c>
      <c r="D134" s="4" t="str" cm="1">
        <f t="array" ref="D134">_xlfn.LET(_xlpm.s,PHONETIC(B134),_xlpm.c,_xlfn.UNICODE(MID(_xlpm.s,_xlfn.SEQUENCE(LEN(_xlpm.s)),1)),IF(_xlpm.s="","",_xlfn.CONCAT(_xlfn.UNICHAR(_xlpm.c+96*(_xlpm.c&gt;=12353)*(_xlpm.c&lt;=12438)))))</f>
        <v/>
      </c>
      <c r="E134" s="129" t="str">
        <f t="shared" ca="1" si="220"/>
        <v/>
      </c>
      <c r="F134" s="130" t="str">
        <f t="shared" si="221"/>
        <v/>
      </c>
      <c r="G134" s="130" t="str">
        <f t="shared" si="222"/>
        <v/>
      </c>
      <c r="H134" s="130" t="str">
        <f t="shared" si="223"/>
        <v/>
      </c>
      <c r="I134" s="131" t="str">
        <f t="shared" si="224"/>
        <v/>
      </c>
      <c r="J134" s="132" t="str">
        <f t="shared" si="225"/>
        <v/>
      </c>
      <c r="K134" s="121" t="str">
        <f t="shared" si="226"/>
        <v/>
      </c>
      <c r="L134" s="129" t="str">
        <f t="shared" si="227"/>
        <v/>
      </c>
      <c r="M134" s="7" t="str">
        <f t="shared" si="228"/>
        <v/>
      </c>
      <c r="N134" s="133"/>
      <c r="O134" s="8"/>
      <c r="P134" s="5" t="str">
        <f t="shared" si="229"/>
        <v/>
      </c>
      <c r="Q134" s="121" t="str">
        <f t="shared" si="230"/>
        <v/>
      </c>
      <c r="R134" s="121" t="str">
        <f t="shared" si="231"/>
        <v/>
      </c>
      <c r="S134" s="7" t="str">
        <f t="shared" si="232"/>
        <v/>
      </c>
      <c r="T134" s="5"/>
      <c r="U134" s="5" t="str">
        <f t="shared" si="233"/>
        <v/>
      </c>
      <c r="V134" s="121" t="str">
        <f t="shared" si="234"/>
        <v/>
      </c>
      <c r="W134" s="121" t="str">
        <f t="shared" si="235"/>
        <v/>
      </c>
      <c r="X134" s="7" t="str">
        <f t="shared" si="236"/>
        <v/>
      </c>
      <c r="Y134" s="136"/>
      <c r="Z134" s="5" t="str">
        <f t="shared" si="237"/>
        <v/>
      </c>
      <c r="AA134" s="137" t="s">
        <v>183</v>
      </c>
      <c r="AB134" s="7" t="str">
        <f t="shared" si="238"/>
        <v/>
      </c>
      <c r="AC134" s="9"/>
      <c r="AD134" s="4"/>
      <c r="AE134" s="138" t="str">
        <f t="shared" si="239"/>
        <v/>
      </c>
      <c r="AF134" s="139" t="str">
        <f t="shared" si="240"/>
        <v/>
      </c>
      <c r="AG134" s="139" t="str">
        <f t="shared" si="241"/>
        <v/>
      </c>
      <c r="AH134" s="139" t="str">
        <f t="shared" si="242"/>
        <v/>
      </c>
      <c r="AI134" s="139" t="str">
        <f t="shared" si="243"/>
        <v/>
      </c>
      <c r="AJ134" s="140" t="str">
        <f t="shared" si="244"/>
        <v/>
      </c>
      <c r="AK134" s="8"/>
      <c r="AL134" s="8" t="str">
        <f>IF(AM134="","",IF(各種設定金額!$B$7="","○○県",各種設定金額!$B$7))</f>
        <v/>
      </c>
      <c r="AM134" s="4"/>
      <c r="AN134" s="4"/>
      <c r="AO134" s="141" t="str">
        <f t="shared" si="245"/>
        <v/>
      </c>
      <c r="AP134" s="10"/>
      <c r="AQ134" s="129"/>
      <c r="AR134" s="142" t="s">
        <v>182</v>
      </c>
      <c r="AS134" s="131" t="str">
        <f t="shared" si="246"/>
        <v/>
      </c>
      <c r="AT134" s="132" t="str">
        <f t="shared" si="247"/>
        <v/>
      </c>
      <c r="AU134" s="132" t="str">
        <f t="shared" si="248"/>
        <v/>
      </c>
      <c r="AV134" s="132" t="str">
        <f t="shared" si="249"/>
        <v/>
      </c>
      <c r="AW134" s="132" t="str">
        <f t="shared" si="250"/>
        <v/>
      </c>
      <c r="AX134" s="143" t="str">
        <f t="shared" si="251"/>
        <v/>
      </c>
      <c r="AY134" s="144"/>
      <c r="AZ134" s="8" t="str">
        <f>IF(BA134="","",IF(各種設定金額!$B$7="","○○県",各種設定金額!$B$7))</f>
        <v/>
      </c>
      <c r="BA134" s="6"/>
      <c r="BB134" s="4"/>
      <c r="BC134" s="141" t="str">
        <f t="shared" si="252"/>
        <v/>
      </c>
      <c r="BD134" s="10"/>
      <c r="BE134" s="129"/>
      <c r="BF134" s="145" t="s">
        <v>63</v>
      </c>
      <c r="BG134" s="131" t="str">
        <f t="shared" si="253"/>
        <v/>
      </c>
      <c r="BH134" s="132" t="str">
        <f t="shared" si="254"/>
        <v/>
      </c>
      <c r="BI134" s="132" t="str">
        <f t="shared" si="255"/>
        <v/>
      </c>
      <c r="BJ134" s="132" t="str">
        <f t="shared" si="256"/>
        <v/>
      </c>
      <c r="BK134" s="132" t="str">
        <f t="shared" si="257"/>
        <v/>
      </c>
      <c r="BL134" s="132" t="str">
        <f t="shared" si="258"/>
        <v/>
      </c>
      <c r="BM134" s="146"/>
      <c r="BN134" s="8" t="str">
        <f>IF(BO134="","",IF(各種設定金額!$B$7="","○○県",各種設定金額!$B$7))</f>
        <v/>
      </c>
      <c r="BO134" s="6"/>
      <c r="BP134" s="4"/>
      <c r="BQ134" s="141" t="str">
        <f t="shared" si="259"/>
        <v/>
      </c>
      <c r="BR134" s="10"/>
      <c r="BS134" s="129"/>
      <c r="BT134" s="145" t="s">
        <v>63</v>
      </c>
      <c r="BU134" s="131" t="str">
        <f t="shared" si="260"/>
        <v/>
      </c>
      <c r="BV134" s="132" t="str">
        <f t="shared" si="261"/>
        <v/>
      </c>
      <c r="BW134" s="132" t="str">
        <f t="shared" si="262"/>
        <v/>
      </c>
      <c r="BX134" s="132" t="str">
        <f t="shared" si="263"/>
        <v/>
      </c>
      <c r="BY134" s="132" t="str">
        <f t="shared" si="264"/>
        <v/>
      </c>
      <c r="BZ134" s="132" t="str">
        <f t="shared" si="265"/>
        <v/>
      </c>
      <c r="CA134" s="146"/>
      <c r="CB134" s="10" t="str">
        <f t="shared" si="266"/>
        <v/>
      </c>
      <c r="CC134" s="7" t="str">
        <f t="shared" si="267"/>
        <v/>
      </c>
      <c r="CD134" s="147"/>
      <c r="CE134" s="147"/>
      <c r="CF134" s="6"/>
      <c r="CG134" s="4"/>
      <c r="CH134" s="148">
        <f t="shared" ca="1" si="268"/>
        <v>2026</v>
      </c>
      <c r="CI134" s="121" t="str">
        <f t="shared" ca="1" si="269"/>
        <v>令和</v>
      </c>
      <c r="CJ134" s="122" t="str">
        <f t="shared" ca="1" si="270"/>
        <v>R</v>
      </c>
      <c r="CK134" s="122" t="str">
        <f t="shared" ca="1" si="271"/>
        <v>8</v>
      </c>
      <c r="CL134" s="122">
        <f t="shared" ca="1" si="272"/>
        <v>10</v>
      </c>
      <c r="CM134" s="149">
        <f t="shared" ca="1" si="273"/>
        <v>24</v>
      </c>
      <c r="CN134" s="1"/>
      <c r="CO134" s="150">
        <f t="shared" ca="1" si="274"/>
        <v>46319</v>
      </c>
    </row>
    <row r="135" spans="1:93" ht="20.100000000000001" customHeight="1" x14ac:dyDescent="0.15">
      <c r="A135" s="7" t="str">
        <f>IF(B135="","",ROW()-ROW(会員表[#Headers]))</f>
        <v/>
      </c>
      <c r="B135" s="4" ph="1"/>
      <c r="C135" s="4" t="str" cm="1">
        <f t="array" ref="C135">_xlfn.LET(_xlpm.s,PHONETIC(B135),_xlpm.c,_xlfn.UNICODE(MID(_xlpm.s,_xlfn.SEQUENCE(LEN(_xlpm.s)),1)),IF(_xlpm.s="","",_xlfn.CONCAT(_xlfn.UNICHAR(_xlpm.c-96*(_xlpm.c&gt;=12449)*(_xlpm.c&lt;=12534)))))</f>
        <v/>
      </c>
      <c r="D135" s="4" t="str" cm="1">
        <f t="array" ref="D135">_xlfn.LET(_xlpm.s,PHONETIC(B135),_xlpm.c,_xlfn.UNICODE(MID(_xlpm.s,_xlfn.SEQUENCE(LEN(_xlpm.s)),1)),IF(_xlpm.s="","",_xlfn.CONCAT(_xlfn.UNICHAR(_xlpm.c+96*(_xlpm.c&gt;=12353)*(_xlpm.c&lt;=12438)))))</f>
        <v/>
      </c>
      <c r="E135" s="129" t="str">
        <f t="shared" ca="1" si="220"/>
        <v/>
      </c>
      <c r="F135" s="130" t="str">
        <f t="shared" si="221"/>
        <v/>
      </c>
      <c r="G135" s="130" t="str">
        <f t="shared" si="222"/>
        <v/>
      </c>
      <c r="H135" s="130" t="str">
        <f t="shared" si="223"/>
        <v/>
      </c>
      <c r="I135" s="131" t="str">
        <f t="shared" si="224"/>
        <v/>
      </c>
      <c r="J135" s="132" t="str">
        <f t="shared" si="225"/>
        <v/>
      </c>
      <c r="K135" s="121" t="str">
        <f t="shared" si="226"/>
        <v/>
      </c>
      <c r="L135" s="129" t="str">
        <f t="shared" si="227"/>
        <v/>
      </c>
      <c r="M135" s="7" t="str">
        <f t="shared" si="228"/>
        <v/>
      </c>
      <c r="N135" s="133"/>
      <c r="O135" s="8"/>
      <c r="P135" s="5" t="str">
        <f t="shared" si="229"/>
        <v/>
      </c>
      <c r="Q135" s="121" t="str">
        <f t="shared" si="230"/>
        <v/>
      </c>
      <c r="R135" s="121" t="str">
        <f t="shared" si="231"/>
        <v/>
      </c>
      <c r="S135" s="7" t="str">
        <f t="shared" si="232"/>
        <v/>
      </c>
      <c r="T135" s="5"/>
      <c r="U135" s="5" t="str">
        <f t="shared" si="233"/>
        <v/>
      </c>
      <c r="V135" s="121" t="str">
        <f t="shared" si="234"/>
        <v/>
      </c>
      <c r="W135" s="121" t="str">
        <f t="shared" si="235"/>
        <v/>
      </c>
      <c r="X135" s="7" t="str">
        <f t="shared" si="236"/>
        <v/>
      </c>
      <c r="Y135" s="136"/>
      <c r="Z135" s="5" t="str">
        <f t="shared" si="237"/>
        <v/>
      </c>
      <c r="AA135" s="137" t="s">
        <v>183</v>
      </c>
      <c r="AB135" s="7" t="str">
        <f t="shared" si="238"/>
        <v/>
      </c>
      <c r="AC135" s="9"/>
      <c r="AD135" s="4"/>
      <c r="AE135" s="138" t="str">
        <f t="shared" si="239"/>
        <v/>
      </c>
      <c r="AF135" s="139" t="str">
        <f t="shared" si="240"/>
        <v/>
      </c>
      <c r="AG135" s="139" t="str">
        <f t="shared" si="241"/>
        <v/>
      </c>
      <c r="AH135" s="139" t="str">
        <f t="shared" si="242"/>
        <v/>
      </c>
      <c r="AI135" s="139" t="str">
        <f t="shared" si="243"/>
        <v/>
      </c>
      <c r="AJ135" s="140" t="str">
        <f t="shared" si="244"/>
        <v/>
      </c>
      <c r="AK135" s="8"/>
      <c r="AL135" s="8" t="str">
        <f>IF(AM135="","",IF(各種設定金額!$B$7="","○○県",各種設定金額!$B$7))</f>
        <v/>
      </c>
      <c r="AM135" s="4"/>
      <c r="AN135" s="4"/>
      <c r="AO135" s="141" t="str">
        <f t="shared" si="245"/>
        <v/>
      </c>
      <c r="AP135" s="10"/>
      <c r="AQ135" s="129"/>
      <c r="AR135" s="142" t="s">
        <v>182</v>
      </c>
      <c r="AS135" s="131" t="str">
        <f t="shared" si="246"/>
        <v/>
      </c>
      <c r="AT135" s="132" t="str">
        <f t="shared" si="247"/>
        <v/>
      </c>
      <c r="AU135" s="132" t="str">
        <f t="shared" si="248"/>
        <v/>
      </c>
      <c r="AV135" s="132" t="str">
        <f t="shared" si="249"/>
        <v/>
      </c>
      <c r="AW135" s="132" t="str">
        <f t="shared" si="250"/>
        <v/>
      </c>
      <c r="AX135" s="143" t="str">
        <f t="shared" si="251"/>
        <v/>
      </c>
      <c r="AY135" s="144"/>
      <c r="AZ135" s="8" t="str">
        <f>IF(BA135="","",IF(各種設定金額!$B$7="","○○県",各種設定金額!$B$7))</f>
        <v/>
      </c>
      <c r="BA135" s="6"/>
      <c r="BB135" s="4"/>
      <c r="BC135" s="141" t="str">
        <f t="shared" si="252"/>
        <v/>
      </c>
      <c r="BD135" s="10"/>
      <c r="BE135" s="129"/>
      <c r="BF135" s="145" t="s">
        <v>63</v>
      </c>
      <c r="BG135" s="131" t="str">
        <f t="shared" si="253"/>
        <v/>
      </c>
      <c r="BH135" s="132" t="str">
        <f t="shared" si="254"/>
        <v/>
      </c>
      <c r="BI135" s="132" t="str">
        <f t="shared" si="255"/>
        <v/>
      </c>
      <c r="BJ135" s="132" t="str">
        <f t="shared" si="256"/>
        <v/>
      </c>
      <c r="BK135" s="132" t="str">
        <f t="shared" si="257"/>
        <v/>
      </c>
      <c r="BL135" s="132" t="str">
        <f t="shared" si="258"/>
        <v/>
      </c>
      <c r="BM135" s="146"/>
      <c r="BN135" s="8" t="str">
        <f>IF(BO135="","",IF(各種設定金額!$B$7="","○○県",各種設定金額!$B$7))</f>
        <v/>
      </c>
      <c r="BO135" s="6"/>
      <c r="BP135" s="4"/>
      <c r="BQ135" s="141" t="str">
        <f t="shared" si="259"/>
        <v/>
      </c>
      <c r="BR135" s="10"/>
      <c r="BS135" s="129"/>
      <c r="BT135" s="145" t="s">
        <v>63</v>
      </c>
      <c r="BU135" s="131" t="str">
        <f t="shared" si="260"/>
        <v/>
      </c>
      <c r="BV135" s="132" t="str">
        <f t="shared" si="261"/>
        <v/>
      </c>
      <c r="BW135" s="132" t="str">
        <f t="shared" si="262"/>
        <v/>
      </c>
      <c r="BX135" s="132" t="str">
        <f t="shared" si="263"/>
        <v/>
      </c>
      <c r="BY135" s="132" t="str">
        <f t="shared" si="264"/>
        <v/>
      </c>
      <c r="BZ135" s="132" t="str">
        <f t="shared" si="265"/>
        <v/>
      </c>
      <c r="CA135" s="146"/>
      <c r="CB135" s="10" t="str">
        <f t="shared" si="266"/>
        <v/>
      </c>
      <c r="CC135" s="7" t="str">
        <f t="shared" si="267"/>
        <v/>
      </c>
      <c r="CD135" s="147"/>
      <c r="CE135" s="147"/>
      <c r="CF135" s="6"/>
      <c r="CG135" s="4"/>
      <c r="CH135" s="148">
        <f t="shared" ca="1" si="268"/>
        <v>2026</v>
      </c>
      <c r="CI135" s="121" t="str">
        <f t="shared" ca="1" si="269"/>
        <v>令和</v>
      </c>
      <c r="CJ135" s="122" t="str">
        <f t="shared" ca="1" si="270"/>
        <v>R</v>
      </c>
      <c r="CK135" s="122" t="str">
        <f t="shared" ca="1" si="271"/>
        <v>8</v>
      </c>
      <c r="CL135" s="122">
        <f t="shared" ca="1" si="272"/>
        <v>10</v>
      </c>
      <c r="CM135" s="149">
        <f t="shared" ca="1" si="273"/>
        <v>24</v>
      </c>
      <c r="CN135" s="1"/>
      <c r="CO135" s="150">
        <f t="shared" ca="1" si="274"/>
        <v>46319</v>
      </c>
    </row>
    <row r="136" spans="1:93" ht="20.100000000000001" customHeight="1" x14ac:dyDescent="0.15">
      <c r="A136" s="7" t="str">
        <f>IF(B136="","",ROW()-ROW(会員表[#Headers]))</f>
        <v/>
      </c>
      <c r="B136" s="4" ph="1"/>
      <c r="C136" s="4" t="str" cm="1">
        <f t="array" ref="C136">_xlfn.LET(_xlpm.s,PHONETIC(B136),_xlpm.c,_xlfn.UNICODE(MID(_xlpm.s,_xlfn.SEQUENCE(LEN(_xlpm.s)),1)),IF(_xlpm.s="","",_xlfn.CONCAT(_xlfn.UNICHAR(_xlpm.c-96*(_xlpm.c&gt;=12449)*(_xlpm.c&lt;=12534)))))</f>
        <v/>
      </c>
      <c r="D136" s="4" t="str" cm="1">
        <f t="array" ref="D136">_xlfn.LET(_xlpm.s,PHONETIC(B136),_xlpm.c,_xlfn.UNICODE(MID(_xlpm.s,_xlfn.SEQUENCE(LEN(_xlpm.s)),1)),IF(_xlpm.s="","",_xlfn.CONCAT(_xlfn.UNICHAR(_xlpm.c+96*(_xlpm.c&gt;=12353)*(_xlpm.c&lt;=12438)))))</f>
        <v/>
      </c>
      <c r="E136" s="129" t="str">
        <f t="shared" ca="1" si="220"/>
        <v/>
      </c>
      <c r="F136" s="130" t="str">
        <f t="shared" si="221"/>
        <v/>
      </c>
      <c r="G136" s="130" t="str">
        <f t="shared" si="222"/>
        <v/>
      </c>
      <c r="H136" s="130" t="str">
        <f t="shared" si="223"/>
        <v/>
      </c>
      <c r="I136" s="131" t="str">
        <f t="shared" si="224"/>
        <v/>
      </c>
      <c r="J136" s="132" t="str">
        <f t="shared" si="225"/>
        <v/>
      </c>
      <c r="K136" s="121" t="str">
        <f t="shared" si="226"/>
        <v/>
      </c>
      <c r="L136" s="129" t="str">
        <f t="shared" si="227"/>
        <v/>
      </c>
      <c r="M136" s="7" t="str">
        <f t="shared" si="228"/>
        <v/>
      </c>
      <c r="N136" s="133"/>
      <c r="O136" s="8"/>
      <c r="P136" s="5" t="str">
        <f t="shared" si="229"/>
        <v/>
      </c>
      <c r="Q136" s="121" t="str">
        <f t="shared" si="230"/>
        <v/>
      </c>
      <c r="R136" s="121" t="str">
        <f t="shared" si="231"/>
        <v/>
      </c>
      <c r="S136" s="7" t="str">
        <f t="shared" si="232"/>
        <v/>
      </c>
      <c r="T136" s="5"/>
      <c r="U136" s="5" t="str">
        <f t="shared" si="233"/>
        <v/>
      </c>
      <c r="V136" s="121" t="str">
        <f t="shared" si="234"/>
        <v/>
      </c>
      <c r="W136" s="121" t="str">
        <f t="shared" si="235"/>
        <v/>
      </c>
      <c r="X136" s="7" t="str">
        <f t="shared" si="236"/>
        <v/>
      </c>
      <c r="Y136" s="136"/>
      <c r="Z136" s="5" t="str">
        <f t="shared" si="237"/>
        <v/>
      </c>
      <c r="AA136" s="137" t="s">
        <v>183</v>
      </c>
      <c r="AB136" s="7" t="str">
        <f t="shared" si="238"/>
        <v/>
      </c>
      <c r="AC136" s="9"/>
      <c r="AD136" s="4"/>
      <c r="AE136" s="138" t="str">
        <f t="shared" si="239"/>
        <v/>
      </c>
      <c r="AF136" s="139" t="str">
        <f t="shared" si="240"/>
        <v/>
      </c>
      <c r="AG136" s="139" t="str">
        <f t="shared" si="241"/>
        <v/>
      </c>
      <c r="AH136" s="139" t="str">
        <f t="shared" si="242"/>
        <v/>
      </c>
      <c r="AI136" s="139" t="str">
        <f t="shared" si="243"/>
        <v/>
      </c>
      <c r="AJ136" s="140" t="str">
        <f t="shared" si="244"/>
        <v/>
      </c>
      <c r="AK136" s="8"/>
      <c r="AL136" s="8" t="str">
        <f>IF(AM136="","",IF(各種設定金額!$B$7="","○○県",各種設定金額!$B$7))</f>
        <v/>
      </c>
      <c r="AM136" s="4"/>
      <c r="AN136" s="4"/>
      <c r="AO136" s="141" t="str">
        <f t="shared" si="245"/>
        <v/>
      </c>
      <c r="AP136" s="10"/>
      <c r="AQ136" s="129"/>
      <c r="AR136" s="142" t="s">
        <v>182</v>
      </c>
      <c r="AS136" s="131" t="str">
        <f t="shared" si="246"/>
        <v/>
      </c>
      <c r="AT136" s="132" t="str">
        <f t="shared" si="247"/>
        <v/>
      </c>
      <c r="AU136" s="132" t="str">
        <f t="shared" si="248"/>
        <v/>
      </c>
      <c r="AV136" s="132" t="str">
        <f t="shared" si="249"/>
        <v/>
      </c>
      <c r="AW136" s="132" t="str">
        <f t="shared" si="250"/>
        <v/>
      </c>
      <c r="AX136" s="143" t="str">
        <f t="shared" si="251"/>
        <v/>
      </c>
      <c r="AY136" s="144"/>
      <c r="AZ136" s="8" t="str">
        <f>IF(BA136="","",IF(各種設定金額!$B$7="","○○県",各種設定金額!$B$7))</f>
        <v/>
      </c>
      <c r="BA136" s="6"/>
      <c r="BB136" s="4"/>
      <c r="BC136" s="141" t="str">
        <f t="shared" si="252"/>
        <v/>
      </c>
      <c r="BD136" s="10"/>
      <c r="BE136" s="129"/>
      <c r="BF136" s="145" t="s">
        <v>63</v>
      </c>
      <c r="BG136" s="131" t="str">
        <f t="shared" si="253"/>
        <v/>
      </c>
      <c r="BH136" s="132" t="str">
        <f t="shared" si="254"/>
        <v/>
      </c>
      <c r="BI136" s="132" t="str">
        <f t="shared" si="255"/>
        <v/>
      </c>
      <c r="BJ136" s="132" t="str">
        <f t="shared" si="256"/>
        <v/>
      </c>
      <c r="BK136" s="132" t="str">
        <f t="shared" si="257"/>
        <v/>
      </c>
      <c r="BL136" s="132" t="str">
        <f t="shared" si="258"/>
        <v/>
      </c>
      <c r="BM136" s="146"/>
      <c r="BN136" s="8" t="str">
        <f>IF(BO136="","",IF(各種設定金額!$B$7="","○○県",各種設定金額!$B$7))</f>
        <v/>
      </c>
      <c r="BO136" s="6"/>
      <c r="BP136" s="4"/>
      <c r="BQ136" s="141" t="str">
        <f t="shared" si="259"/>
        <v/>
      </c>
      <c r="BR136" s="10"/>
      <c r="BS136" s="129"/>
      <c r="BT136" s="145" t="s">
        <v>63</v>
      </c>
      <c r="BU136" s="131" t="str">
        <f t="shared" si="260"/>
        <v/>
      </c>
      <c r="BV136" s="132" t="str">
        <f t="shared" si="261"/>
        <v/>
      </c>
      <c r="BW136" s="132" t="str">
        <f t="shared" si="262"/>
        <v/>
      </c>
      <c r="BX136" s="132" t="str">
        <f t="shared" si="263"/>
        <v/>
      </c>
      <c r="BY136" s="132" t="str">
        <f t="shared" si="264"/>
        <v/>
      </c>
      <c r="BZ136" s="132" t="str">
        <f t="shared" si="265"/>
        <v/>
      </c>
      <c r="CA136" s="146"/>
      <c r="CB136" s="10" t="str">
        <f t="shared" si="266"/>
        <v/>
      </c>
      <c r="CC136" s="7" t="str">
        <f t="shared" si="267"/>
        <v/>
      </c>
      <c r="CD136" s="147"/>
      <c r="CE136" s="147"/>
      <c r="CF136" s="6"/>
      <c r="CG136" s="4"/>
      <c r="CH136" s="148">
        <f t="shared" ca="1" si="268"/>
        <v>2026</v>
      </c>
      <c r="CI136" s="121" t="str">
        <f t="shared" ca="1" si="269"/>
        <v>令和</v>
      </c>
      <c r="CJ136" s="122" t="str">
        <f t="shared" ca="1" si="270"/>
        <v>R</v>
      </c>
      <c r="CK136" s="122" t="str">
        <f t="shared" ca="1" si="271"/>
        <v>8</v>
      </c>
      <c r="CL136" s="122">
        <f t="shared" ca="1" si="272"/>
        <v>10</v>
      </c>
      <c r="CM136" s="149">
        <f t="shared" ca="1" si="273"/>
        <v>24</v>
      </c>
      <c r="CN136" s="1"/>
      <c r="CO136" s="150">
        <f t="shared" ca="1" si="274"/>
        <v>46319</v>
      </c>
    </row>
    <row r="137" spans="1:93" ht="20.100000000000001" customHeight="1" x14ac:dyDescent="0.15">
      <c r="A137" s="7" t="str">
        <f>IF(B137="","",ROW()-ROW(会員表[#Headers]))</f>
        <v/>
      </c>
      <c r="B137" s="4" ph="1"/>
      <c r="C137" s="4" t="str" cm="1">
        <f t="array" ref="C137">_xlfn.LET(_xlpm.s,PHONETIC(B137),_xlpm.c,_xlfn.UNICODE(MID(_xlpm.s,_xlfn.SEQUENCE(LEN(_xlpm.s)),1)),IF(_xlpm.s="","",_xlfn.CONCAT(_xlfn.UNICHAR(_xlpm.c-96*(_xlpm.c&gt;=12449)*(_xlpm.c&lt;=12534)))))</f>
        <v/>
      </c>
      <c r="D137" s="4" t="str" cm="1">
        <f t="array" ref="D137">_xlfn.LET(_xlpm.s,PHONETIC(B137),_xlpm.c,_xlfn.UNICODE(MID(_xlpm.s,_xlfn.SEQUENCE(LEN(_xlpm.s)),1)),IF(_xlpm.s="","",_xlfn.CONCAT(_xlfn.UNICHAR(_xlpm.c+96*(_xlpm.c&gt;=12353)*(_xlpm.c&lt;=12438)))))</f>
        <v/>
      </c>
      <c r="E137" s="129" t="str">
        <f t="shared" ca="1" si="220"/>
        <v/>
      </c>
      <c r="F137" s="130" t="str">
        <f t="shared" si="221"/>
        <v/>
      </c>
      <c r="G137" s="130" t="str">
        <f t="shared" si="222"/>
        <v/>
      </c>
      <c r="H137" s="130" t="str">
        <f t="shared" si="223"/>
        <v/>
      </c>
      <c r="I137" s="131" t="str">
        <f t="shared" si="224"/>
        <v/>
      </c>
      <c r="J137" s="132" t="str">
        <f t="shared" si="225"/>
        <v/>
      </c>
      <c r="K137" s="121" t="str">
        <f t="shared" si="226"/>
        <v/>
      </c>
      <c r="L137" s="129" t="str">
        <f t="shared" si="227"/>
        <v/>
      </c>
      <c r="M137" s="7" t="str">
        <f t="shared" si="228"/>
        <v/>
      </c>
      <c r="N137" s="133"/>
      <c r="O137" s="8"/>
      <c r="P137" s="5" t="str">
        <f t="shared" si="229"/>
        <v/>
      </c>
      <c r="Q137" s="121" t="str">
        <f t="shared" si="230"/>
        <v/>
      </c>
      <c r="R137" s="121" t="str">
        <f t="shared" si="231"/>
        <v/>
      </c>
      <c r="S137" s="7" t="str">
        <f t="shared" si="232"/>
        <v/>
      </c>
      <c r="T137" s="5"/>
      <c r="U137" s="5" t="str">
        <f t="shared" si="233"/>
        <v/>
      </c>
      <c r="V137" s="121" t="str">
        <f t="shared" si="234"/>
        <v/>
      </c>
      <c r="W137" s="121" t="str">
        <f t="shared" si="235"/>
        <v/>
      </c>
      <c r="X137" s="7" t="str">
        <f t="shared" si="236"/>
        <v/>
      </c>
      <c r="Y137" s="136"/>
      <c r="Z137" s="5" t="str">
        <f t="shared" si="237"/>
        <v/>
      </c>
      <c r="AA137" s="137" t="s">
        <v>183</v>
      </c>
      <c r="AB137" s="7" t="str">
        <f t="shared" si="238"/>
        <v/>
      </c>
      <c r="AC137" s="9"/>
      <c r="AD137" s="4"/>
      <c r="AE137" s="138" t="str">
        <f t="shared" si="239"/>
        <v/>
      </c>
      <c r="AF137" s="139" t="str">
        <f t="shared" si="240"/>
        <v/>
      </c>
      <c r="AG137" s="139" t="str">
        <f t="shared" si="241"/>
        <v/>
      </c>
      <c r="AH137" s="139" t="str">
        <f t="shared" si="242"/>
        <v/>
      </c>
      <c r="AI137" s="139" t="str">
        <f t="shared" si="243"/>
        <v/>
      </c>
      <c r="AJ137" s="140" t="str">
        <f t="shared" si="244"/>
        <v/>
      </c>
      <c r="AK137" s="8"/>
      <c r="AL137" s="8" t="str">
        <f>IF(AM137="","",IF(各種設定金額!$B$7="","○○県",各種設定金額!$B$7))</f>
        <v/>
      </c>
      <c r="AM137" s="4"/>
      <c r="AN137" s="4"/>
      <c r="AO137" s="141" t="str">
        <f t="shared" si="245"/>
        <v/>
      </c>
      <c r="AP137" s="10"/>
      <c r="AQ137" s="129"/>
      <c r="AR137" s="142" t="s">
        <v>182</v>
      </c>
      <c r="AS137" s="131" t="str">
        <f t="shared" si="246"/>
        <v/>
      </c>
      <c r="AT137" s="132" t="str">
        <f t="shared" si="247"/>
        <v/>
      </c>
      <c r="AU137" s="132" t="str">
        <f t="shared" si="248"/>
        <v/>
      </c>
      <c r="AV137" s="132" t="str">
        <f t="shared" si="249"/>
        <v/>
      </c>
      <c r="AW137" s="132" t="str">
        <f t="shared" si="250"/>
        <v/>
      </c>
      <c r="AX137" s="143" t="str">
        <f t="shared" si="251"/>
        <v/>
      </c>
      <c r="AY137" s="144"/>
      <c r="AZ137" s="8" t="str">
        <f>IF(BA137="","",IF(各種設定金額!$B$7="","○○県",各種設定金額!$B$7))</f>
        <v/>
      </c>
      <c r="BA137" s="6"/>
      <c r="BB137" s="4"/>
      <c r="BC137" s="141" t="str">
        <f t="shared" si="252"/>
        <v/>
      </c>
      <c r="BD137" s="10"/>
      <c r="BE137" s="129"/>
      <c r="BF137" s="145" t="s">
        <v>63</v>
      </c>
      <c r="BG137" s="131" t="str">
        <f t="shared" si="253"/>
        <v/>
      </c>
      <c r="BH137" s="132" t="str">
        <f t="shared" si="254"/>
        <v/>
      </c>
      <c r="BI137" s="132" t="str">
        <f t="shared" si="255"/>
        <v/>
      </c>
      <c r="BJ137" s="132" t="str">
        <f t="shared" si="256"/>
        <v/>
      </c>
      <c r="BK137" s="132" t="str">
        <f t="shared" si="257"/>
        <v/>
      </c>
      <c r="BL137" s="132" t="str">
        <f t="shared" si="258"/>
        <v/>
      </c>
      <c r="BM137" s="146"/>
      <c r="BN137" s="8" t="str">
        <f>IF(BO137="","",IF(各種設定金額!$B$7="","○○県",各種設定金額!$B$7))</f>
        <v/>
      </c>
      <c r="BO137" s="6"/>
      <c r="BP137" s="4"/>
      <c r="BQ137" s="141" t="str">
        <f t="shared" si="259"/>
        <v/>
      </c>
      <c r="BR137" s="10"/>
      <c r="BS137" s="129"/>
      <c r="BT137" s="145" t="s">
        <v>63</v>
      </c>
      <c r="BU137" s="131" t="str">
        <f t="shared" si="260"/>
        <v/>
      </c>
      <c r="BV137" s="132" t="str">
        <f t="shared" si="261"/>
        <v/>
      </c>
      <c r="BW137" s="132" t="str">
        <f t="shared" si="262"/>
        <v/>
      </c>
      <c r="BX137" s="132" t="str">
        <f t="shared" si="263"/>
        <v/>
      </c>
      <c r="BY137" s="132" t="str">
        <f t="shared" si="264"/>
        <v/>
      </c>
      <c r="BZ137" s="132" t="str">
        <f t="shared" si="265"/>
        <v/>
      </c>
      <c r="CA137" s="146"/>
      <c r="CB137" s="10" t="str">
        <f t="shared" si="266"/>
        <v/>
      </c>
      <c r="CC137" s="7" t="str">
        <f t="shared" si="267"/>
        <v/>
      </c>
      <c r="CD137" s="147"/>
      <c r="CE137" s="147"/>
      <c r="CF137" s="6"/>
      <c r="CG137" s="4"/>
      <c r="CH137" s="148">
        <f t="shared" ca="1" si="268"/>
        <v>2026</v>
      </c>
      <c r="CI137" s="121" t="str">
        <f t="shared" ca="1" si="269"/>
        <v>令和</v>
      </c>
      <c r="CJ137" s="122" t="str">
        <f t="shared" ca="1" si="270"/>
        <v>R</v>
      </c>
      <c r="CK137" s="122" t="str">
        <f t="shared" ca="1" si="271"/>
        <v>8</v>
      </c>
      <c r="CL137" s="122">
        <f t="shared" ca="1" si="272"/>
        <v>10</v>
      </c>
      <c r="CM137" s="149">
        <f t="shared" ca="1" si="273"/>
        <v>24</v>
      </c>
      <c r="CN137" s="1"/>
      <c r="CO137" s="150">
        <f t="shared" ca="1" si="274"/>
        <v>46319</v>
      </c>
    </row>
    <row r="138" spans="1:93" ht="20.100000000000001" customHeight="1" x14ac:dyDescent="0.15">
      <c r="A138" s="7" t="str">
        <f>IF(B138="","",ROW()-ROW(会員表[#Headers]))</f>
        <v/>
      </c>
      <c r="B138" s="4" ph="1"/>
      <c r="C138" s="4" t="str" cm="1">
        <f t="array" ref="C138">_xlfn.LET(_xlpm.s,PHONETIC(B138),_xlpm.c,_xlfn.UNICODE(MID(_xlpm.s,_xlfn.SEQUENCE(LEN(_xlpm.s)),1)),IF(_xlpm.s="","",_xlfn.CONCAT(_xlfn.UNICHAR(_xlpm.c-96*(_xlpm.c&gt;=12449)*(_xlpm.c&lt;=12534)))))</f>
        <v/>
      </c>
      <c r="D138" s="4" t="str" cm="1">
        <f t="array" ref="D138">_xlfn.LET(_xlpm.s,PHONETIC(B138),_xlpm.c,_xlfn.UNICODE(MID(_xlpm.s,_xlfn.SEQUENCE(LEN(_xlpm.s)),1)),IF(_xlpm.s="","",_xlfn.CONCAT(_xlfn.UNICHAR(_xlpm.c+96*(_xlpm.c&gt;=12353)*(_xlpm.c&lt;=12438)))))</f>
        <v/>
      </c>
      <c r="E138" s="129" t="str">
        <f t="shared" ca="1" si="220"/>
        <v/>
      </c>
      <c r="F138" s="130" t="str">
        <f t="shared" si="221"/>
        <v/>
      </c>
      <c r="G138" s="130" t="str">
        <f t="shared" si="222"/>
        <v/>
      </c>
      <c r="H138" s="130" t="str">
        <f t="shared" si="223"/>
        <v/>
      </c>
      <c r="I138" s="131" t="str">
        <f t="shared" si="224"/>
        <v/>
      </c>
      <c r="J138" s="132" t="str">
        <f t="shared" si="225"/>
        <v/>
      </c>
      <c r="K138" s="121" t="str">
        <f t="shared" si="226"/>
        <v/>
      </c>
      <c r="L138" s="129" t="str">
        <f t="shared" si="227"/>
        <v/>
      </c>
      <c r="M138" s="7" t="str">
        <f t="shared" si="228"/>
        <v/>
      </c>
      <c r="N138" s="133"/>
      <c r="O138" s="8"/>
      <c r="P138" s="5" t="str">
        <f t="shared" si="229"/>
        <v/>
      </c>
      <c r="Q138" s="121" t="str">
        <f t="shared" si="230"/>
        <v/>
      </c>
      <c r="R138" s="121" t="str">
        <f t="shared" si="231"/>
        <v/>
      </c>
      <c r="S138" s="7" t="str">
        <f t="shared" si="232"/>
        <v/>
      </c>
      <c r="T138" s="5"/>
      <c r="U138" s="5" t="str">
        <f t="shared" si="233"/>
        <v/>
      </c>
      <c r="V138" s="121" t="str">
        <f t="shared" si="234"/>
        <v/>
      </c>
      <c r="W138" s="121" t="str">
        <f t="shared" si="235"/>
        <v/>
      </c>
      <c r="X138" s="7" t="str">
        <f t="shared" si="236"/>
        <v/>
      </c>
      <c r="Y138" s="136"/>
      <c r="Z138" s="5" t="str">
        <f t="shared" si="237"/>
        <v/>
      </c>
      <c r="AA138" s="137" t="s">
        <v>183</v>
      </c>
      <c r="AB138" s="7" t="str">
        <f t="shared" si="238"/>
        <v/>
      </c>
      <c r="AC138" s="9"/>
      <c r="AD138" s="4"/>
      <c r="AE138" s="138" t="str">
        <f t="shared" si="239"/>
        <v/>
      </c>
      <c r="AF138" s="139" t="str">
        <f t="shared" si="240"/>
        <v/>
      </c>
      <c r="AG138" s="139" t="str">
        <f t="shared" si="241"/>
        <v/>
      </c>
      <c r="AH138" s="139" t="str">
        <f t="shared" si="242"/>
        <v/>
      </c>
      <c r="AI138" s="139" t="str">
        <f t="shared" si="243"/>
        <v/>
      </c>
      <c r="AJ138" s="140" t="str">
        <f t="shared" si="244"/>
        <v/>
      </c>
      <c r="AK138" s="8"/>
      <c r="AL138" s="8" t="str">
        <f>IF(AM138="","",IF(各種設定金額!$B$7="","○○県",各種設定金額!$B$7))</f>
        <v/>
      </c>
      <c r="AM138" s="4"/>
      <c r="AN138" s="4"/>
      <c r="AO138" s="141" t="str">
        <f t="shared" si="245"/>
        <v/>
      </c>
      <c r="AP138" s="10"/>
      <c r="AQ138" s="129"/>
      <c r="AR138" s="142" t="s">
        <v>182</v>
      </c>
      <c r="AS138" s="131" t="str">
        <f t="shared" si="246"/>
        <v/>
      </c>
      <c r="AT138" s="132" t="str">
        <f t="shared" si="247"/>
        <v/>
      </c>
      <c r="AU138" s="132" t="str">
        <f t="shared" si="248"/>
        <v/>
      </c>
      <c r="AV138" s="132" t="str">
        <f t="shared" si="249"/>
        <v/>
      </c>
      <c r="AW138" s="132" t="str">
        <f t="shared" si="250"/>
        <v/>
      </c>
      <c r="AX138" s="143" t="str">
        <f t="shared" si="251"/>
        <v/>
      </c>
      <c r="AY138" s="144"/>
      <c r="AZ138" s="8" t="str">
        <f>IF(BA138="","",IF(各種設定金額!$B$7="","○○県",各種設定金額!$B$7))</f>
        <v/>
      </c>
      <c r="BA138" s="6"/>
      <c r="BB138" s="4"/>
      <c r="BC138" s="141" t="str">
        <f t="shared" si="252"/>
        <v/>
      </c>
      <c r="BD138" s="10"/>
      <c r="BE138" s="129"/>
      <c r="BF138" s="145" t="s">
        <v>63</v>
      </c>
      <c r="BG138" s="131" t="str">
        <f t="shared" si="253"/>
        <v/>
      </c>
      <c r="BH138" s="132" t="str">
        <f t="shared" si="254"/>
        <v/>
      </c>
      <c r="BI138" s="132" t="str">
        <f t="shared" si="255"/>
        <v/>
      </c>
      <c r="BJ138" s="132" t="str">
        <f t="shared" si="256"/>
        <v/>
      </c>
      <c r="BK138" s="132" t="str">
        <f t="shared" si="257"/>
        <v/>
      </c>
      <c r="BL138" s="132" t="str">
        <f t="shared" si="258"/>
        <v/>
      </c>
      <c r="BM138" s="146"/>
      <c r="BN138" s="8" t="str">
        <f>IF(BO138="","",IF(各種設定金額!$B$7="","○○県",各種設定金額!$B$7))</f>
        <v/>
      </c>
      <c r="BO138" s="6"/>
      <c r="BP138" s="4"/>
      <c r="BQ138" s="141" t="str">
        <f t="shared" si="259"/>
        <v/>
      </c>
      <c r="BR138" s="10"/>
      <c r="BS138" s="129"/>
      <c r="BT138" s="145" t="s">
        <v>63</v>
      </c>
      <c r="BU138" s="131" t="str">
        <f t="shared" si="260"/>
        <v/>
      </c>
      <c r="BV138" s="132" t="str">
        <f t="shared" si="261"/>
        <v/>
      </c>
      <c r="BW138" s="132" t="str">
        <f t="shared" si="262"/>
        <v/>
      </c>
      <c r="BX138" s="132" t="str">
        <f t="shared" si="263"/>
        <v/>
      </c>
      <c r="BY138" s="132" t="str">
        <f t="shared" si="264"/>
        <v/>
      </c>
      <c r="BZ138" s="132" t="str">
        <f t="shared" si="265"/>
        <v/>
      </c>
      <c r="CA138" s="146"/>
      <c r="CB138" s="10" t="str">
        <f t="shared" si="266"/>
        <v/>
      </c>
      <c r="CC138" s="7" t="str">
        <f t="shared" si="267"/>
        <v/>
      </c>
      <c r="CD138" s="147"/>
      <c r="CE138" s="147"/>
      <c r="CF138" s="6"/>
      <c r="CG138" s="4"/>
      <c r="CH138" s="148">
        <f t="shared" ca="1" si="268"/>
        <v>2026</v>
      </c>
      <c r="CI138" s="121" t="str">
        <f t="shared" ca="1" si="269"/>
        <v>令和</v>
      </c>
      <c r="CJ138" s="122" t="str">
        <f t="shared" ca="1" si="270"/>
        <v>R</v>
      </c>
      <c r="CK138" s="122" t="str">
        <f t="shared" ca="1" si="271"/>
        <v>8</v>
      </c>
      <c r="CL138" s="122">
        <f t="shared" ca="1" si="272"/>
        <v>10</v>
      </c>
      <c r="CM138" s="149">
        <f t="shared" ca="1" si="273"/>
        <v>24</v>
      </c>
      <c r="CN138" s="1"/>
      <c r="CO138" s="150">
        <f t="shared" ca="1" si="274"/>
        <v>46319</v>
      </c>
    </row>
    <row r="139" spans="1:93" ht="20.100000000000001" customHeight="1" x14ac:dyDescent="0.15">
      <c r="A139" s="7" t="str">
        <f>IF(B139="","",ROW()-ROW(会員表[#Headers]))</f>
        <v/>
      </c>
      <c r="B139" s="4" ph="1"/>
      <c r="C139" s="4" t="str" cm="1">
        <f t="array" ref="C139">_xlfn.LET(_xlpm.s,PHONETIC(B139),_xlpm.c,_xlfn.UNICODE(MID(_xlpm.s,_xlfn.SEQUENCE(LEN(_xlpm.s)),1)),IF(_xlpm.s="","",_xlfn.CONCAT(_xlfn.UNICHAR(_xlpm.c-96*(_xlpm.c&gt;=12449)*(_xlpm.c&lt;=12534)))))</f>
        <v/>
      </c>
      <c r="D139" s="4" t="str" cm="1">
        <f t="array" ref="D139">_xlfn.LET(_xlpm.s,PHONETIC(B139),_xlpm.c,_xlfn.UNICODE(MID(_xlpm.s,_xlfn.SEQUENCE(LEN(_xlpm.s)),1)),IF(_xlpm.s="","",_xlfn.CONCAT(_xlfn.UNICHAR(_xlpm.c+96*(_xlpm.c&gt;=12353)*(_xlpm.c&lt;=12438)))))</f>
        <v/>
      </c>
      <c r="E139" s="129" t="str">
        <f t="shared" ca="1" si="220"/>
        <v/>
      </c>
      <c r="F139" s="130" t="str">
        <f t="shared" si="221"/>
        <v/>
      </c>
      <c r="G139" s="130" t="str">
        <f t="shared" si="222"/>
        <v/>
      </c>
      <c r="H139" s="130" t="str">
        <f t="shared" si="223"/>
        <v/>
      </c>
      <c r="I139" s="131" t="str">
        <f t="shared" si="224"/>
        <v/>
      </c>
      <c r="J139" s="132" t="str">
        <f t="shared" si="225"/>
        <v/>
      </c>
      <c r="K139" s="121" t="str">
        <f t="shared" si="226"/>
        <v/>
      </c>
      <c r="L139" s="129" t="str">
        <f t="shared" si="227"/>
        <v/>
      </c>
      <c r="M139" s="7" t="str">
        <f t="shared" si="228"/>
        <v/>
      </c>
      <c r="N139" s="133"/>
      <c r="O139" s="8"/>
      <c r="P139" s="5" t="str">
        <f t="shared" si="229"/>
        <v/>
      </c>
      <c r="Q139" s="121" t="str">
        <f t="shared" si="230"/>
        <v/>
      </c>
      <c r="R139" s="121" t="str">
        <f t="shared" si="231"/>
        <v/>
      </c>
      <c r="S139" s="7" t="str">
        <f t="shared" si="232"/>
        <v/>
      </c>
      <c r="T139" s="5"/>
      <c r="U139" s="5" t="str">
        <f t="shared" si="233"/>
        <v/>
      </c>
      <c r="V139" s="121" t="str">
        <f t="shared" si="234"/>
        <v/>
      </c>
      <c r="W139" s="121" t="str">
        <f t="shared" si="235"/>
        <v/>
      </c>
      <c r="X139" s="7" t="str">
        <f t="shared" si="236"/>
        <v/>
      </c>
      <c r="Y139" s="136"/>
      <c r="Z139" s="5" t="str">
        <f t="shared" si="237"/>
        <v/>
      </c>
      <c r="AA139" s="137" t="s">
        <v>183</v>
      </c>
      <c r="AB139" s="7" t="str">
        <f t="shared" si="238"/>
        <v/>
      </c>
      <c r="AC139" s="9"/>
      <c r="AD139" s="4"/>
      <c r="AE139" s="138" t="str">
        <f t="shared" si="239"/>
        <v/>
      </c>
      <c r="AF139" s="139" t="str">
        <f t="shared" si="240"/>
        <v/>
      </c>
      <c r="AG139" s="139" t="str">
        <f t="shared" si="241"/>
        <v/>
      </c>
      <c r="AH139" s="139" t="str">
        <f t="shared" si="242"/>
        <v/>
      </c>
      <c r="AI139" s="139" t="str">
        <f t="shared" si="243"/>
        <v/>
      </c>
      <c r="AJ139" s="140" t="str">
        <f t="shared" si="244"/>
        <v/>
      </c>
      <c r="AK139" s="8"/>
      <c r="AL139" s="8" t="str">
        <f>IF(AM139="","",IF(各種設定金額!$B$7="","○○県",各種設定金額!$B$7))</f>
        <v/>
      </c>
      <c r="AM139" s="4"/>
      <c r="AN139" s="4"/>
      <c r="AO139" s="141" t="str">
        <f t="shared" si="245"/>
        <v/>
      </c>
      <c r="AP139" s="10"/>
      <c r="AQ139" s="129"/>
      <c r="AR139" s="142" t="s">
        <v>182</v>
      </c>
      <c r="AS139" s="131" t="str">
        <f t="shared" si="246"/>
        <v/>
      </c>
      <c r="AT139" s="132" t="str">
        <f t="shared" si="247"/>
        <v/>
      </c>
      <c r="AU139" s="132" t="str">
        <f t="shared" si="248"/>
        <v/>
      </c>
      <c r="AV139" s="132" t="str">
        <f t="shared" si="249"/>
        <v/>
      </c>
      <c r="AW139" s="132" t="str">
        <f t="shared" si="250"/>
        <v/>
      </c>
      <c r="AX139" s="143" t="str">
        <f t="shared" si="251"/>
        <v/>
      </c>
      <c r="AY139" s="144"/>
      <c r="AZ139" s="8" t="str">
        <f>IF(BA139="","",IF(各種設定金額!$B$7="","○○県",各種設定金額!$B$7))</f>
        <v/>
      </c>
      <c r="BA139" s="6"/>
      <c r="BB139" s="4"/>
      <c r="BC139" s="141" t="str">
        <f t="shared" si="252"/>
        <v/>
      </c>
      <c r="BD139" s="10"/>
      <c r="BE139" s="129"/>
      <c r="BF139" s="145" t="s">
        <v>63</v>
      </c>
      <c r="BG139" s="131" t="str">
        <f t="shared" si="253"/>
        <v/>
      </c>
      <c r="BH139" s="132" t="str">
        <f t="shared" si="254"/>
        <v/>
      </c>
      <c r="BI139" s="132" t="str">
        <f t="shared" si="255"/>
        <v/>
      </c>
      <c r="BJ139" s="132" t="str">
        <f t="shared" si="256"/>
        <v/>
      </c>
      <c r="BK139" s="132" t="str">
        <f t="shared" si="257"/>
        <v/>
      </c>
      <c r="BL139" s="132" t="str">
        <f t="shared" si="258"/>
        <v/>
      </c>
      <c r="BM139" s="146"/>
      <c r="BN139" s="8" t="str">
        <f>IF(BO139="","",IF(各種設定金額!$B$7="","○○県",各種設定金額!$B$7))</f>
        <v/>
      </c>
      <c r="BO139" s="6"/>
      <c r="BP139" s="4"/>
      <c r="BQ139" s="141" t="str">
        <f t="shared" si="259"/>
        <v/>
      </c>
      <c r="BR139" s="10"/>
      <c r="BS139" s="129"/>
      <c r="BT139" s="145" t="s">
        <v>63</v>
      </c>
      <c r="BU139" s="131" t="str">
        <f t="shared" si="260"/>
        <v/>
      </c>
      <c r="BV139" s="132" t="str">
        <f t="shared" si="261"/>
        <v/>
      </c>
      <c r="BW139" s="132" t="str">
        <f t="shared" si="262"/>
        <v/>
      </c>
      <c r="BX139" s="132" t="str">
        <f t="shared" si="263"/>
        <v/>
      </c>
      <c r="BY139" s="132" t="str">
        <f t="shared" si="264"/>
        <v/>
      </c>
      <c r="BZ139" s="132" t="str">
        <f t="shared" si="265"/>
        <v/>
      </c>
      <c r="CA139" s="146"/>
      <c r="CB139" s="10" t="str">
        <f t="shared" si="266"/>
        <v/>
      </c>
      <c r="CC139" s="7" t="str">
        <f t="shared" si="267"/>
        <v/>
      </c>
      <c r="CD139" s="147"/>
      <c r="CE139" s="147"/>
      <c r="CF139" s="6"/>
      <c r="CG139" s="4"/>
      <c r="CH139" s="148">
        <f t="shared" ca="1" si="268"/>
        <v>2026</v>
      </c>
      <c r="CI139" s="121" t="str">
        <f t="shared" ca="1" si="269"/>
        <v>令和</v>
      </c>
      <c r="CJ139" s="122" t="str">
        <f t="shared" ca="1" si="270"/>
        <v>R</v>
      </c>
      <c r="CK139" s="122" t="str">
        <f t="shared" ca="1" si="271"/>
        <v>8</v>
      </c>
      <c r="CL139" s="122">
        <f t="shared" ca="1" si="272"/>
        <v>10</v>
      </c>
      <c r="CM139" s="149">
        <f t="shared" ca="1" si="273"/>
        <v>24</v>
      </c>
      <c r="CN139" s="1"/>
      <c r="CO139" s="150">
        <f t="shared" ca="1" si="274"/>
        <v>46319</v>
      </c>
    </row>
    <row r="140" spans="1:93" ht="20.100000000000001" customHeight="1" x14ac:dyDescent="0.15">
      <c r="A140" s="7" t="str">
        <f>IF(B140="","",ROW()-ROW(会員表[#Headers]))</f>
        <v/>
      </c>
      <c r="B140" s="4" ph="1"/>
      <c r="C140" s="4" t="str" cm="1">
        <f t="array" ref="C140">_xlfn.LET(_xlpm.s,PHONETIC(B140),_xlpm.c,_xlfn.UNICODE(MID(_xlpm.s,_xlfn.SEQUENCE(LEN(_xlpm.s)),1)),IF(_xlpm.s="","",_xlfn.CONCAT(_xlfn.UNICHAR(_xlpm.c-96*(_xlpm.c&gt;=12449)*(_xlpm.c&lt;=12534)))))</f>
        <v/>
      </c>
      <c r="D140" s="4" t="str" cm="1">
        <f t="array" ref="D140">_xlfn.LET(_xlpm.s,PHONETIC(B140),_xlpm.c,_xlfn.UNICODE(MID(_xlpm.s,_xlfn.SEQUENCE(LEN(_xlpm.s)),1)),IF(_xlpm.s="","",_xlfn.CONCAT(_xlfn.UNICHAR(_xlpm.c+96*(_xlpm.c&gt;=12353)*(_xlpm.c&lt;=12438)))))</f>
        <v/>
      </c>
      <c r="E140" s="129" t="str">
        <f t="shared" ca="1" si="220"/>
        <v/>
      </c>
      <c r="F140" s="130" t="str">
        <f t="shared" si="221"/>
        <v/>
      </c>
      <c r="G140" s="130" t="str">
        <f t="shared" si="222"/>
        <v/>
      </c>
      <c r="H140" s="130" t="str">
        <f t="shared" si="223"/>
        <v/>
      </c>
      <c r="I140" s="131" t="str">
        <f t="shared" si="224"/>
        <v/>
      </c>
      <c r="J140" s="132" t="str">
        <f t="shared" si="225"/>
        <v/>
      </c>
      <c r="K140" s="121" t="str">
        <f t="shared" si="226"/>
        <v/>
      </c>
      <c r="L140" s="129" t="str">
        <f t="shared" si="227"/>
        <v/>
      </c>
      <c r="M140" s="7" t="str">
        <f t="shared" si="228"/>
        <v/>
      </c>
      <c r="N140" s="133"/>
      <c r="O140" s="8"/>
      <c r="P140" s="5" t="str">
        <f t="shared" si="229"/>
        <v/>
      </c>
      <c r="Q140" s="121" t="str">
        <f t="shared" si="230"/>
        <v/>
      </c>
      <c r="R140" s="121" t="str">
        <f t="shared" si="231"/>
        <v/>
      </c>
      <c r="S140" s="7" t="str">
        <f t="shared" si="232"/>
        <v/>
      </c>
      <c r="T140" s="5"/>
      <c r="U140" s="5" t="str">
        <f t="shared" si="233"/>
        <v/>
      </c>
      <c r="V140" s="121" t="str">
        <f t="shared" si="234"/>
        <v/>
      </c>
      <c r="W140" s="121" t="str">
        <f t="shared" si="235"/>
        <v/>
      </c>
      <c r="X140" s="7" t="str">
        <f t="shared" si="236"/>
        <v/>
      </c>
      <c r="Y140" s="136"/>
      <c r="Z140" s="5" t="str">
        <f t="shared" si="237"/>
        <v/>
      </c>
      <c r="AA140" s="137" t="s">
        <v>183</v>
      </c>
      <c r="AB140" s="7" t="str">
        <f t="shared" si="238"/>
        <v/>
      </c>
      <c r="AC140" s="9"/>
      <c r="AD140" s="4"/>
      <c r="AE140" s="138" t="str">
        <f t="shared" si="239"/>
        <v/>
      </c>
      <c r="AF140" s="139" t="str">
        <f t="shared" si="240"/>
        <v/>
      </c>
      <c r="AG140" s="139" t="str">
        <f t="shared" si="241"/>
        <v/>
      </c>
      <c r="AH140" s="139" t="str">
        <f t="shared" si="242"/>
        <v/>
      </c>
      <c r="AI140" s="139" t="str">
        <f t="shared" si="243"/>
        <v/>
      </c>
      <c r="AJ140" s="140" t="str">
        <f t="shared" si="244"/>
        <v/>
      </c>
      <c r="AK140" s="8"/>
      <c r="AL140" s="8" t="str">
        <f>IF(AM140="","",IF(各種設定金額!$B$7="","○○県",各種設定金額!$B$7))</f>
        <v/>
      </c>
      <c r="AM140" s="4"/>
      <c r="AN140" s="4"/>
      <c r="AO140" s="141" t="str">
        <f t="shared" si="245"/>
        <v/>
      </c>
      <c r="AP140" s="10"/>
      <c r="AQ140" s="129"/>
      <c r="AR140" s="142" t="s">
        <v>182</v>
      </c>
      <c r="AS140" s="131" t="str">
        <f t="shared" si="246"/>
        <v/>
      </c>
      <c r="AT140" s="132" t="str">
        <f t="shared" si="247"/>
        <v/>
      </c>
      <c r="AU140" s="132" t="str">
        <f t="shared" si="248"/>
        <v/>
      </c>
      <c r="AV140" s="132" t="str">
        <f t="shared" si="249"/>
        <v/>
      </c>
      <c r="AW140" s="132" t="str">
        <f t="shared" si="250"/>
        <v/>
      </c>
      <c r="AX140" s="143" t="str">
        <f t="shared" si="251"/>
        <v/>
      </c>
      <c r="AY140" s="144"/>
      <c r="AZ140" s="8" t="str">
        <f>IF(BA140="","",IF(各種設定金額!$B$7="","○○県",各種設定金額!$B$7))</f>
        <v/>
      </c>
      <c r="BA140" s="6"/>
      <c r="BB140" s="4"/>
      <c r="BC140" s="141" t="str">
        <f t="shared" si="252"/>
        <v/>
      </c>
      <c r="BD140" s="10"/>
      <c r="BE140" s="129"/>
      <c r="BF140" s="145" t="s">
        <v>63</v>
      </c>
      <c r="BG140" s="131" t="str">
        <f t="shared" si="253"/>
        <v/>
      </c>
      <c r="BH140" s="132" t="str">
        <f t="shared" si="254"/>
        <v/>
      </c>
      <c r="BI140" s="132" t="str">
        <f t="shared" si="255"/>
        <v/>
      </c>
      <c r="BJ140" s="132" t="str">
        <f t="shared" si="256"/>
        <v/>
      </c>
      <c r="BK140" s="132" t="str">
        <f t="shared" si="257"/>
        <v/>
      </c>
      <c r="BL140" s="132" t="str">
        <f t="shared" si="258"/>
        <v/>
      </c>
      <c r="BM140" s="146"/>
      <c r="BN140" s="8" t="str">
        <f>IF(BO140="","",IF(各種設定金額!$B$7="","○○県",各種設定金額!$B$7))</f>
        <v/>
      </c>
      <c r="BO140" s="6"/>
      <c r="BP140" s="4"/>
      <c r="BQ140" s="141" t="str">
        <f t="shared" si="259"/>
        <v/>
      </c>
      <c r="BR140" s="10"/>
      <c r="BS140" s="129"/>
      <c r="BT140" s="145" t="s">
        <v>63</v>
      </c>
      <c r="BU140" s="131" t="str">
        <f t="shared" si="260"/>
        <v/>
      </c>
      <c r="BV140" s="132" t="str">
        <f t="shared" si="261"/>
        <v/>
      </c>
      <c r="BW140" s="132" t="str">
        <f t="shared" si="262"/>
        <v/>
      </c>
      <c r="BX140" s="132" t="str">
        <f t="shared" si="263"/>
        <v/>
      </c>
      <c r="BY140" s="132" t="str">
        <f t="shared" si="264"/>
        <v/>
      </c>
      <c r="BZ140" s="132" t="str">
        <f t="shared" si="265"/>
        <v/>
      </c>
      <c r="CA140" s="146"/>
      <c r="CB140" s="10" t="str">
        <f t="shared" si="266"/>
        <v/>
      </c>
      <c r="CC140" s="7" t="str">
        <f t="shared" si="267"/>
        <v/>
      </c>
      <c r="CD140" s="147"/>
      <c r="CE140" s="147"/>
      <c r="CF140" s="6"/>
      <c r="CG140" s="4"/>
      <c r="CH140" s="148">
        <f t="shared" ca="1" si="268"/>
        <v>2026</v>
      </c>
      <c r="CI140" s="121" t="str">
        <f t="shared" ca="1" si="269"/>
        <v>令和</v>
      </c>
      <c r="CJ140" s="122" t="str">
        <f t="shared" ca="1" si="270"/>
        <v>R</v>
      </c>
      <c r="CK140" s="122" t="str">
        <f t="shared" ca="1" si="271"/>
        <v>8</v>
      </c>
      <c r="CL140" s="122">
        <f t="shared" ca="1" si="272"/>
        <v>10</v>
      </c>
      <c r="CM140" s="149">
        <f t="shared" ca="1" si="273"/>
        <v>24</v>
      </c>
      <c r="CN140" s="1"/>
      <c r="CO140" s="150">
        <f t="shared" ca="1" si="274"/>
        <v>46319</v>
      </c>
    </row>
    <row r="141" spans="1:93" ht="20.100000000000001" customHeight="1" x14ac:dyDescent="0.15">
      <c r="A141" s="7" t="str">
        <f>IF(B141="","",ROW()-ROW(会員表[#Headers]))</f>
        <v/>
      </c>
      <c r="B141" s="4" ph="1"/>
      <c r="C141" s="4" t="str" cm="1">
        <f t="array" ref="C141">_xlfn.LET(_xlpm.s,PHONETIC(B141),_xlpm.c,_xlfn.UNICODE(MID(_xlpm.s,_xlfn.SEQUENCE(LEN(_xlpm.s)),1)),IF(_xlpm.s="","",_xlfn.CONCAT(_xlfn.UNICHAR(_xlpm.c-96*(_xlpm.c&gt;=12449)*(_xlpm.c&lt;=12534)))))</f>
        <v/>
      </c>
      <c r="D141" s="4" t="str" cm="1">
        <f t="array" ref="D141">_xlfn.LET(_xlpm.s,PHONETIC(B141),_xlpm.c,_xlfn.UNICODE(MID(_xlpm.s,_xlfn.SEQUENCE(LEN(_xlpm.s)),1)),IF(_xlpm.s="","",_xlfn.CONCAT(_xlfn.UNICHAR(_xlpm.c+96*(_xlpm.c&gt;=12353)*(_xlpm.c&lt;=12438)))))</f>
        <v/>
      </c>
      <c r="E141" s="129" t="str">
        <f t="shared" ca="1" si="220"/>
        <v/>
      </c>
      <c r="F141" s="130" t="str">
        <f t="shared" si="221"/>
        <v/>
      </c>
      <c r="G141" s="130" t="str">
        <f t="shared" si="222"/>
        <v/>
      </c>
      <c r="H141" s="130" t="str">
        <f t="shared" si="223"/>
        <v/>
      </c>
      <c r="I141" s="131" t="str">
        <f t="shared" si="224"/>
        <v/>
      </c>
      <c r="J141" s="132" t="str">
        <f t="shared" si="225"/>
        <v/>
      </c>
      <c r="K141" s="121" t="str">
        <f t="shared" si="226"/>
        <v/>
      </c>
      <c r="L141" s="129" t="str">
        <f t="shared" si="227"/>
        <v/>
      </c>
      <c r="M141" s="7" t="str">
        <f t="shared" si="228"/>
        <v/>
      </c>
      <c r="N141" s="133"/>
      <c r="O141" s="8"/>
      <c r="P141" s="5" t="str">
        <f t="shared" si="229"/>
        <v/>
      </c>
      <c r="Q141" s="121" t="str">
        <f t="shared" si="230"/>
        <v/>
      </c>
      <c r="R141" s="121" t="str">
        <f t="shared" si="231"/>
        <v/>
      </c>
      <c r="S141" s="7" t="str">
        <f t="shared" si="232"/>
        <v/>
      </c>
      <c r="T141" s="5"/>
      <c r="U141" s="5" t="str">
        <f t="shared" si="233"/>
        <v/>
      </c>
      <c r="V141" s="121" t="str">
        <f t="shared" si="234"/>
        <v/>
      </c>
      <c r="W141" s="121" t="str">
        <f t="shared" si="235"/>
        <v/>
      </c>
      <c r="X141" s="7" t="str">
        <f t="shared" si="236"/>
        <v/>
      </c>
      <c r="Y141" s="136"/>
      <c r="Z141" s="5" t="str">
        <f t="shared" si="237"/>
        <v/>
      </c>
      <c r="AA141" s="137" t="s">
        <v>183</v>
      </c>
      <c r="AB141" s="7" t="str">
        <f t="shared" si="238"/>
        <v/>
      </c>
      <c r="AC141" s="9"/>
      <c r="AD141" s="4"/>
      <c r="AE141" s="138" t="str">
        <f t="shared" si="239"/>
        <v/>
      </c>
      <c r="AF141" s="139" t="str">
        <f t="shared" si="240"/>
        <v/>
      </c>
      <c r="AG141" s="139" t="str">
        <f t="shared" si="241"/>
        <v/>
      </c>
      <c r="AH141" s="139" t="str">
        <f t="shared" si="242"/>
        <v/>
      </c>
      <c r="AI141" s="139" t="str">
        <f t="shared" si="243"/>
        <v/>
      </c>
      <c r="AJ141" s="140" t="str">
        <f t="shared" si="244"/>
        <v/>
      </c>
      <c r="AK141" s="8"/>
      <c r="AL141" s="8" t="str">
        <f>IF(AM141="","",IF(各種設定金額!$B$7="","○○県",各種設定金額!$B$7))</f>
        <v/>
      </c>
      <c r="AM141" s="4"/>
      <c r="AN141" s="4"/>
      <c r="AO141" s="141" t="str">
        <f t="shared" si="245"/>
        <v/>
      </c>
      <c r="AP141" s="10"/>
      <c r="AQ141" s="129"/>
      <c r="AR141" s="142" t="s">
        <v>182</v>
      </c>
      <c r="AS141" s="131" t="str">
        <f t="shared" si="246"/>
        <v/>
      </c>
      <c r="AT141" s="132" t="str">
        <f t="shared" si="247"/>
        <v/>
      </c>
      <c r="AU141" s="132" t="str">
        <f t="shared" si="248"/>
        <v/>
      </c>
      <c r="AV141" s="132" t="str">
        <f t="shared" si="249"/>
        <v/>
      </c>
      <c r="AW141" s="132" t="str">
        <f t="shared" si="250"/>
        <v/>
      </c>
      <c r="AX141" s="143" t="str">
        <f t="shared" si="251"/>
        <v/>
      </c>
      <c r="AY141" s="144"/>
      <c r="AZ141" s="8" t="str">
        <f>IF(BA141="","",IF(各種設定金額!$B$7="","○○県",各種設定金額!$B$7))</f>
        <v/>
      </c>
      <c r="BA141" s="6"/>
      <c r="BB141" s="4"/>
      <c r="BC141" s="141" t="str">
        <f t="shared" si="252"/>
        <v/>
      </c>
      <c r="BD141" s="10"/>
      <c r="BE141" s="129"/>
      <c r="BF141" s="145" t="s">
        <v>63</v>
      </c>
      <c r="BG141" s="131" t="str">
        <f t="shared" si="253"/>
        <v/>
      </c>
      <c r="BH141" s="132" t="str">
        <f t="shared" si="254"/>
        <v/>
      </c>
      <c r="BI141" s="132" t="str">
        <f t="shared" si="255"/>
        <v/>
      </c>
      <c r="BJ141" s="132" t="str">
        <f t="shared" si="256"/>
        <v/>
      </c>
      <c r="BK141" s="132" t="str">
        <f t="shared" si="257"/>
        <v/>
      </c>
      <c r="BL141" s="132" t="str">
        <f t="shared" si="258"/>
        <v/>
      </c>
      <c r="BM141" s="146"/>
      <c r="BN141" s="8" t="str">
        <f>IF(BO141="","",IF(各種設定金額!$B$7="","○○県",各種設定金額!$B$7))</f>
        <v/>
      </c>
      <c r="BO141" s="6"/>
      <c r="BP141" s="4"/>
      <c r="BQ141" s="141" t="str">
        <f t="shared" si="259"/>
        <v/>
      </c>
      <c r="BR141" s="10"/>
      <c r="BS141" s="129"/>
      <c r="BT141" s="145" t="s">
        <v>63</v>
      </c>
      <c r="BU141" s="131" t="str">
        <f t="shared" si="260"/>
        <v/>
      </c>
      <c r="BV141" s="132" t="str">
        <f t="shared" si="261"/>
        <v/>
      </c>
      <c r="BW141" s="132" t="str">
        <f t="shared" si="262"/>
        <v/>
      </c>
      <c r="BX141" s="132" t="str">
        <f t="shared" si="263"/>
        <v/>
      </c>
      <c r="BY141" s="132" t="str">
        <f t="shared" si="264"/>
        <v/>
      </c>
      <c r="BZ141" s="132" t="str">
        <f t="shared" si="265"/>
        <v/>
      </c>
      <c r="CA141" s="146"/>
      <c r="CB141" s="10" t="str">
        <f t="shared" si="266"/>
        <v/>
      </c>
      <c r="CC141" s="7" t="str">
        <f t="shared" si="267"/>
        <v/>
      </c>
      <c r="CD141" s="147"/>
      <c r="CE141" s="147"/>
      <c r="CF141" s="6"/>
      <c r="CG141" s="4"/>
      <c r="CH141" s="148">
        <f t="shared" ca="1" si="268"/>
        <v>2026</v>
      </c>
      <c r="CI141" s="121" t="str">
        <f t="shared" ca="1" si="269"/>
        <v>令和</v>
      </c>
      <c r="CJ141" s="122" t="str">
        <f t="shared" ca="1" si="270"/>
        <v>R</v>
      </c>
      <c r="CK141" s="122" t="str">
        <f t="shared" ca="1" si="271"/>
        <v>8</v>
      </c>
      <c r="CL141" s="122">
        <f t="shared" ca="1" si="272"/>
        <v>10</v>
      </c>
      <c r="CM141" s="149">
        <f t="shared" ca="1" si="273"/>
        <v>24</v>
      </c>
      <c r="CN141" s="1"/>
      <c r="CO141" s="150">
        <f t="shared" ca="1" si="274"/>
        <v>46319</v>
      </c>
    </row>
    <row r="142" spans="1:93" ht="20.100000000000001" customHeight="1" x14ac:dyDescent="0.15">
      <c r="A142" s="7" t="str">
        <f>IF(B142="","",ROW()-ROW(会員表[#Headers]))</f>
        <v/>
      </c>
      <c r="B142" s="4" ph="1"/>
      <c r="C142" s="4" t="str" cm="1">
        <f t="array" ref="C142">_xlfn.LET(_xlpm.s,PHONETIC(B142),_xlpm.c,_xlfn.UNICODE(MID(_xlpm.s,_xlfn.SEQUENCE(LEN(_xlpm.s)),1)),IF(_xlpm.s="","",_xlfn.CONCAT(_xlfn.UNICHAR(_xlpm.c-96*(_xlpm.c&gt;=12449)*(_xlpm.c&lt;=12534)))))</f>
        <v/>
      </c>
      <c r="D142" s="4" t="str" cm="1">
        <f t="array" ref="D142">_xlfn.LET(_xlpm.s,PHONETIC(B142),_xlpm.c,_xlfn.UNICODE(MID(_xlpm.s,_xlfn.SEQUENCE(LEN(_xlpm.s)),1)),IF(_xlpm.s="","",_xlfn.CONCAT(_xlfn.UNICHAR(_xlpm.c+96*(_xlpm.c&gt;=12353)*(_xlpm.c&lt;=12438)))))</f>
        <v/>
      </c>
      <c r="E142" s="129" t="str">
        <f t="shared" ca="1" si="220"/>
        <v/>
      </c>
      <c r="F142" s="130" t="str">
        <f t="shared" si="221"/>
        <v/>
      </c>
      <c r="G142" s="130" t="str">
        <f t="shared" si="222"/>
        <v/>
      </c>
      <c r="H142" s="130" t="str">
        <f t="shared" si="223"/>
        <v/>
      </c>
      <c r="I142" s="131" t="str">
        <f t="shared" si="224"/>
        <v/>
      </c>
      <c r="J142" s="132" t="str">
        <f t="shared" si="225"/>
        <v/>
      </c>
      <c r="K142" s="121" t="str">
        <f t="shared" si="226"/>
        <v/>
      </c>
      <c r="L142" s="129" t="str">
        <f t="shared" si="227"/>
        <v/>
      </c>
      <c r="M142" s="7" t="str">
        <f t="shared" si="228"/>
        <v/>
      </c>
      <c r="N142" s="133"/>
      <c r="O142" s="8"/>
      <c r="P142" s="5" t="str">
        <f t="shared" si="229"/>
        <v/>
      </c>
      <c r="Q142" s="121" t="str">
        <f t="shared" si="230"/>
        <v/>
      </c>
      <c r="R142" s="121" t="str">
        <f t="shared" si="231"/>
        <v/>
      </c>
      <c r="S142" s="7" t="str">
        <f t="shared" si="232"/>
        <v/>
      </c>
      <c r="T142" s="5"/>
      <c r="U142" s="5" t="str">
        <f t="shared" si="233"/>
        <v/>
      </c>
      <c r="V142" s="121" t="str">
        <f t="shared" si="234"/>
        <v/>
      </c>
      <c r="W142" s="121" t="str">
        <f t="shared" si="235"/>
        <v/>
      </c>
      <c r="X142" s="7" t="str">
        <f t="shared" si="236"/>
        <v/>
      </c>
      <c r="Y142" s="136"/>
      <c r="Z142" s="5" t="str">
        <f t="shared" si="237"/>
        <v/>
      </c>
      <c r="AA142" s="137" t="s">
        <v>183</v>
      </c>
      <c r="AB142" s="7" t="str">
        <f t="shared" si="238"/>
        <v/>
      </c>
      <c r="AC142" s="9"/>
      <c r="AD142" s="4"/>
      <c r="AE142" s="138" t="str">
        <f t="shared" si="239"/>
        <v/>
      </c>
      <c r="AF142" s="139" t="str">
        <f t="shared" si="240"/>
        <v/>
      </c>
      <c r="AG142" s="139" t="str">
        <f t="shared" si="241"/>
        <v/>
      </c>
      <c r="AH142" s="139" t="str">
        <f t="shared" si="242"/>
        <v/>
      </c>
      <c r="AI142" s="139" t="str">
        <f t="shared" si="243"/>
        <v/>
      </c>
      <c r="AJ142" s="140" t="str">
        <f t="shared" si="244"/>
        <v/>
      </c>
      <c r="AK142" s="8"/>
      <c r="AL142" s="8" t="str">
        <f>IF(AM142="","",IF(各種設定金額!$B$7="","○○県",各種設定金額!$B$7))</f>
        <v/>
      </c>
      <c r="AM142" s="4"/>
      <c r="AN142" s="4"/>
      <c r="AO142" s="141" t="str">
        <f t="shared" si="245"/>
        <v/>
      </c>
      <c r="AP142" s="10"/>
      <c r="AQ142" s="129"/>
      <c r="AR142" s="142" t="s">
        <v>182</v>
      </c>
      <c r="AS142" s="131" t="str">
        <f t="shared" si="246"/>
        <v/>
      </c>
      <c r="AT142" s="132" t="str">
        <f t="shared" si="247"/>
        <v/>
      </c>
      <c r="AU142" s="132" t="str">
        <f t="shared" si="248"/>
        <v/>
      </c>
      <c r="AV142" s="132" t="str">
        <f t="shared" si="249"/>
        <v/>
      </c>
      <c r="AW142" s="132" t="str">
        <f t="shared" si="250"/>
        <v/>
      </c>
      <c r="AX142" s="143" t="str">
        <f t="shared" si="251"/>
        <v/>
      </c>
      <c r="AY142" s="144"/>
      <c r="AZ142" s="8" t="str">
        <f>IF(BA142="","",IF(各種設定金額!$B$7="","○○県",各種設定金額!$B$7))</f>
        <v/>
      </c>
      <c r="BA142" s="6"/>
      <c r="BB142" s="4"/>
      <c r="BC142" s="141" t="str">
        <f t="shared" si="252"/>
        <v/>
      </c>
      <c r="BD142" s="10"/>
      <c r="BE142" s="129"/>
      <c r="BF142" s="145" t="s">
        <v>63</v>
      </c>
      <c r="BG142" s="131" t="str">
        <f t="shared" si="253"/>
        <v/>
      </c>
      <c r="BH142" s="132" t="str">
        <f t="shared" si="254"/>
        <v/>
      </c>
      <c r="BI142" s="132" t="str">
        <f t="shared" si="255"/>
        <v/>
      </c>
      <c r="BJ142" s="132" t="str">
        <f t="shared" si="256"/>
        <v/>
      </c>
      <c r="BK142" s="132" t="str">
        <f t="shared" si="257"/>
        <v/>
      </c>
      <c r="BL142" s="132" t="str">
        <f t="shared" si="258"/>
        <v/>
      </c>
      <c r="BM142" s="146"/>
      <c r="BN142" s="8" t="str">
        <f>IF(BO142="","",IF(各種設定金額!$B$7="","○○県",各種設定金額!$B$7))</f>
        <v/>
      </c>
      <c r="BO142" s="6"/>
      <c r="BP142" s="4"/>
      <c r="BQ142" s="141" t="str">
        <f t="shared" si="259"/>
        <v/>
      </c>
      <c r="BR142" s="10"/>
      <c r="BS142" s="129"/>
      <c r="BT142" s="145" t="s">
        <v>63</v>
      </c>
      <c r="BU142" s="131" t="str">
        <f t="shared" si="260"/>
        <v/>
      </c>
      <c r="BV142" s="132" t="str">
        <f t="shared" si="261"/>
        <v/>
      </c>
      <c r="BW142" s="132" t="str">
        <f t="shared" si="262"/>
        <v/>
      </c>
      <c r="BX142" s="132" t="str">
        <f t="shared" si="263"/>
        <v/>
      </c>
      <c r="BY142" s="132" t="str">
        <f t="shared" si="264"/>
        <v/>
      </c>
      <c r="BZ142" s="132" t="str">
        <f t="shared" si="265"/>
        <v/>
      </c>
      <c r="CA142" s="146"/>
      <c r="CB142" s="10" t="str">
        <f t="shared" si="266"/>
        <v/>
      </c>
      <c r="CC142" s="7" t="str">
        <f t="shared" si="267"/>
        <v/>
      </c>
      <c r="CD142" s="147"/>
      <c r="CE142" s="147"/>
      <c r="CF142" s="6"/>
      <c r="CG142" s="4"/>
      <c r="CH142" s="148">
        <f t="shared" ca="1" si="268"/>
        <v>2026</v>
      </c>
      <c r="CI142" s="121" t="str">
        <f t="shared" ca="1" si="269"/>
        <v>令和</v>
      </c>
      <c r="CJ142" s="122" t="str">
        <f t="shared" ca="1" si="270"/>
        <v>R</v>
      </c>
      <c r="CK142" s="122" t="str">
        <f t="shared" ca="1" si="271"/>
        <v>8</v>
      </c>
      <c r="CL142" s="122">
        <f t="shared" ca="1" si="272"/>
        <v>10</v>
      </c>
      <c r="CM142" s="149">
        <f t="shared" ca="1" si="273"/>
        <v>24</v>
      </c>
      <c r="CN142" s="1"/>
      <c r="CO142" s="150">
        <f t="shared" ca="1" si="274"/>
        <v>46319</v>
      </c>
    </row>
    <row r="143" spans="1:93" ht="20.100000000000001" customHeight="1" x14ac:dyDescent="0.15">
      <c r="A143" s="7" t="str">
        <f>IF(B143="","",ROW()-ROW(会員表[#Headers]))</f>
        <v/>
      </c>
      <c r="B143" s="4" ph="1"/>
      <c r="C143" s="4" t="str" cm="1">
        <f t="array" ref="C143">_xlfn.LET(_xlpm.s,PHONETIC(B143),_xlpm.c,_xlfn.UNICODE(MID(_xlpm.s,_xlfn.SEQUENCE(LEN(_xlpm.s)),1)),IF(_xlpm.s="","",_xlfn.CONCAT(_xlfn.UNICHAR(_xlpm.c-96*(_xlpm.c&gt;=12449)*(_xlpm.c&lt;=12534)))))</f>
        <v/>
      </c>
      <c r="D143" s="4" t="str" cm="1">
        <f t="array" ref="D143">_xlfn.LET(_xlpm.s,PHONETIC(B143),_xlpm.c,_xlfn.UNICODE(MID(_xlpm.s,_xlfn.SEQUENCE(LEN(_xlpm.s)),1)),IF(_xlpm.s="","",_xlfn.CONCAT(_xlfn.UNICHAR(_xlpm.c+96*(_xlpm.c&gt;=12353)*(_xlpm.c&lt;=12438)))))</f>
        <v/>
      </c>
      <c r="E143" s="129" t="str">
        <f t="shared" ca="1" si="220"/>
        <v/>
      </c>
      <c r="F143" s="130" t="str">
        <f t="shared" si="221"/>
        <v/>
      </c>
      <c r="G143" s="130" t="str">
        <f t="shared" si="222"/>
        <v/>
      </c>
      <c r="H143" s="130" t="str">
        <f t="shared" si="223"/>
        <v/>
      </c>
      <c r="I143" s="131" t="str">
        <f t="shared" si="224"/>
        <v/>
      </c>
      <c r="J143" s="132" t="str">
        <f t="shared" si="225"/>
        <v/>
      </c>
      <c r="K143" s="121" t="str">
        <f t="shared" si="226"/>
        <v/>
      </c>
      <c r="L143" s="129" t="str">
        <f t="shared" si="227"/>
        <v/>
      </c>
      <c r="M143" s="7" t="str">
        <f t="shared" si="228"/>
        <v/>
      </c>
      <c r="N143" s="133"/>
      <c r="O143" s="8"/>
      <c r="P143" s="5" t="str">
        <f t="shared" si="229"/>
        <v/>
      </c>
      <c r="Q143" s="121" t="str">
        <f t="shared" si="230"/>
        <v/>
      </c>
      <c r="R143" s="121" t="str">
        <f t="shared" si="231"/>
        <v/>
      </c>
      <c r="S143" s="7" t="str">
        <f t="shared" si="232"/>
        <v/>
      </c>
      <c r="T143" s="5"/>
      <c r="U143" s="5" t="str">
        <f t="shared" si="233"/>
        <v/>
      </c>
      <c r="V143" s="121" t="str">
        <f t="shared" si="234"/>
        <v/>
      </c>
      <c r="W143" s="121" t="str">
        <f t="shared" si="235"/>
        <v/>
      </c>
      <c r="X143" s="7" t="str">
        <f t="shared" si="236"/>
        <v/>
      </c>
      <c r="Y143" s="136"/>
      <c r="Z143" s="5" t="str">
        <f t="shared" si="237"/>
        <v/>
      </c>
      <c r="AA143" s="137" t="s">
        <v>183</v>
      </c>
      <c r="AB143" s="7" t="str">
        <f t="shared" si="238"/>
        <v/>
      </c>
      <c r="AC143" s="9"/>
      <c r="AD143" s="4"/>
      <c r="AE143" s="138" t="str">
        <f t="shared" si="239"/>
        <v/>
      </c>
      <c r="AF143" s="139" t="str">
        <f t="shared" si="240"/>
        <v/>
      </c>
      <c r="AG143" s="139" t="str">
        <f t="shared" si="241"/>
        <v/>
      </c>
      <c r="AH143" s="139" t="str">
        <f t="shared" si="242"/>
        <v/>
      </c>
      <c r="AI143" s="139" t="str">
        <f t="shared" si="243"/>
        <v/>
      </c>
      <c r="AJ143" s="140" t="str">
        <f t="shared" si="244"/>
        <v/>
      </c>
      <c r="AK143" s="8"/>
      <c r="AL143" s="8" t="str">
        <f>IF(AM143="","",IF(各種設定金額!$B$7="","○○県",各種設定金額!$B$7))</f>
        <v/>
      </c>
      <c r="AM143" s="4"/>
      <c r="AN143" s="4"/>
      <c r="AO143" s="141" t="str">
        <f t="shared" si="245"/>
        <v/>
      </c>
      <c r="AP143" s="10"/>
      <c r="AQ143" s="129"/>
      <c r="AR143" s="142" t="s">
        <v>182</v>
      </c>
      <c r="AS143" s="131" t="str">
        <f t="shared" si="246"/>
        <v/>
      </c>
      <c r="AT143" s="132" t="str">
        <f t="shared" si="247"/>
        <v/>
      </c>
      <c r="AU143" s="132" t="str">
        <f t="shared" si="248"/>
        <v/>
      </c>
      <c r="AV143" s="132" t="str">
        <f t="shared" si="249"/>
        <v/>
      </c>
      <c r="AW143" s="132" t="str">
        <f t="shared" si="250"/>
        <v/>
      </c>
      <c r="AX143" s="143" t="str">
        <f t="shared" si="251"/>
        <v/>
      </c>
      <c r="AY143" s="144"/>
      <c r="AZ143" s="8" t="str">
        <f>IF(BA143="","",IF(各種設定金額!$B$7="","○○県",各種設定金額!$B$7))</f>
        <v/>
      </c>
      <c r="BA143" s="6"/>
      <c r="BB143" s="4"/>
      <c r="BC143" s="141" t="str">
        <f t="shared" si="252"/>
        <v/>
      </c>
      <c r="BD143" s="10"/>
      <c r="BE143" s="129"/>
      <c r="BF143" s="145" t="s">
        <v>63</v>
      </c>
      <c r="BG143" s="131" t="str">
        <f t="shared" si="253"/>
        <v/>
      </c>
      <c r="BH143" s="132" t="str">
        <f t="shared" si="254"/>
        <v/>
      </c>
      <c r="BI143" s="132" t="str">
        <f t="shared" si="255"/>
        <v/>
      </c>
      <c r="BJ143" s="132" t="str">
        <f t="shared" si="256"/>
        <v/>
      </c>
      <c r="BK143" s="132" t="str">
        <f t="shared" si="257"/>
        <v/>
      </c>
      <c r="BL143" s="132" t="str">
        <f t="shared" si="258"/>
        <v/>
      </c>
      <c r="BM143" s="146"/>
      <c r="BN143" s="8" t="str">
        <f>IF(BO143="","",IF(各種設定金額!$B$7="","○○県",各種設定金額!$B$7))</f>
        <v/>
      </c>
      <c r="BO143" s="6"/>
      <c r="BP143" s="4"/>
      <c r="BQ143" s="141" t="str">
        <f t="shared" si="259"/>
        <v/>
      </c>
      <c r="BR143" s="10"/>
      <c r="BS143" s="129"/>
      <c r="BT143" s="145" t="s">
        <v>63</v>
      </c>
      <c r="BU143" s="131" t="str">
        <f t="shared" si="260"/>
        <v/>
      </c>
      <c r="BV143" s="132" t="str">
        <f t="shared" si="261"/>
        <v/>
      </c>
      <c r="BW143" s="132" t="str">
        <f t="shared" si="262"/>
        <v/>
      </c>
      <c r="BX143" s="132" t="str">
        <f t="shared" si="263"/>
        <v/>
      </c>
      <c r="BY143" s="132" t="str">
        <f t="shared" si="264"/>
        <v/>
      </c>
      <c r="BZ143" s="132" t="str">
        <f t="shared" si="265"/>
        <v/>
      </c>
      <c r="CA143" s="146"/>
      <c r="CB143" s="10" t="str">
        <f t="shared" si="266"/>
        <v/>
      </c>
      <c r="CC143" s="7" t="str">
        <f t="shared" si="267"/>
        <v/>
      </c>
      <c r="CD143" s="147"/>
      <c r="CE143" s="147"/>
      <c r="CF143" s="6"/>
      <c r="CG143" s="4"/>
      <c r="CH143" s="148">
        <f t="shared" ca="1" si="268"/>
        <v>2026</v>
      </c>
      <c r="CI143" s="121" t="str">
        <f t="shared" ca="1" si="269"/>
        <v>令和</v>
      </c>
      <c r="CJ143" s="122" t="str">
        <f t="shared" ca="1" si="270"/>
        <v>R</v>
      </c>
      <c r="CK143" s="122" t="str">
        <f t="shared" ca="1" si="271"/>
        <v>8</v>
      </c>
      <c r="CL143" s="122">
        <f t="shared" ca="1" si="272"/>
        <v>10</v>
      </c>
      <c r="CM143" s="149">
        <f t="shared" ca="1" si="273"/>
        <v>24</v>
      </c>
      <c r="CN143" s="1"/>
      <c r="CO143" s="150">
        <f t="shared" ca="1" si="274"/>
        <v>46319</v>
      </c>
    </row>
    <row r="144" spans="1:93" ht="20.100000000000001" customHeight="1" x14ac:dyDescent="0.15">
      <c r="A144" s="7" t="str">
        <f>IF(B144="","",ROW()-ROW(会員表[#Headers]))</f>
        <v/>
      </c>
      <c r="B144" s="4" ph="1"/>
      <c r="C144" s="4" t="str" cm="1">
        <f t="array" ref="C144">_xlfn.LET(_xlpm.s,PHONETIC(B144),_xlpm.c,_xlfn.UNICODE(MID(_xlpm.s,_xlfn.SEQUENCE(LEN(_xlpm.s)),1)),IF(_xlpm.s="","",_xlfn.CONCAT(_xlfn.UNICHAR(_xlpm.c-96*(_xlpm.c&gt;=12449)*(_xlpm.c&lt;=12534)))))</f>
        <v/>
      </c>
      <c r="D144" s="4" t="str" cm="1">
        <f t="array" ref="D144">_xlfn.LET(_xlpm.s,PHONETIC(B144),_xlpm.c,_xlfn.UNICODE(MID(_xlpm.s,_xlfn.SEQUENCE(LEN(_xlpm.s)),1)),IF(_xlpm.s="","",_xlfn.CONCAT(_xlfn.UNICHAR(_xlpm.c+96*(_xlpm.c&gt;=12353)*(_xlpm.c&lt;=12438)))))</f>
        <v/>
      </c>
      <c r="E144" s="129" t="str">
        <f t="shared" ca="1" si="220"/>
        <v/>
      </c>
      <c r="F144" s="130" t="str">
        <f t="shared" si="221"/>
        <v/>
      </c>
      <c r="G144" s="130" t="str">
        <f t="shared" si="222"/>
        <v/>
      </c>
      <c r="H144" s="130" t="str">
        <f t="shared" si="223"/>
        <v/>
      </c>
      <c r="I144" s="131" t="str">
        <f t="shared" si="224"/>
        <v/>
      </c>
      <c r="J144" s="132" t="str">
        <f t="shared" si="225"/>
        <v/>
      </c>
      <c r="K144" s="121" t="str">
        <f t="shared" si="226"/>
        <v/>
      </c>
      <c r="L144" s="129" t="str">
        <f t="shared" si="227"/>
        <v/>
      </c>
      <c r="M144" s="7" t="str">
        <f t="shared" si="228"/>
        <v/>
      </c>
      <c r="N144" s="133"/>
      <c r="O144" s="8"/>
      <c r="P144" s="5" t="str">
        <f t="shared" si="229"/>
        <v/>
      </c>
      <c r="Q144" s="121" t="str">
        <f t="shared" si="230"/>
        <v/>
      </c>
      <c r="R144" s="121" t="str">
        <f t="shared" si="231"/>
        <v/>
      </c>
      <c r="S144" s="7" t="str">
        <f t="shared" si="232"/>
        <v/>
      </c>
      <c r="T144" s="5"/>
      <c r="U144" s="5" t="str">
        <f t="shared" si="233"/>
        <v/>
      </c>
      <c r="V144" s="121" t="str">
        <f t="shared" si="234"/>
        <v/>
      </c>
      <c r="W144" s="121" t="str">
        <f t="shared" si="235"/>
        <v/>
      </c>
      <c r="X144" s="7" t="str">
        <f t="shared" si="236"/>
        <v/>
      </c>
      <c r="Y144" s="136"/>
      <c r="Z144" s="5" t="str">
        <f t="shared" si="237"/>
        <v/>
      </c>
      <c r="AA144" s="137" t="s">
        <v>183</v>
      </c>
      <c r="AB144" s="7" t="str">
        <f t="shared" si="238"/>
        <v/>
      </c>
      <c r="AC144" s="9"/>
      <c r="AD144" s="4"/>
      <c r="AE144" s="138" t="str">
        <f t="shared" si="239"/>
        <v/>
      </c>
      <c r="AF144" s="139" t="str">
        <f t="shared" si="240"/>
        <v/>
      </c>
      <c r="AG144" s="139" t="str">
        <f t="shared" si="241"/>
        <v/>
      </c>
      <c r="AH144" s="139" t="str">
        <f t="shared" si="242"/>
        <v/>
      </c>
      <c r="AI144" s="139" t="str">
        <f t="shared" si="243"/>
        <v/>
      </c>
      <c r="AJ144" s="140" t="str">
        <f t="shared" si="244"/>
        <v/>
      </c>
      <c r="AK144" s="8"/>
      <c r="AL144" s="8" t="str">
        <f>IF(AM144="","",IF(各種設定金額!$B$7="","○○県",各種設定金額!$B$7))</f>
        <v/>
      </c>
      <c r="AM144" s="4"/>
      <c r="AN144" s="4"/>
      <c r="AO144" s="141" t="str">
        <f t="shared" si="245"/>
        <v/>
      </c>
      <c r="AP144" s="10"/>
      <c r="AQ144" s="129"/>
      <c r="AR144" s="142" t="s">
        <v>182</v>
      </c>
      <c r="AS144" s="131" t="str">
        <f t="shared" si="246"/>
        <v/>
      </c>
      <c r="AT144" s="132" t="str">
        <f t="shared" si="247"/>
        <v/>
      </c>
      <c r="AU144" s="132" t="str">
        <f t="shared" si="248"/>
        <v/>
      </c>
      <c r="AV144" s="132" t="str">
        <f t="shared" si="249"/>
        <v/>
      </c>
      <c r="AW144" s="132" t="str">
        <f t="shared" si="250"/>
        <v/>
      </c>
      <c r="AX144" s="143" t="str">
        <f t="shared" si="251"/>
        <v/>
      </c>
      <c r="AY144" s="144"/>
      <c r="AZ144" s="8" t="str">
        <f>IF(BA144="","",IF(各種設定金額!$B$7="","○○県",各種設定金額!$B$7))</f>
        <v/>
      </c>
      <c r="BA144" s="6"/>
      <c r="BB144" s="4"/>
      <c r="BC144" s="141" t="str">
        <f t="shared" si="252"/>
        <v/>
      </c>
      <c r="BD144" s="10"/>
      <c r="BE144" s="129"/>
      <c r="BF144" s="145" t="s">
        <v>63</v>
      </c>
      <c r="BG144" s="131" t="str">
        <f t="shared" si="253"/>
        <v/>
      </c>
      <c r="BH144" s="132" t="str">
        <f t="shared" si="254"/>
        <v/>
      </c>
      <c r="BI144" s="132" t="str">
        <f t="shared" si="255"/>
        <v/>
      </c>
      <c r="BJ144" s="132" t="str">
        <f t="shared" si="256"/>
        <v/>
      </c>
      <c r="BK144" s="132" t="str">
        <f t="shared" si="257"/>
        <v/>
      </c>
      <c r="BL144" s="132" t="str">
        <f t="shared" si="258"/>
        <v/>
      </c>
      <c r="BM144" s="146"/>
      <c r="BN144" s="8" t="str">
        <f>IF(BO144="","",IF(各種設定金額!$B$7="","○○県",各種設定金額!$B$7))</f>
        <v/>
      </c>
      <c r="BO144" s="6"/>
      <c r="BP144" s="4"/>
      <c r="BQ144" s="141" t="str">
        <f t="shared" si="259"/>
        <v/>
      </c>
      <c r="BR144" s="10"/>
      <c r="BS144" s="129"/>
      <c r="BT144" s="145" t="s">
        <v>63</v>
      </c>
      <c r="BU144" s="131" t="str">
        <f t="shared" si="260"/>
        <v/>
      </c>
      <c r="BV144" s="132" t="str">
        <f t="shared" si="261"/>
        <v/>
      </c>
      <c r="BW144" s="132" t="str">
        <f t="shared" si="262"/>
        <v/>
      </c>
      <c r="BX144" s="132" t="str">
        <f t="shared" si="263"/>
        <v/>
      </c>
      <c r="BY144" s="132" t="str">
        <f t="shared" si="264"/>
        <v/>
      </c>
      <c r="BZ144" s="132" t="str">
        <f t="shared" si="265"/>
        <v/>
      </c>
      <c r="CA144" s="146"/>
      <c r="CB144" s="10" t="str">
        <f t="shared" si="266"/>
        <v/>
      </c>
      <c r="CC144" s="7" t="str">
        <f t="shared" si="267"/>
        <v/>
      </c>
      <c r="CD144" s="147"/>
      <c r="CE144" s="147"/>
      <c r="CF144" s="6"/>
      <c r="CG144" s="4"/>
      <c r="CH144" s="148">
        <f t="shared" ca="1" si="268"/>
        <v>2026</v>
      </c>
      <c r="CI144" s="121" t="str">
        <f t="shared" ca="1" si="269"/>
        <v>令和</v>
      </c>
      <c r="CJ144" s="122" t="str">
        <f t="shared" ca="1" si="270"/>
        <v>R</v>
      </c>
      <c r="CK144" s="122" t="str">
        <f t="shared" ca="1" si="271"/>
        <v>8</v>
      </c>
      <c r="CL144" s="122">
        <f t="shared" ca="1" si="272"/>
        <v>10</v>
      </c>
      <c r="CM144" s="149">
        <f t="shared" ca="1" si="273"/>
        <v>24</v>
      </c>
      <c r="CN144" s="1"/>
      <c r="CO144" s="150">
        <f t="shared" ca="1" si="274"/>
        <v>46319</v>
      </c>
    </row>
    <row r="145" spans="1:93" ht="20.100000000000001" customHeight="1" x14ac:dyDescent="0.15">
      <c r="A145" s="7" t="str">
        <f>IF(B145="","",ROW()-ROW(会員表[#Headers]))</f>
        <v/>
      </c>
      <c r="B145" s="4" ph="1"/>
      <c r="C145" s="4" t="str" cm="1">
        <f t="array" ref="C145">_xlfn.LET(_xlpm.s,PHONETIC(B145),_xlpm.c,_xlfn.UNICODE(MID(_xlpm.s,_xlfn.SEQUENCE(LEN(_xlpm.s)),1)),IF(_xlpm.s="","",_xlfn.CONCAT(_xlfn.UNICHAR(_xlpm.c-96*(_xlpm.c&gt;=12449)*(_xlpm.c&lt;=12534)))))</f>
        <v/>
      </c>
      <c r="D145" s="4" t="str" cm="1">
        <f t="array" ref="D145">_xlfn.LET(_xlpm.s,PHONETIC(B145),_xlpm.c,_xlfn.UNICODE(MID(_xlpm.s,_xlfn.SEQUENCE(LEN(_xlpm.s)),1)),IF(_xlpm.s="","",_xlfn.CONCAT(_xlfn.UNICHAR(_xlpm.c+96*(_xlpm.c&gt;=12353)*(_xlpm.c&lt;=12438)))))</f>
        <v/>
      </c>
      <c r="E145" s="129" t="str">
        <f t="shared" ca="1" si="220"/>
        <v/>
      </c>
      <c r="F145" s="130" t="str">
        <f t="shared" si="221"/>
        <v/>
      </c>
      <c r="G145" s="130" t="str">
        <f t="shared" si="222"/>
        <v/>
      </c>
      <c r="H145" s="130" t="str">
        <f t="shared" si="223"/>
        <v/>
      </c>
      <c r="I145" s="131" t="str">
        <f t="shared" si="224"/>
        <v/>
      </c>
      <c r="J145" s="132" t="str">
        <f t="shared" si="225"/>
        <v/>
      </c>
      <c r="K145" s="121" t="str">
        <f t="shared" si="226"/>
        <v/>
      </c>
      <c r="L145" s="129" t="str">
        <f t="shared" si="227"/>
        <v/>
      </c>
      <c r="M145" s="7" t="str">
        <f t="shared" si="228"/>
        <v/>
      </c>
      <c r="N145" s="133"/>
      <c r="O145" s="8"/>
      <c r="P145" s="5" t="str">
        <f t="shared" si="229"/>
        <v/>
      </c>
      <c r="Q145" s="121" t="str">
        <f t="shared" si="230"/>
        <v/>
      </c>
      <c r="R145" s="121" t="str">
        <f t="shared" si="231"/>
        <v/>
      </c>
      <c r="S145" s="7" t="str">
        <f t="shared" si="232"/>
        <v/>
      </c>
      <c r="T145" s="5"/>
      <c r="U145" s="5" t="str">
        <f t="shared" si="233"/>
        <v/>
      </c>
      <c r="V145" s="121" t="str">
        <f t="shared" si="234"/>
        <v/>
      </c>
      <c r="W145" s="121" t="str">
        <f t="shared" si="235"/>
        <v/>
      </c>
      <c r="X145" s="7" t="str">
        <f t="shared" si="236"/>
        <v/>
      </c>
      <c r="Y145" s="136"/>
      <c r="Z145" s="5" t="str">
        <f t="shared" si="237"/>
        <v/>
      </c>
      <c r="AA145" s="137" t="s">
        <v>183</v>
      </c>
      <c r="AB145" s="7" t="str">
        <f t="shared" si="238"/>
        <v/>
      </c>
      <c r="AC145" s="9"/>
      <c r="AD145" s="4"/>
      <c r="AE145" s="138" t="str">
        <f t="shared" si="239"/>
        <v/>
      </c>
      <c r="AF145" s="139" t="str">
        <f t="shared" si="240"/>
        <v/>
      </c>
      <c r="AG145" s="139" t="str">
        <f t="shared" si="241"/>
        <v/>
      </c>
      <c r="AH145" s="139" t="str">
        <f t="shared" si="242"/>
        <v/>
      </c>
      <c r="AI145" s="139" t="str">
        <f t="shared" si="243"/>
        <v/>
      </c>
      <c r="AJ145" s="140" t="str">
        <f t="shared" si="244"/>
        <v/>
      </c>
      <c r="AK145" s="8"/>
      <c r="AL145" s="8" t="str">
        <f>IF(AM145="","",IF(各種設定金額!$B$7="","○○県",各種設定金額!$B$7))</f>
        <v/>
      </c>
      <c r="AM145" s="4"/>
      <c r="AN145" s="4"/>
      <c r="AO145" s="141" t="str">
        <f t="shared" si="245"/>
        <v/>
      </c>
      <c r="AP145" s="10"/>
      <c r="AQ145" s="129"/>
      <c r="AR145" s="142" t="s">
        <v>182</v>
      </c>
      <c r="AS145" s="131" t="str">
        <f t="shared" si="246"/>
        <v/>
      </c>
      <c r="AT145" s="132" t="str">
        <f t="shared" si="247"/>
        <v/>
      </c>
      <c r="AU145" s="132" t="str">
        <f t="shared" si="248"/>
        <v/>
      </c>
      <c r="AV145" s="132" t="str">
        <f t="shared" si="249"/>
        <v/>
      </c>
      <c r="AW145" s="132" t="str">
        <f t="shared" si="250"/>
        <v/>
      </c>
      <c r="AX145" s="143" t="str">
        <f t="shared" si="251"/>
        <v/>
      </c>
      <c r="AY145" s="144"/>
      <c r="AZ145" s="8" t="str">
        <f>IF(BA145="","",IF(各種設定金額!$B$7="","○○県",各種設定金額!$B$7))</f>
        <v/>
      </c>
      <c r="BA145" s="6"/>
      <c r="BB145" s="4"/>
      <c r="BC145" s="141" t="str">
        <f t="shared" si="252"/>
        <v/>
      </c>
      <c r="BD145" s="10"/>
      <c r="BE145" s="129"/>
      <c r="BF145" s="145" t="s">
        <v>63</v>
      </c>
      <c r="BG145" s="131" t="str">
        <f t="shared" si="253"/>
        <v/>
      </c>
      <c r="BH145" s="132" t="str">
        <f t="shared" si="254"/>
        <v/>
      </c>
      <c r="BI145" s="132" t="str">
        <f t="shared" si="255"/>
        <v/>
      </c>
      <c r="BJ145" s="132" t="str">
        <f t="shared" si="256"/>
        <v/>
      </c>
      <c r="BK145" s="132" t="str">
        <f t="shared" si="257"/>
        <v/>
      </c>
      <c r="BL145" s="132" t="str">
        <f t="shared" si="258"/>
        <v/>
      </c>
      <c r="BM145" s="146"/>
      <c r="BN145" s="8" t="str">
        <f>IF(BO145="","",IF(各種設定金額!$B$7="","○○県",各種設定金額!$B$7))</f>
        <v/>
      </c>
      <c r="BO145" s="6"/>
      <c r="BP145" s="4"/>
      <c r="BQ145" s="141" t="str">
        <f t="shared" si="259"/>
        <v/>
      </c>
      <c r="BR145" s="10"/>
      <c r="BS145" s="129"/>
      <c r="BT145" s="145" t="s">
        <v>63</v>
      </c>
      <c r="BU145" s="131" t="str">
        <f t="shared" si="260"/>
        <v/>
      </c>
      <c r="BV145" s="132" t="str">
        <f t="shared" si="261"/>
        <v/>
      </c>
      <c r="BW145" s="132" t="str">
        <f t="shared" si="262"/>
        <v/>
      </c>
      <c r="BX145" s="132" t="str">
        <f t="shared" si="263"/>
        <v/>
      </c>
      <c r="BY145" s="132" t="str">
        <f t="shared" si="264"/>
        <v/>
      </c>
      <c r="BZ145" s="132" t="str">
        <f t="shared" si="265"/>
        <v/>
      </c>
      <c r="CA145" s="146"/>
      <c r="CB145" s="10" t="str">
        <f t="shared" si="266"/>
        <v/>
      </c>
      <c r="CC145" s="7" t="str">
        <f t="shared" si="267"/>
        <v/>
      </c>
      <c r="CD145" s="147"/>
      <c r="CE145" s="147"/>
      <c r="CF145" s="6"/>
      <c r="CG145" s="4"/>
      <c r="CH145" s="148">
        <f t="shared" ca="1" si="268"/>
        <v>2026</v>
      </c>
      <c r="CI145" s="121" t="str">
        <f t="shared" ca="1" si="269"/>
        <v>令和</v>
      </c>
      <c r="CJ145" s="122" t="str">
        <f t="shared" ca="1" si="270"/>
        <v>R</v>
      </c>
      <c r="CK145" s="122" t="str">
        <f t="shared" ca="1" si="271"/>
        <v>8</v>
      </c>
      <c r="CL145" s="122">
        <f t="shared" ca="1" si="272"/>
        <v>10</v>
      </c>
      <c r="CM145" s="149">
        <f t="shared" ca="1" si="273"/>
        <v>24</v>
      </c>
      <c r="CN145" s="1"/>
      <c r="CO145" s="150">
        <f t="shared" ca="1" si="274"/>
        <v>46319</v>
      </c>
    </row>
    <row r="146" spans="1:93" ht="20.100000000000001" customHeight="1" x14ac:dyDescent="0.15">
      <c r="A146" s="7" t="str">
        <f>IF(B146="","",ROW()-ROW(会員表[#Headers]))</f>
        <v/>
      </c>
      <c r="B146" s="4" ph="1"/>
      <c r="C146" s="4" t="str" cm="1">
        <f t="array" ref="C146">_xlfn.LET(_xlpm.s,PHONETIC(B146),_xlpm.c,_xlfn.UNICODE(MID(_xlpm.s,_xlfn.SEQUENCE(LEN(_xlpm.s)),1)),IF(_xlpm.s="","",_xlfn.CONCAT(_xlfn.UNICHAR(_xlpm.c-96*(_xlpm.c&gt;=12449)*(_xlpm.c&lt;=12534)))))</f>
        <v/>
      </c>
      <c r="D146" s="4" t="str" cm="1">
        <f t="array" ref="D146">_xlfn.LET(_xlpm.s,PHONETIC(B146),_xlpm.c,_xlfn.UNICODE(MID(_xlpm.s,_xlfn.SEQUENCE(LEN(_xlpm.s)),1)),IF(_xlpm.s="","",_xlfn.CONCAT(_xlfn.UNICHAR(_xlpm.c+96*(_xlpm.c&gt;=12353)*(_xlpm.c&lt;=12438)))))</f>
        <v/>
      </c>
      <c r="E146" s="129" t="str">
        <f t="shared" ca="1" si="220"/>
        <v/>
      </c>
      <c r="F146" s="130" t="str">
        <f t="shared" si="221"/>
        <v/>
      </c>
      <c r="G146" s="130" t="str">
        <f t="shared" si="222"/>
        <v/>
      </c>
      <c r="H146" s="130" t="str">
        <f t="shared" si="223"/>
        <v/>
      </c>
      <c r="I146" s="131" t="str">
        <f t="shared" si="224"/>
        <v/>
      </c>
      <c r="J146" s="132" t="str">
        <f t="shared" si="225"/>
        <v/>
      </c>
      <c r="K146" s="121" t="str">
        <f t="shared" si="226"/>
        <v/>
      </c>
      <c r="L146" s="129" t="str">
        <f t="shared" si="227"/>
        <v/>
      </c>
      <c r="M146" s="7" t="str">
        <f t="shared" si="228"/>
        <v/>
      </c>
      <c r="N146" s="133"/>
      <c r="O146" s="8"/>
      <c r="P146" s="5" t="str">
        <f t="shared" si="229"/>
        <v/>
      </c>
      <c r="Q146" s="121" t="str">
        <f t="shared" si="230"/>
        <v/>
      </c>
      <c r="R146" s="121" t="str">
        <f t="shared" si="231"/>
        <v/>
      </c>
      <c r="S146" s="7" t="str">
        <f t="shared" si="232"/>
        <v/>
      </c>
      <c r="T146" s="5"/>
      <c r="U146" s="5" t="str">
        <f t="shared" si="233"/>
        <v/>
      </c>
      <c r="V146" s="121" t="str">
        <f t="shared" si="234"/>
        <v/>
      </c>
      <c r="W146" s="121" t="str">
        <f t="shared" si="235"/>
        <v/>
      </c>
      <c r="X146" s="7" t="str">
        <f t="shared" si="236"/>
        <v/>
      </c>
      <c r="Y146" s="136"/>
      <c r="Z146" s="5" t="str">
        <f t="shared" si="237"/>
        <v/>
      </c>
      <c r="AA146" s="137" t="s">
        <v>183</v>
      </c>
      <c r="AB146" s="7" t="str">
        <f t="shared" si="238"/>
        <v/>
      </c>
      <c r="AC146" s="9"/>
      <c r="AD146" s="4"/>
      <c r="AE146" s="138" t="str">
        <f t="shared" si="239"/>
        <v/>
      </c>
      <c r="AF146" s="139" t="str">
        <f t="shared" si="240"/>
        <v/>
      </c>
      <c r="AG146" s="139" t="str">
        <f t="shared" si="241"/>
        <v/>
      </c>
      <c r="AH146" s="139" t="str">
        <f t="shared" si="242"/>
        <v/>
      </c>
      <c r="AI146" s="139" t="str">
        <f t="shared" si="243"/>
        <v/>
      </c>
      <c r="AJ146" s="140" t="str">
        <f t="shared" si="244"/>
        <v/>
      </c>
      <c r="AK146" s="8"/>
      <c r="AL146" s="8" t="str">
        <f>IF(AM146="","",IF(各種設定金額!$B$7="","○○県",各種設定金額!$B$7))</f>
        <v/>
      </c>
      <c r="AM146" s="4"/>
      <c r="AN146" s="4"/>
      <c r="AO146" s="141" t="str">
        <f t="shared" si="245"/>
        <v/>
      </c>
      <c r="AP146" s="10"/>
      <c r="AQ146" s="129"/>
      <c r="AR146" s="142" t="s">
        <v>182</v>
      </c>
      <c r="AS146" s="131" t="str">
        <f t="shared" si="246"/>
        <v/>
      </c>
      <c r="AT146" s="132" t="str">
        <f t="shared" si="247"/>
        <v/>
      </c>
      <c r="AU146" s="132" t="str">
        <f t="shared" si="248"/>
        <v/>
      </c>
      <c r="AV146" s="132" t="str">
        <f t="shared" si="249"/>
        <v/>
      </c>
      <c r="AW146" s="132" t="str">
        <f t="shared" si="250"/>
        <v/>
      </c>
      <c r="AX146" s="143" t="str">
        <f t="shared" si="251"/>
        <v/>
      </c>
      <c r="AY146" s="144"/>
      <c r="AZ146" s="8" t="str">
        <f>IF(BA146="","",IF(各種設定金額!$B$7="","○○県",各種設定金額!$B$7))</f>
        <v/>
      </c>
      <c r="BA146" s="6"/>
      <c r="BB146" s="4"/>
      <c r="BC146" s="141" t="str">
        <f t="shared" si="252"/>
        <v/>
      </c>
      <c r="BD146" s="10"/>
      <c r="BE146" s="129"/>
      <c r="BF146" s="145" t="s">
        <v>63</v>
      </c>
      <c r="BG146" s="131" t="str">
        <f t="shared" si="253"/>
        <v/>
      </c>
      <c r="BH146" s="132" t="str">
        <f t="shared" si="254"/>
        <v/>
      </c>
      <c r="BI146" s="132" t="str">
        <f t="shared" si="255"/>
        <v/>
      </c>
      <c r="BJ146" s="132" t="str">
        <f t="shared" si="256"/>
        <v/>
      </c>
      <c r="BK146" s="132" t="str">
        <f t="shared" si="257"/>
        <v/>
      </c>
      <c r="BL146" s="132" t="str">
        <f t="shared" si="258"/>
        <v/>
      </c>
      <c r="BM146" s="146"/>
      <c r="BN146" s="8" t="str">
        <f>IF(BO146="","",IF(各種設定金額!$B$7="","○○県",各種設定金額!$B$7))</f>
        <v/>
      </c>
      <c r="BO146" s="6"/>
      <c r="BP146" s="4"/>
      <c r="BQ146" s="141" t="str">
        <f t="shared" si="259"/>
        <v/>
      </c>
      <c r="BR146" s="10"/>
      <c r="BS146" s="129"/>
      <c r="BT146" s="145" t="s">
        <v>63</v>
      </c>
      <c r="BU146" s="131" t="str">
        <f t="shared" si="260"/>
        <v/>
      </c>
      <c r="BV146" s="132" t="str">
        <f t="shared" si="261"/>
        <v/>
      </c>
      <c r="BW146" s="132" t="str">
        <f t="shared" si="262"/>
        <v/>
      </c>
      <c r="BX146" s="132" t="str">
        <f t="shared" si="263"/>
        <v/>
      </c>
      <c r="BY146" s="132" t="str">
        <f t="shared" si="264"/>
        <v/>
      </c>
      <c r="BZ146" s="132" t="str">
        <f t="shared" si="265"/>
        <v/>
      </c>
      <c r="CA146" s="146"/>
      <c r="CB146" s="10" t="str">
        <f t="shared" si="266"/>
        <v/>
      </c>
      <c r="CC146" s="7" t="str">
        <f t="shared" si="267"/>
        <v/>
      </c>
      <c r="CD146" s="147"/>
      <c r="CE146" s="147"/>
      <c r="CF146" s="6"/>
      <c r="CG146" s="4"/>
      <c r="CH146" s="148">
        <f t="shared" ca="1" si="268"/>
        <v>2026</v>
      </c>
      <c r="CI146" s="121" t="str">
        <f t="shared" ca="1" si="269"/>
        <v>令和</v>
      </c>
      <c r="CJ146" s="122" t="str">
        <f t="shared" ca="1" si="270"/>
        <v>R</v>
      </c>
      <c r="CK146" s="122" t="str">
        <f t="shared" ca="1" si="271"/>
        <v>8</v>
      </c>
      <c r="CL146" s="122">
        <f t="shared" ca="1" si="272"/>
        <v>10</v>
      </c>
      <c r="CM146" s="149">
        <f t="shared" ca="1" si="273"/>
        <v>24</v>
      </c>
      <c r="CN146" s="1"/>
      <c r="CO146" s="150">
        <f t="shared" ca="1" si="274"/>
        <v>46319</v>
      </c>
    </row>
    <row r="147" spans="1:93" ht="20.100000000000001" customHeight="1" x14ac:dyDescent="0.15">
      <c r="A147" s="7" t="str">
        <f>IF(B147="","",ROW()-ROW(会員表[#Headers]))</f>
        <v/>
      </c>
      <c r="B147" s="4" ph="1"/>
      <c r="C147" s="4" t="str" cm="1">
        <f t="array" ref="C147">_xlfn.LET(_xlpm.s,PHONETIC(B147),_xlpm.c,_xlfn.UNICODE(MID(_xlpm.s,_xlfn.SEQUENCE(LEN(_xlpm.s)),1)),IF(_xlpm.s="","",_xlfn.CONCAT(_xlfn.UNICHAR(_xlpm.c-96*(_xlpm.c&gt;=12449)*(_xlpm.c&lt;=12534)))))</f>
        <v/>
      </c>
      <c r="D147" s="4" t="str" cm="1">
        <f t="array" ref="D147">_xlfn.LET(_xlpm.s,PHONETIC(B147),_xlpm.c,_xlfn.UNICODE(MID(_xlpm.s,_xlfn.SEQUENCE(LEN(_xlpm.s)),1)),IF(_xlpm.s="","",_xlfn.CONCAT(_xlfn.UNICHAR(_xlpm.c+96*(_xlpm.c&gt;=12353)*(_xlpm.c&lt;=12438)))))</f>
        <v/>
      </c>
      <c r="E147" s="129" t="str">
        <f t="shared" ca="1" si="220"/>
        <v/>
      </c>
      <c r="F147" s="130" t="str">
        <f t="shared" si="221"/>
        <v/>
      </c>
      <c r="G147" s="130" t="str">
        <f t="shared" si="222"/>
        <v/>
      </c>
      <c r="H147" s="130" t="str">
        <f t="shared" si="223"/>
        <v/>
      </c>
      <c r="I147" s="131" t="str">
        <f t="shared" si="224"/>
        <v/>
      </c>
      <c r="J147" s="132" t="str">
        <f t="shared" si="225"/>
        <v/>
      </c>
      <c r="K147" s="121" t="str">
        <f t="shared" si="226"/>
        <v/>
      </c>
      <c r="L147" s="129" t="str">
        <f t="shared" si="227"/>
        <v/>
      </c>
      <c r="M147" s="7" t="str">
        <f t="shared" si="228"/>
        <v/>
      </c>
      <c r="N147" s="133"/>
      <c r="O147" s="8"/>
      <c r="P147" s="5" t="str">
        <f t="shared" si="229"/>
        <v/>
      </c>
      <c r="Q147" s="121" t="str">
        <f t="shared" si="230"/>
        <v/>
      </c>
      <c r="R147" s="121" t="str">
        <f t="shared" si="231"/>
        <v/>
      </c>
      <c r="S147" s="7" t="str">
        <f t="shared" si="232"/>
        <v/>
      </c>
      <c r="T147" s="5"/>
      <c r="U147" s="5" t="str">
        <f t="shared" si="233"/>
        <v/>
      </c>
      <c r="V147" s="121" t="str">
        <f t="shared" si="234"/>
        <v/>
      </c>
      <c r="W147" s="121" t="str">
        <f t="shared" si="235"/>
        <v/>
      </c>
      <c r="X147" s="7" t="str">
        <f t="shared" si="236"/>
        <v/>
      </c>
      <c r="Y147" s="136"/>
      <c r="Z147" s="5" t="str">
        <f t="shared" si="237"/>
        <v/>
      </c>
      <c r="AA147" s="137" t="s">
        <v>183</v>
      </c>
      <c r="AB147" s="7" t="str">
        <f t="shared" si="238"/>
        <v/>
      </c>
      <c r="AC147" s="9"/>
      <c r="AD147" s="4"/>
      <c r="AE147" s="138" t="str">
        <f t="shared" si="239"/>
        <v/>
      </c>
      <c r="AF147" s="139" t="str">
        <f t="shared" si="240"/>
        <v/>
      </c>
      <c r="AG147" s="139" t="str">
        <f t="shared" si="241"/>
        <v/>
      </c>
      <c r="AH147" s="139" t="str">
        <f t="shared" si="242"/>
        <v/>
      </c>
      <c r="AI147" s="139" t="str">
        <f t="shared" si="243"/>
        <v/>
      </c>
      <c r="AJ147" s="140" t="str">
        <f t="shared" si="244"/>
        <v/>
      </c>
      <c r="AK147" s="8"/>
      <c r="AL147" s="8" t="str">
        <f>IF(AM147="","",IF(各種設定金額!$B$7="","○○県",各種設定金額!$B$7))</f>
        <v/>
      </c>
      <c r="AM147" s="4"/>
      <c r="AN147" s="4"/>
      <c r="AO147" s="141" t="str">
        <f t="shared" si="245"/>
        <v/>
      </c>
      <c r="AP147" s="10"/>
      <c r="AQ147" s="129"/>
      <c r="AR147" s="142" t="s">
        <v>182</v>
      </c>
      <c r="AS147" s="131" t="str">
        <f t="shared" si="246"/>
        <v/>
      </c>
      <c r="AT147" s="132" t="str">
        <f t="shared" si="247"/>
        <v/>
      </c>
      <c r="AU147" s="132" t="str">
        <f t="shared" si="248"/>
        <v/>
      </c>
      <c r="AV147" s="132" t="str">
        <f t="shared" si="249"/>
        <v/>
      </c>
      <c r="AW147" s="132" t="str">
        <f t="shared" si="250"/>
        <v/>
      </c>
      <c r="AX147" s="143" t="str">
        <f t="shared" si="251"/>
        <v/>
      </c>
      <c r="AY147" s="144"/>
      <c r="AZ147" s="8" t="str">
        <f>IF(BA147="","",IF(各種設定金額!$B$7="","○○県",各種設定金額!$B$7))</f>
        <v/>
      </c>
      <c r="BA147" s="6"/>
      <c r="BB147" s="4"/>
      <c r="BC147" s="141" t="str">
        <f t="shared" si="252"/>
        <v/>
      </c>
      <c r="BD147" s="10"/>
      <c r="BE147" s="129"/>
      <c r="BF147" s="145" t="s">
        <v>63</v>
      </c>
      <c r="BG147" s="131" t="str">
        <f t="shared" si="253"/>
        <v/>
      </c>
      <c r="BH147" s="132" t="str">
        <f t="shared" si="254"/>
        <v/>
      </c>
      <c r="BI147" s="132" t="str">
        <f t="shared" si="255"/>
        <v/>
      </c>
      <c r="BJ147" s="132" t="str">
        <f t="shared" si="256"/>
        <v/>
      </c>
      <c r="BK147" s="132" t="str">
        <f t="shared" si="257"/>
        <v/>
      </c>
      <c r="BL147" s="132" t="str">
        <f t="shared" si="258"/>
        <v/>
      </c>
      <c r="BM147" s="146"/>
      <c r="BN147" s="8" t="str">
        <f>IF(BO147="","",IF(各種設定金額!$B$7="","○○県",各種設定金額!$B$7))</f>
        <v/>
      </c>
      <c r="BO147" s="6"/>
      <c r="BP147" s="4"/>
      <c r="BQ147" s="141" t="str">
        <f t="shared" si="259"/>
        <v/>
      </c>
      <c r="BR147" s="10"/>
      <c r="BS147" s="129"/>
      <c r="BT147" s="145" t="s">
        <v>63</v>
      </c>
      <c r="BU147" s="131" t="str">
        <f t="shared" si="260"/>
        <v/>
      </c>
      <c r="BV147" s="132" t="str">
        <f t="shared" si="261"/>
        <v/>
      </c>
      <c r="BW147" s="132" t="str">
        <f t="shared" si="262"/>
        <v/>
      </c>
      <c r="BX147" s="132" t="str">
        <f t="shared" si="263"/>
        <v/>
      </c>
      <c r="BY147" s="132" t="str">
        <f t="shared" si="264"/>
        <v/>
      </c>
      <c r="BZ147" s="132" t="str">
        <f t="shared" si="265"/>
        <v/>
      </c>
      <c r="CA147" s="146"/>
      <c r="CB147" s="10" t="str">
        <f t="shared" si="266"/>
        <v/>
      </c>
      <c r="CC147" s="7" t="str">
        <f t="shared" si="267"/>
        <v/>
      </c>
      <c r="CD147" s="147"/>
      <c r="CE147" s="147"/>
      <c r="CF147" s="6"/>
      <c r="CG147" s="4"/>
      <c r="CH147" s="148">
        <f t="shared" ca="1" si="268"/>
        <v>2026</v>
      </c>
      <c r="CI147" s="121" t="str">
        <f t="shared" ca="1" si="269"/>
        <v>令和</v>
      </c>
      <c r="CJ147" s="122" t="str">
        <f t="shared" ca="1" si="270"/>
        <v>R</v>
      </c>
      <c r="CK147" s="122" t="str">
        <f t="shared" ca="1" si="271"/>
        <v>8</v>
      </c>
      <c r="CL147" s="122">
        <f t="shared" ca="1" si="272"/>
        <v>10</v>
      </c>
      <c r="CM147" s="149">
        <f t="shared" ca="1" si="273"/>
        <v>24</v>
      </c>
      <c r="CN147" s="1"/>
      <c r="CO147" s="150">
        <f t="shared" ca="1" si="274"/>
        <v>46319</v>
      </c>
    </row>
    <row r="148" spans="1:93" ht="20.100000000000001" customHeight="1" x14ac:dyDescent="0.15">
      <c r="A148" s="7" t="str">
        <f>IF(B148="","",ROW()-ROW(会員表[#Headers]))</f>
        <v/>
      </c>
      <c r="B148" s="4" ph="1"/>
      <c r="C148" s="4" t="str" cm="1">
        <f t="array" ref="C148">_xlfn.LET(_xlpm.s,PHONETIC(B148),_xlpm.c,_xlfn.UNICODE(MID(_xlpm.s,_xlfn.SEQUENCE(LEN(_xlpm.s)),1)),IF(_xlpm.s="","",_xlfn.CONCAT(_xlfn.UNICHAR(_xlpm.c-96*(_xlpm.c&gt;=12449)*(_xlpm.c&lt;=12534)))))</f>
        <v/>
      </c>
      <c r="D148" s="4" t="str" cm="1">
        <f t="array" ref="D148">_xlfn.LET(_xlpm.s,PHONETIC(B148),_xlpm.c,_xlfn.UNICODE(MID(_xlpm.s,_xlfn.SEQUENCE(LEN(_xlpm.s)),1)),IF(_xlpm.s="","",_xlfn.CONCAT(_xlfn.UNICHAR(_xlpm.c+96*(_xlpm.c&gt;=12353)*(_xlpm.c&lt;=12438)))))</f>
        <v/>
      </c>
      <c r="E148" s="129" t="str">
        <f t="shared" ca="1" si="220"/>
        <v/>
      </c>
      <c r="F148" s="130" t="str">
        <f t="shared" si="221"/>
        <v/>
      </c>
      <c r="G148" s="130" t="str">
        <f t="shared" si="222"/>
        <v/>
      </c>
      <c r="H148" s="130" t="str">
        <f t="shared" si="223"/>
        <v/>
      </c>
      <c r="I148" s="131" t="str">
        <f t="shared" si="224"/>
        <v/>
      </c>
      <c r="J148" s="132" t="str">
        <f t="shared" si="225"/>
        <v/>
      </c>
      <c r="K148" s="121" t="str">
        <f t="shared" si="226"/>
        <v/>
      </c>
      <c r="L148" s="129" t="str">
        <f t="shared" si="227"/>
        <v/>
      </c>
      <c r="M148" s="7" t="str">
        <f t="shared" si="228"/>
        <v/>
      </c>
      <c r="N148" s="133"/>
      <c r="O148" s="8"/>
      <c r="P148" s="5" t="str">
        <f t="shared" si="229"/>
        <v/>
      </c>
      <c r="Q148" s="121" t="str">
        <f t="shared" si="230"/>
        <v/>
      </c>
      <c r="R148" s="121" t="str">
        <f t="shared" si="231"/>
        <v/>
      </c>
      <c r="S148" s="7" t="str">
        <f t="shared" si="232"/>
        <v/>
      </c>
      <c r="T148" s="5"/>
      <c r="U148" s="5" t="str">
        <f t="shared" si="233"/>
        <v/>
      </c>
      <c r="V148" s="121" t="str">
        <f t="shared" si="234"/>
        <v/>
      </c>
      <c r="W148" s="121" t="str">
        <f t="shared" si="235"/>
        <v/>
      </c>
      <c r="X148" s="7" t="str">
        <f t="shared" si="236"/>
        <v/>
      </c>
      <c r="Y148" s="136"/>
      <c r="Z148" s="5" t="str">
        <f t="shared" si="237"/>
        <v/>
      </c>
      <c r="AA148" s="137" t="s">
        <v>183</v>
      </c>
      <c r="AB148" s="7" t="str">
        <f t="shared" si="238"/>
        <v/>
      </c>
      <c r="AC148" s="9"/>
      <c r="AD148" s="4"/>
      <c r="AE148" s="138" t="str">
        <f t="shared" si="239"/>
        <v/>
      </c>
      <c r="AF148" s="139" t="str">
        <f t="shared" si="240"/>
        <v/>
      </c>
      <c r="AG148" s="139" t="str">
        <f t="shared" si="241"/>
        <v/>
      </c>
      <c r="AH148" s="139" t="str">
        <f t="shared" si="242"/>
        <v/>
      </c>
      <c r="AI148" s="139" t="str">
        <f t="shared" si="243"/>
        <v/>
      </c>
      <c r="AJ148" s="140" t="str">
        <f t="shared" si="244"/>
        <v/>
      </c>
      <c r="AK148" s="8"/>
      <c r="AL148" s="8" t="str">
        <f>IF(AM148="","",IF(各種設定金額!$B$7="","○○県",各種設定金額!$B$7))</f>
        <v/>
      </c>
      <c r="AM148" s="4"/>
      <c r="AN148" s="4"/>
      <c r="AO148" s="141" t="str">
        <f t="shared" si="245"/>
        <v/>
      </c>
      <c r="AP148" s="10"/>
      <c r="AQ148" s="129"/>
      <c r="AR148" s="142" t="s">
        <v>182</v>
      </c>
      <c r="AS148" s="131" t="str">
        <f t="shared" si="246"/>
        <v/>
      </c>
      <c r="AT148" s="132" t="str">
        <f t="shared" si="247"/>
        <v/>
      </c>
      <c r="AU148" s="132" t="str">
        <f t="shared" si="248"/>
        <v/>
      </c>
      <c r="AV148" s="132" t="str">
        <f t="shared" si="249"/>
        <v/>
      </c>
      <c r="AW148" s="132" t="str">
        <f t="shared" si="250"/>
        <v/>
      </c>
      <c r="AX148" s="143" t="str">
        <f t="shared" si="251"/>
        <v/>
      </c>
      <c r="AY148" s="144"/>
      <c r="AZ148" s="8" t="str">
        <f>IF(BA148="","",IF(各種設定金額!$B$7="","○○県",各種設定金額!$B$7))</f>
        <v/>
      </c>
      <c r="BA148" s="6"/>
      <c r="BB148" s="4"/>
      <c r="BC148" s="141" t="str">
        <f t="shared" si="252"/>
        <v/>
      </c>
      <c r="BD148" s="10"/>
      <c r="BE148" s="129"/>
      <c r="BF148" s="145" t="s">
        <v>63</v>
      </c>
      <c r="BG148" s="131" t="str">
        <f t="shared" si="253"/>
        <v/>
      </c>
      <c r="BH148" s="132" t="str">
        <f t="shared" si="254"/>
        <v/>
      </c>
      <c r="BI148" s="132" t="str">
        <f t="shared" si="255"/>
        <v/>
      </c>
      <c r="BJ148" s="132" t="str">
        <f t="shared" si="256"/>
        <v/>
      </c>
      <c r="BK148" s="132" t="str">
        <f t="shared" si="257"/>
        <v/>
      </c>
      <c r="BL148" s="132" t="str">
        <f t="shared" si="258"/>
        <v/>
      </c>
      <c r="BM148" s="146"/>
      <c r="BN148" s="8" t="str">
        <f>IF(BO148="","",IF(各種設定金額!$B$7="","○○県",各種設定金額!$B$7))</f>
        <v/>
      </c>
      <c r="BO148" s="6"/>
      <c r="BP148" s="4"/>
      <c r="BQ148" s="141" t="str">
        <f t="shared" si="259"/>
        <v/>
      </c>
      <c r="BR148" s="10"/>
      <c r="BS148" s="129"/>
      <c r="BT148" s="145" t="s">
        <v>63</v>
      </c>
      <c r="BU148" s="131" t="str">
        <f t="shared" si="260"/>
        <v/>
      </c>
      <c r="BV148" s="132" t="str">
        <f t="shared" si="261"/>
        <v/>
      </c>
      <c r="BW148" s="132" t="str">
        <f t="shared" si="262"/>
        <v/>
      </c>
      <c r="BX148" s="132" t="str">
        <f t="shared" si="263"/>
        <v/>
      </c>
      <c r="BY148" s="132" t="str">
        <f t="shared" si="264"/>
        <v/>
      </c>
      <c r="BZ148" s="132" t="str">
        <f t="shared" si="265"/>
        <v/>
      </c>
      <c r="CA148" s="146"/>
      <c r="CB148" s="10" t="str">
        <f t="shared" si="266"/>
        <v/>
      </c>
      <c r="CC148" s="7" t="str">
        <f t="shared" si="267"/>
        <v/>
      </c>
      <c r="CD148" s="147"/>
      <c r="CE148" s="147"/>
      <c r="CF148" s="6"/>
      <c r="CG148" s="4"/>
      <c r="CH148" s="148">
        <f t="shared" ca="1" si="268"/>
        <v>2026</v>
      </c>
      <c r="CI148" s="121" t="str">
        <f t="shared" ca="1" si="269"/>
        <v>令和</v>
      </c>
      <c r="CJ148" s="122" t="str">
        <f t="shared" ca="1" si="270"/>
        <v>R</v>
      </c>
      <c r="CK148" s="122" t="str">
        <f t="shared" ca="1" si="271"/>
        <v>8</v>
      </c>
      <c r="CL148" s="122">
        <f t="shared" ca="1" si="272"/>
        <v>10</v>
      </c>
      <c r="CM148" s="149">
        <f t="shared" ca="1" si="273"/>
        <v>24</v>
      </c>
      <c r="CN148" s="1"/>
      <c r="CO148" s="150">
        <f t="shared" ca="1" si="274"/>
        <v>46319</v>
      </c>
    </row>
    <row r="149" spans="1:93" ht="20.100000000000001" customHeight="1" x14ac:dyDescent="0.15">
      <c r="A149" s="7" t="str">
        <f>IF(B149="","",ROW()-ROW(会員表[#Headers]))</f>
        <v/>
      </c>
      <c r="B149" s="4" ph="1"/>
      <c r="C149" s="4" t="str" cm="1">
        <f t="array" ref="C149">_xlfn.LET(_xlpm.s,PHONETIC(B149),_xlpm.c,_xlfn.UNICODE(MID(_xlpm.s,_xlfn.SEQUENCE(LEN(_xlpm.s)),1)),IF(_xlpm.s="","",_xlfn.CONCAT(_xlfn.UNICHAR(_xlpm.c-96*(_xlpm.c&gt;=12449)*(_xlpm.c&lt;=12534)))))</f>
        <v/>
      </c>
      <c r="D149" s="4" t="str" cm="1">
        <f t="array" ref="D149">_xlfn.LET(_xlpm.s,PHONETIC(B149),_xlpm.c,_xlfn.UNICODE(MID(_xlpm.s,_xlfn.SEQUENCE(LEN(_xlpm.s)),1)),IF(_xlpm.s="","",_xlfn.CONCAT(_xlfn.UNICHAR(_xlpm.c+96*(_xlpm.c&gt;=12353)*(_xlpm.c&lt;=12438)))))</f>
        <v/>
      </c>
      <c r="E149" s="129" t="str">
        <f t="shared" ca="1" si="220"/>
        <v/>
      </c>
      <c r="F149" s="130" t="str">
        <f t="shared" si="221"/>
        <v/>
      </c>
      <c r="G149" s="130" t="str">
        <f t="shared" si="222"/>
        <v/>
      </c>
      <c r="H149" s="130" t="str">
        <f t="shared" si="223"/>
        <v/>
      </c>
      <c r="I149" s="131" t="str">
        <f t="shared" si="224"/>
        <v/>
      </c>
      <c r="J149" s="132" t="str">
        <f t="shared" si="225"/>
        <v/>
      </c>
      <c r="K149" s="121" t="str">
        <f t="shared" si="226"/>
        <v/>
      </c>
      <c r="L149" s="129" t="str">
        <f t="shared" si="227"/>
        <v/>
      </c>
      <c r="M149" s="7" t="str">
        <f t="shared" si="228"/>
        <v/>
      </c>
      <c r="N149" s="133"/>
      <c r="O149" s="8"/>
      <c r="P149" s="5" t="str">
        <f t="shared" si="229"/>
        <v/>
      </c>
      <c r="Q149" s="121" t="str">
        <f t="shared" si="230"/>
        <v/>
      </c>
      <c r="R149" s="121" t="str">
        <f t="shared" si="231"/>
        <v/>
      </c>
      <c r="S149" s="7" t="str">
        <f t="shared" si="232"/>
        <v/>
      </c>
      <c r="T149" s="5"/>
      <c r="U149" s="5" t="str">
        <f t="shared" si="233"/>
        <v/>
      </c>
      <c r="V149" s="121" t="str">
        <f t="shared" si="234"/>
        <v/>
      </c>
      <c r="W149" s="121" t="str">
        <f t="shared" si="235"/>
        <v/>
      </c>
      <c r="X149" s="7" t="str">
        <f t="shared" si="236"/>
        <v/>
      </c>
      <c r="Y149" s="136"/>
      <c r="Z149" s="5" t="str">
        <f t="shared" si="237"/>
        <v/>
      </c>
      <c r="AA149" s="137" t="s">
        <v>183</v>
      </c>
      <c r="AB149" s="7" t="str">
        <f t="shared" si="238"/>
        <v/>
      </c>
      <c r="AC149" s="9"/>
      <c r="AD149" s="4"/>
      <c r="AE149" s="138" t="str">
        <f t="shared" si="239"/>
        <v/>
      </c>
      <c r="AF149" s="139" t="str">
        <f t="shared" si="240"/>
        <v/>
      </c>
      <c r="AG149" s="139" t="str">
        <f t="shared" si="241"/>
        <v/>
      </c>
      <c r="AH149" s="139" t="str">
        <f t="shared" si="242"/>
        <v/>
      </c>
      <c r="AI149" s="139" t="str">
        <f t="shared" si="243"/>
        <v/>
      </c>
      <c r="AJ149" s="140" t="str">
        <f t="shared" si="244"/>
        <v/>
      </c>
      <c r="AK149" s="8"/>
      <c r="AL149" s="8" t="str">
        <f>IF(AM149="","",IF(各種設定金額!$B$7="","○○県",各種設定金額!$B$7))</f>
        <v/>
      </c>
      <c r="AM149" s="4"/>
      <c r="AN149" s="4"/>
      <c r="AO149" s="141" t="str">
        <f t="shared" si="245"/>
        <v/>
      </c>
      <c r="AP149" s="10"/>
      <c r="AQ149" s="129"/>
      <c r="AR149" s="142" t="s">
        <v>182</v>
      </c>
      <c r="AS149" s="131" t="str">
        <f t="shared" si="246"/>
        <v/>
      </c>
      <c r="AT149" s="132" t="str">
        <f t="shared" si="247"/>
        <v/>
      </c>
      <c r="AU149" s="132" t="str">
        <f t="shared" si="248"/>
        <v/>
      </c>
      <c r="AV149" s="132" t="str">
        <f t="shared" si="249"/>
        <v/>
      </c>
      <c r="AW149" s="132" t="str">
        <f t="shared" si="250"/>
        <v/>
      </c>
      <c r="AX149" s="143" t="str">
        <f t="shared" si="251"/>
        <v/>
      </c>
      <c r="AY149" s="144"/>
      <c r="AZ149" s="8" t="str">
        <f>IF(BA149="","",IF(各種設定金額!$B$7="","○○県",各種設定金額!$B$7))</f>
        <v/>
      </c>
      <c r="BA149" s="6"/>
      <c r="BB149" s="4"/>
      <c r="BC149" s="141" t="str">
        <f t="shared" si="252"/>
        <v/>
      </c>
      <c r="BD149" s="10"/>
      <c r="BE149" s="129"/>
      <c r="BF149" s="145" t="s">
        <v>63</v>
      </c>
      <c r="BG149" s="131" t="str">
        <f t="shared" si="253"/>
        <v/>
      </c>
      <c r="BH149" s="132" t="str">
        <f t="shared" si="254"/>
        <v/>
      </c>
      <c r="BI149" s="132" t="str">
        <f t="shared" si="255"/>
        <v/>
      </c>
      <c r="BJ149" s="132" t="str">
        <f t="shared" si="256"/>
        <v/>
      </c>
      <c r="BK149" s="132" t="str">
        <f t="shared" si="257"/>
        <v/>
      </c>
      <c r="BL149" s="132" t="str">
        <f t="shared" si="258"/>
        <v/>
      </c>
      <c r="BM149" s="146"/>
      <c r="BN149" s="8" t="str">
        <f>IF(BO149="","",IF(各種設定金額!$B$7="","○○県",各種設定金額!$B$7))</f>
        <v/>
      </c>
      <c r="BO149" s="6"/>
      <c r="BP149" s="4"/>
      <c r="BQ149" s="141" t="str">
        <f t="shared" si="259"/>
        <v/>
      </c>
      <c r="BR149" s="10"/>
      <c r="BS149" s="129"/>
      <c r="BT149" s="145" t="s">
        <v>63</v>
      </c>
      <c r="BU149" s="131" t="str">
        <f t="shared" si="260"/>
        <v/>
      </c>
      <c r="BV149" s="132" t="str">
        <f t="shared" si="261"/>
        <v/>
      </c>
      <c r="BW149" s="132" t="str">
        <f t="shared" si="262"/>
        <v/>
      </c>
      <c r="BX149" s="132" t="str">
        <f t="shared" si="263"/>
        <v/>
      </c>
      <c r="BY149" s="132" t="str">
        <f t="shared" si="264"/>
        <v/>
      </c>
      <c r="BZ149" s="132" t="str">
        <f t="shared" si="265"/>
        <v/>
      </c>
      <c r="CA149" s="146"/>
      <c r="CB149" s="10" t="str">
        <f t="shared" si="266"/>
        <v/>
      </c>
      <c r="CC149" s="7" t="str">
        <f t="shared" si="267"/>
        <v/>
      </c>
      <c r="CD149" s="147"/>
      <c r="CE149" s="147"/>
      <c r="CF149" s="6"/>
      <c r="CG149" s="4"/>
      <c r="CH149" s="148">
        <f t="shared" ca="1" si="268"/>
        <v>2026</v>
      </c>
      <c r="CI149" s="121" t="str">
        <f t="shared" ca="1" si="269"/>
        <v>令和</v>
      </c>
      <c r="CJ149" s="122" t="str">
        <f t="shared" ca="1" si="270"/>
        <v>R</v>
      </c>
      <c r="CK149" s="122" t="str">
        <f t="shared" ca="1" si="271"/>
        <v>8</v>
      </c>
      <c r="CL149" s="122">
        <f t="shared" ca="1" si="272"/>
        <v>10</v>
      </c>
      <c r="CM149" s="149">
        <f t="shared" ca="1" si="273"/>
        <v>24</v>
      </c>
      <c r="CN149" s="1"/>
      <c r="CO149" s="150">
        <f t="shared" ca="1" si="274"/>
        <v>46319</v>
      </c>
    </row>
    <row r="150" spans="1:93" ht="20.100000000000001" customHeight="1" x14ac:dyDescent="0.15">
      <c r="A150" s="7" t="str">
        <f>IF(B150="","",ROW()-ROW(会員表[#Headers]))</f>
        <v/>
      </c>
      <c r="B150" s="4" ph="1"/>
      <c r="C150" s="4" t="str" cm="1">
        <f t="array" ref="C150">_xlfn.LET(_xlpm.s,PHONETIC(B150),_xlpm.c,_xlfn.UNICODE(MID(_xlpm.s,_xlfn.SEQUENCE(LEN(_xlpm.s)),1)),IF(_xlpm.s="","",_xlfn.CONCAT(_xlfn.UNICHAR(_xlpm.c-96*(_xlpm.c&gt;=12449)*(_xlpm.c&lt;=12534)))))</f>
        <v/>
      </c>
      <c r="D150" s="4" t="str" cm="1">
        <f t="array" ref="D150">_xlfn.LET(_xlpm.s,PHONETIC(B150),_xlpm.c,_xlfn.UNICODE(MID(_xlpm.s,_xlfn.SEQUENCE(LEN(_xlpm.s)),1)),IF(_xlpm.s="","",_xlfn.CONCAT(_xlfn.UNICHAR(_xlpm.c+96*(_xlpm.c&gt;=12353)*(_xlpm.c&lt;=12438)))))</f>
        <v/>
      </c>
      <c r="E150" s="129" t="str">
        <f t="shared" ca="1" si="220"/>
        <v/>
      </c>
      <c r="F150" s="130" t="str">
        <f t="shared" si="221"/>
        <v/>
      </c>
      <c r="G150" s="130" t="str">
        <f t="shared" si="222"/>
        <v/>
      </c>
      <c r="H150" s="130" t="str">
        <f t="shared" si="223"/>
        <v/>
      </c>
      <c r="I150" s="131" t="str">
        <f t="shared" si="224"/>
        <v/>
      </c>
      <c r="J150" s="132" t="str">
        <f t="shared" si="225"/>
        <v/>
      </c>
      <c r="K150" s="121" t="str">
        <f t="shared" si="226"/>
        <v/>
      </c>
      <c r="L150" s="129" t="str">
        <f t="shared" si="227"/>
        <v/>
      </c>
      <c r="M150" s="7" t="str">
        <f t="shared" si="228"/>
        <v/>
      </c>
      <c r="N150" s="133"/>
      <c r="O150" s="8"/>
      <c r="P150" s="5" t="str">
        <f t="shared" si="229"/>
        <v/>
      </c>
      <c r="Q150" s="121" t="str">
        <f t="shared" si="230"/>
        <v/>
      </c>
      <c r="R150" s="121" t="str">
        <f t="shared" si="231"/>
        <v/>
      </c>
      <c r="S150" s="7" t="str">
        <f t="shared" si="232"/>
        <v/>
      </c>
      <c r="T150" s="5"/>
      <c r="U150" s="5" t="str">
        <f t="shared" si="233"/>
        <v/>
      </c>
      <c r="V150" s="121" t="str">
        <f t="shared" si="234"/>
        <v/>
      </c>
      <c r="W150" s="121" t="str">
        <f t="shared" si="235"/>
        <v/>
      </c>
      <c r="X150" s="7" t="str">
        <f t="shared" si="236"/>
        <v/>
      </c>
      <c r="Y150" s="136"/>
      <c r="Z150" s="5" t="str">
        <f t="shared" si="237"/>
        <v/>
      </c>
      <c r="AA150" s="137" t="s">
        <v>183</v>
      </c>
      <c r="AB150" s="7" t="str">
        <f t="shared" si="238"/>
        <v/>
      </c>
      <c r="AC150" s="9"/>
      <c r="AD150" s="4"/>
      <c r="AE150" s="138" t="str">
        <f t="shared" si="239"/>
        <v/>
      </c>
      <c r="AF150" s="139" t="str">
        <f t="shared" si="240"/>
        <v/>
      </c>
      <c r="AG150" s="139" t="str">
        <f t="shared" si="241"/>
        <v/>
      </c>
      <c r="AH150" s="139" t="str">
        <f t="shared" si="242"/>
        <v/>
      </c>
      <c r="AI150" s="139" t="str">
        <f t="shared" si="243"/>
        <v/>
      </c>
      <c r="AJ150" s="140" t="str">
        <f t="shared" si="244"/>
        <v/>
      </c>
      <c r="AK150" s="8"/>
      <c r="AL150" s="8" t="str">
        <f>IF(AM150="","",IF(各種設定金額!$B$7="","○○県",各種設定金額!$B$7))</f>
        <v/>
      </c>
      <c r="AM150" s="4"/>
      <c r="AN150" s="4"/>
      <c r="AO150" s="141" t="str">
        <f t="shared" si="245"/>
        <v/>
      </c>
      <c r="AP150" s="10"/>
      <c r="AQ150" s="129"/>
      <c r="AR150" s="142" t="s">
        <v>182</v>
      </c>
      <c r="AS150" s="131" t="str">
        <f t="shared" si="246"/>
        <v/>
      </c>
      <c r="AT150" s="132" t="str">
        <f t="shared" si="247"/>
        <v/>
      </c>
      <c r="AU150" s="132" t="str">
        <f t="shared" si="248"/>
        <v/>
      </c>
      <c r="AV150" s="132" t="str">
        <f t="shared" si="249"/>
        <v/>
      </c>
      <c r="AW150" s="132" t="str">
        <f t="shared" si="250"/>
        <v/>
      </c>
      <c r="AX150" s="143" t="str">
        <f t="shared" si="251"/>
        <v/>
      </c>
      <c r="AY150" s="144"/>
      <c r="AZ150" s="8" t="str">
        <f>IF(BA150="","",IF(各種設定金額!$B$7="","○○県",各種設定金額!$B$7))</f>
        <v/>
      </c>
      <c r="BA150" s="6"/>
      <c r="BB150" s="4"/>
      <c r="BC150" s="141" t="str">
        <f t="shared" si="252"/>
        <v/>
      </c>
      <c r="BD150" s="10"/>
      <c r="BE150" s="129"/>
      <c r="BF150" s="145" t="s">
        <v>63</v>
      </c>
      <c r="BG150" s="131" t="str">
        <f t="shared" si="253"/>
        <v/>
      </c>
      <c r="BH150" s="132" t="str">
        <f t="shared" si="254"/>
        <v/>
      </c>
      <c r="BI150" s="132" t="str">
        <f t="shared" si="255"/>
        <v/>
      </c>
      <c r="BJ150" s="132" t="str">
        <f t="shared" si="256"/>
        <v/>
      </c>
      <c r="BK150" s="132" t="str">
        <f t="shared" si="257"/>
        <v/>
      </c>
      <c r="BL150" s="132" t="str">
        <f t="shared" si="258"/>
        <v/>
      </c>
      <c r="BM150" s="146"/>
      <c r="BN150" s="8" t="str">
        <f>IF(BO150="","",IF(各種設定金額!$B$7="","○○県",各種設定金額!$B$7))</f>
        <v/>
      </c>
      <c r="BO150" s="6"/>
      <c r="BP150" s="4"/>
      <c r="BQ150" s="141" t="str">
        <f t="shared" si="259"/>
        <v/>
      </c>
      <c r="BR150" s="10"/>
      <c r="BS150" s="129"/>
      <c r="BT150" s="145" t="s">
        <v>63</v>
      </c>
      <c r="BU150" s="131" t="str">
        <f t="shared" si="260"/>
        <v/>
      </c>
      <c r="BV150" s="132" t="str">
        <f t="shared" si="261"/>
        <v/>
      </c>
      <c r="BW150" s="132" t="str">
        <f t="shared" si="262"/>
        <v/>
      </c>
      <c r="BX150" s="132" t="str">
        <f t="shared" si="263"/>
        <v/>
      </c>
      <c r="BY150" s="132" t="str">
        <f t="shared" si="264"/>
        <v/>
      </c>
      <c r="BZ150" s="132" t="str">
        <f t="shared" si="265"/>
        <v/>
      </c>
      <c r="CA150" s="146"/>
      <c r="CB150" s="10" t="str">
        <f t="shared" si="266"/>
        <v/>
      </c>
      <c r="CC150" s="7" t="str">
        <f t="shared" si="267"/>
        <v/>
      </c>
      <c r="CD150" s="147"/>
      <c r="CE150" s="147"/>
      <c r="CF150" s="6"/>
      <c r="CG150" s="4"/>
      <c r="CH150" s="148">
        <f t="shared" ca="1" si="268"/>
        <v>2026</v>
      </c>
      <c r="CI150" s="121" t="str">
        <f t="shared" ca="1" si="269"/>
        <v>令和</v>
      </c>
      <c r="CJ150" s="122" t="str">
        <f t="shared" ca="1" si="270"/>
        <v>R</v>
      </c>
      <c r="CK150" s="122" t="str">
        <f t="shared" ca="1" si="271"/>
        <v>8</v>
      </c>
      <c r="CL150" s="122">
        <f t="shared" ca="1" si="272"/>
        <v>10</v>
      </c>
      <c r="CM150" s="149">
        <f t="shared" ca="1" si="273"/>
        <v>24</v>
      </c>
      <c r="CN150" s="1"/>
      <c r="CO150" s="150">
        <f t="shared" ca="1" si="274"/>
        <v>46319</v>
      </c>
    </row>
    <row r="151" spans="1:93" ht="20.100000000000001" customHeight="1" x14ac:dyDescent="0.15">
      <c r="A151" s="7" t="str">
        <f>IF(B151="","",ROW()-ROW(会員表[#Headers]))</f>
        <v/>
      </c>
      <c r="B151" s="4" ph="1"/>
      <c r="C151" s="4" t="str" cm="1">
        <f t="array" ref="C151">_xlfn.LET(_xlpm.s,PHONETIC(B151),_xlpm.c,_xlfn.UNICODE(MID(_xlpm.s,_xlfn.SEQUENCE(LEN(_xlpm.s)),1)),IF(_xlpm.s="","",_xlfn.CONCAT(_xlfn.UNICHAR(_xlpm.c-96*(_xlpm.c&gt;=12449)*(_xlpm.c&lt;=12534)))))</f>
        <v/>
      </c>
      <c r="D151" s="4" t="str" cm="1">
        <f t="array" ref="D151">_xlfn.LET(_xlpm.s,PHONETIC(B151),_xlpm.c,_xlfn.UNICODE(MID(_xlpm.s,_xlfn.SEQUENCE(LEN(_xlpm.s)),1)),IF(_xlpm.s="","",_xlfn.CONCAT(_xlfn.UNICHAR(_xlpm.c+96*(_xlpm.c&gt;=12353)*(_xlpm.c&lt;=12438)))))</f>
        <v/>
      </c>
      <c r="E151" s="129" t="str">
        <f t="shared" ca="1" si="220"/>
        <v/>
      </c>
      <c r="F151" s="130" t="str">
        <f t="shared" si="221"/>
        <v/>
      </c>
      <c r="G151" s="130" t="str">
        <f t="shared" si="222"/>
        <v/>
      </c>
      <c r="H151" s="130" t="str">
        <f t="shared" si="223"/>
        <v/>
      </c>
      <c r="I151" s="131" t="str">
        <f t="shared" si="224"/>
        <v/>
      </c>
      <c r="J151" s="132" t="str">
        <f t="shared" si="225"/>
        <v/>
      </c>
      <c r="K151" s="121" t="str">
        <f t="shared" si="226"/>
        <v/>
      </c>
      <c r="L151" s="129" t="str">
        <f t="shared" si="227"/>
        <v/>
      </c>
      <c r="M151" s="7" t="str">
        <f t="shared" si="228"/>
        <v/>
      </c>
      <c r="N151" s="133"/>
      <c r="O151" s="8"/>
      <c r="P151" s="5" t="str">
        <f t="shared" si="229"/>
        <v/>
      </c>
      <c r="Q151" s="121" t="str">
        <f t="shared" si="230"/>
        <v/>
      </c>
      <c r="R151" s="121" t="str">
        <f t="shared" si="231"/>
        <v/>
      </c>
      <c r="S151" s="7" t="str">
        <f t="shared" si="232"/>
        <v/>
      </c>
      <c r="T151" s="5"/>
      <c r="U151" s="5" t="str">
        <f t="shared" si="233"/>
        <v/>
      </c>
      <c r="V151" s="121" t="str">
        <f t="shared" si="234"/>
        <v/>
      </c>
      <c r="W151" s="121" t="str">
        <f t="shared" si="235"/>
        <v/>
      </c>
      <c r="X151" s="7" t="str">
        <f t="shared" si="236"/>
        <v/>
      </c>
      <c r="Y151" s="136"/>
      <c r="Z151" s="5" t="str">
        <f t="shared" si="237"/>
        <v/>
      </c>
      <c r="AA151" s="137" t="s">
        <v>183</v>
      </c>
      <c r="AB151" s="7" t="str">
        <f t="shared" si="238"/>
        <v/>
      </c>
      <c r="AC151" s="9"/>
      <c r="AD151" s="4"/>
      <c r="AE151" s="138" t="str">
        <f t="shared" si="239"/>
        <v/>
      </c>
      <c r="AF151" s="139" t="str">
        <f t="shared" si="240"/>
        <v/>
      </c>
      <c r="AG151" s="139" t="str">
        <f t="shared" si="241"/>
        <v/>
      </c>
      <c r="AH151" s="139" t="str">
        <f t="shared" si="242"/>
        <v/>
      </c>
      <c r="AI151" s="139" t="str">
        <f t="shared" si="243"/>
        <v/>
      </c>
      <c r="AJ151" s="140" t="str">
        <f t="shared" si="244"/>
        <v/>
      </c>
      <c r="AK151" s="8"/>
      <c r="AL151" s="8" t="str">
        <f>IF(AM151="","",IF(各種設定金額!$B$7="","○○県",各種設定金額!$B$7))</f>
        <v/>
      </c>
      <c r="AM151" s="4"/>
      <c r="AN151" s="4"/>
      <c r="AO151" s="141" t="str">
        <f t="shared" si="245"/>
        <v/>
      </c>
      <c r="AP151" s="10"/>
      <c r="AQ151" s="129"/>
      <c r="AR151" s="142" t="s">
        <v>182</v>
      </c>
      <c r="AS151" s="131" t="str">
        <f t="shared" si="246"/>
        <v/>
      </c>
      <c r="AT151" s="132" t="str">
        <f t="shared" si="247"/>
        <v/>
      </c>
      <c r="AU151" s="132" t="str">
        <f t="shared" si="248"/>
        <v/>
      </c>
      <c r="AV151" s="132" t="str">
        <f t="shared" si="249"/>
        <v/>
      </c>
      <c r="AW151" s="132" t="str">
        <f t="shared" si="250"/>
        <v/>
      </c>
      <c r="AX151" s="143" t="str">
        <f t="shared" si="251"/>
        <v/>
      </c>
      <c r="AY151" s="144"/>
      <c r="AZ151" s="8" t="str">
        <f>IF(BA151="","",IF(各種設定金額!$B$7="","○○県",各種設定金額!$B$7))</f>
        <v/>
      </c>
      <c r="BA151" s="6"/>
      <c r="BB151" s="4"/>
      <c r="BC151" s="141" t="str">
        <f t="shared" si="252"/>
        <v/>
      </c>
      <c r="BD151" s="10"/>
      <c r="BE151" s="129"/>
      <c r="BF151" s="145" t="s">
        <v>63</v>
      </c>
      <c r="BG151" s="131" t="str">
        <f t="shared" si="253"/>
        <v/>
      </c>
      <c r="BH151" s="132" t="str">
        <f t="shared" si="254"/>
        <v/>
      </c>
      <c r="BI151" s="132" t="str">
        <f t="shared" si="255"/>
        <v/>
      </c>
      <c r="BJ151" s="132" t="str">
        <f t="shared" si="256"/>
        <v/>
      </c>
      <c r="BK151" s="132" t="str">
        <f t="shared" si="257"/>
        <v/>
      </c>
      <c r="BL151" s="132" t="str">
        <f t="shared" si="258"/>
        <v/>
      </c>
      <c r="BM151" s="146"/>
      <c r="BN151" s="8" t="str">
        <f>IF(BO151="","",IF(各種設定金額!$B$7="","○○県",各種設定金額!$B$7))</f>
        <v/>
      </c>
      <c r="BO151" s="6"/>
      <c r="BP151" s="4"/>
      <c r="BQ151" s="141" t="str">
        <f t="shared" si="259"/>
        <v/>
      </c>
      <c r="BR151" s="10"/>
      <c r="BS151" s="129"/>
      <c r="BT151" s="145" t="s">
        <v>63</v>
      </c>
      <c r="BU151" s="131" t="str">
        <f t="shared" si="260"/>
        <v/>
      </c>
      <c r="BV151" s="132" t="str">
        <f t="shared" si="261"/>
        <v/>
      </c>
      <c r="BW151" s="132" t="str">
        <f t="shared" si="262"/>
        <v/>
      </c>
      <c r="BX151" s="132" t="str">
        <f t="shared" si="263"/>
        <v/>
      </c>
      <c r="BY151" s="132" t="str">
        <f t="shared" si="264"/>
        <v/>
      </c>
      <c r="BZ151" s="132" t="str">
        <f t="shared" si="265"/>
        <v/>
      </c>
      <c r="CA151" s="146"/>
      <c r="CB151" s="10" t="str">
        <f t="shared" si="266"/>
        <v/>
      </c>
      <c r="CC151" s="7" t="str">
        <f t="shared" si="267"/>
        <v/>
      </c>
      <c r="CD151" s="147"/>
      <c r="CE151" s="147"/>
      <c r="CF151" s="6"/>
      <c r="CG151" s="4"/>
      <c r="CH151" s="148">
        <f t="shared" ca="1" si="268"/>
        <v>2026</v>
      </c>
      <c r="CI151" s="121" t="str">
        <f t="shared" ca="1" si="269"/>
        <v>令和</v>
      </c>
      <c r="CJ151" s="122" t="str">
        <f t="shared" ca="1" si="270"/>
        <v>R</v>
      </c>
      <c r="CK151" s="122" t="str">
        <f t="shared" ca="1" si="271"/>
        <v>8</v>
      </c>
      <c r="CL151" s="122">
        <f t="shared" ca="1" si="272"/>
        <v>10</v>
      </c>
      <c r="CM151" s="149">
        <f t="shared" ca="1" si="273"/>
        <v>24</v>
      </c>
      <c r="CN151" s="1"/>
      <c r="CO151" s="150">
        <f t="shared" ca="1" si="274"/>
        <v>46319</v>
      </c>
    </row>
    <row r="153" spans="1:93" ht="21.75" x14ac:dyDescent="0.15">
      <c r="B153" s="1" ph="1"/>
    </row>
    <row r="154" spans="1:93" ht="21.75" x14ac:dyDescent="0.15">
      <c r="B154" s="1" ph="1"/>
    </row>
    <row r="155" spans="1:93" ht="21.75" x14ac:dyDescent="0.15">
      <c r="B155" s="1" ph="1"/>
    </row>
    <row r="156" spans="1:93" ht="21.75" x14ac:dyDescent="0.15">
      <c r="B156" s="1" ph="1"/>
    </row>
    <row r="157" spans="1:93" ht="21.75" x14ac:dyDescent="0.15">
      <c r="B157" s="1" ph="1"/>
    </row>
  </sheetData>
  <sheetProtection sheet="1" objects="1" scenarios="1"/>
  <phoneticPr fontId="5"/>
  <conditionalFormatting sqref="A2:A151 N2:CN151">
    <cfRule type="expression" dxfId="7" priority="3">
      <formula>MOD(ROW(),2)=0</formula>
    </cfRule>
  </conditionalFormatting>
  <conditionalFormatting sqref="B2:M151">
    <cfRule type="expression" dxfId="6" priority="1">
      <formula>MOD(ROW(),2)=0</formula>
    </cfRule>
  </conditionalFormatting>
  <dataValidations count="3">
    <dataValidation type="list" allowBlank="1" showInputMessage="1" showErrorMessage="1" errorTitle="入力できない値です" error="一覧から選んでください（✔）。消すときは Delete キー。" sqref="AM2:AM151 CF2:CG151 BA2:BB151 BO2:BP151" xr:uid="{496B618F-0C4F-4590-8DD3-0A25F5C5C100}">
      <formula1>"✔"</formula1>
    </dataValidation>
    <dataValidation type="list" allowBlank="1" showInputMessage="1" showErrorMessage="1" errorTitle="入力できない値です" error="一覧から選んでください（✔,2️⃣）。消すときは Delete キー。" sqref="AN2:AN151" xr:uid="{BBAF40E4-6971-47BA-A641-48BB3AD0234C}">
      <formula1>"✔,2️⃣"</formula1>
    </dataValidation>
    <dataValidation type="list" allowBlank="1" showInputMessage="1" showErrorMessage="1" errorTitle="入力できない値です" error="一覧から選んでください（〇）。消すときは Delete キー。" sqref="CD2:CE151" xr:uid="{6C534092-589D-449A-A09B-4DAFD638CF2A}">
      <formula1>"〇"</formula1>
    </dataValidation>
  </dataValidations>
  <printOptions horizontalCentered="1" verticalCentered="1"/>
  <pageMargins left="0" right="0" top="0" bottom="0" header="0" footer="0"/>
  <pageSetup paperSize="9" scale="50"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7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7" sqref="O7"/>
    </sheetView>
  </sheetViews>
  <sheetFormatPr defaultColWidth="9" defaultRowHeight="14.25" x14ac:dyDescent="0.15"/>
  <cols>
    <col min="1" max="1" width="3.75" style="1" customWidth="1"/>
    <col min="2" max="2" width="14.75" style="1" customWidth="1"/>
    <col min="3" max="3" width="15.75" style="1" customWidth="1"/>
    <col min="4" max="4" width="14.75" style="1" customWidth="1"/>
    <col min="5" max="5" width="9.75" style="1" customWidth="1"/>
    <col min="6" max="6" width="32.875" style="2" customWidth="1"/>
    <col min="7" max="8" width="3.75" style="2" customWidth="1"/>
    <col min="9" max="9" width="3.75" style="3" customWidth="1"/>
    <col min="10" max="14" width="3.75" style="2" customWidth="1"/>
    <col min="15" max="16" width="9" style="2" customWidth="1"/>
    <col min="17" max="16384" width="9" style="2"/>
  </cols>
  <sheetData>
    <row r="1" spans="1:14" s="12" customFormat="1" ht="18.75" customHeight="1" x14ac:dyDescent="0.15">
      <c r="A1" s="85" t="s">
        <v>184</v>
      </c>
      <c r="B1" s="11"/>
      <c r="C1" s="11"/>
      <c r="D1" s="11"/>
      <c r="E1" s="11"/>
      <c r="F1" s="11"/>
      <c r="G1" s="27"/>
      <c r="H1" s="27"/>
      <c r="I1" s="27"/>
      <c r="J1" s="27"/>
      <c r="K1" s="27"/>
      <c r="L1" s="27"/>
      <c r="M1" s="11"/>
      <c r="N1" s="11"/>
    </row>
    <row r="2" spans="1:14" s="12" customFormat="1" ht="14.25" customHeight="1" x14ac:dyDescent="0.15">
      <c r="A2" s="13"/>
      <c r="B2" s="13"/>
      <c r="C2" s="13"/>
      <c r="D2" s="14"/>
      <c r="E2" s="14"/>
      <c r="F2" s="26"/>
      <c r="G2" s="114" t="s">
        <v>65</v>
      </c>
      <c r="H2" s="115"/>
      <c r="I2" s="114" t="s">
        <v>66</v>
      </c>
      <c r="J2" s="115"/>
      <c r="K2" s="114" t="s">
        <v>211</v>
      </c>
      <c r="L2" s="115"/>
      <c r="M2" s="15" t="s">
        <v>67</v>
      </c>
      <c r="N2" s="16" t="s">
        <v>68</v>
      </c>
    </row>
    <row r="3" spans="1:14" s="12" customFormat="1" x14ac:dyDescent="0.15">
      <c r="A3" s="17" t="s">
        <v>69</v>
      </c>
      <c r="B3" s="17" t="s">
        <v>164</v>
      </c>
      <c r="C3" s="17" t="s">
        <v>17</v>
      </c>
      <c r="D3" s="18" t="s">
        <v>19</v>
      </c>
      <c r="E3" s="18" t="s">
        <v>23</v>
      </c>
      <c r="F3" s="29" t="s">
        <v>0</v>
      </c>
      <c r="G3" s="28" t="s">
        <v>67</v>
      </c>
      <c r="H3" s="28" t="s">
        <v>70</v>
      </c>
      <c r="I3" s="28" t="s">
        <v>67</v>
      </c>
      <c r="J3" s="28" t="s">
        <v>70</v>
      </c>
      <c r="K3" s="28" t="s">
        <v>67</v>
      </c>
      <c r="L3" s="28" t="s">
        <v>70</v>
      </c>
      <c r="M3" s="19" t="s">
        <v>71</v>
      </c>
      <c r="N3" s="20" t="s">
        <v>72</v>
      </c>
    </row>
    <row r="4" spans="1:14" s="12" customFormat="1" x14ac:dyDescent="0.15">
      <c r="A4" s="21"/>
      <c r="B4" s="21"/>
      <c r="C4" s="21"/>
      <c r="D4" s="22"/>
      <c r="E4" s="22"/>
      <c r="F4" s="30"/>
      <c r="G4" s="23" t="s">
        <v>68</v>
      </c>
      <c r="H4" s="23" t="s">
        <v>73</v>
      </c>
      <c r="I4" s="23" t="s">
        <v>68</v>
      </c>
      <c r="J4" s="23" t="s">
        <v>73</v>
      </c>
      <c r="K4" s="23" t="s">
        <v>68</v>
      </c>
      <c r="L4" s="23" t="s">
        <v>73</v>
      </c>
      <c r="M4" s="24" t="s">
        <v>74</v>
      </c>
      <c r="N4" s="25" t="s">
        <v>75</v>
      </c>
    </row>
    <row r="5" spans="1:14" ht="20.100000000000001" customHeight="1" x14ac:dyDescent="0.15">
      <c r="A5" s="4">
        <f>IF(B5="","",IF(SUBTOTAL(103,B5)=0,"",SUBTOTAL(103,$B$5:B5)))</f>
        <v>1</v>
      </c>
      <c r="B5" s="4" t="str">
        <f>INDEX(Sheet1!$B:$B,ROWS($A$5:$A5)+1)&amp;""</f>
        <v>見本　太郎</v>
      </c>
      <c r="C5" s="80" t="str">
        <f>INDEX(Sheet1!$O:$O,ROWS($A$5:$A5)+1)&amp;""</f>
        <v>090-0000-0001</v>
      </c>
      <c r="D5" s="81" t="str">
        <f>INDEX(Sheet1!$T:$T,ROWS($A$5:$A5)+1)&amp;""</f>
        <v>000-000-0001</v>
      </c>
      <c r="E5" s="4" t="str">
        <f>INDEX(Sheet1!$Y:$Y,ROWS($A$5:$A5)+1)&amp;""</f>
        <v>000-0001</v>
      </c>
      <c r="F5" s="9" t="str">
        <f>INDEX(Sheet1!$AC:$AC,ROWS($A$5:$A5)+1)&amp;""</f>
        <v>見本市見本町1丁目2-3</v>
      </c>
      <c r="G5" s="4" t="str">
        <f>INDEX(Sheet1!$AM:$AM,ROWS($A$5:$A5)+1)&amp;""</f>
        <v>✔</v>
      </c>
      <c r="H5" s="4" t="str">
        <f>INDEX(Sheet1!$AN:$AN,ROWS($A$5:$A5)+1)&amp;""</f>
        <v>✔</v>
      </c>
      <c r="I5" s="6" t="str">
        <f>INDEX(Sheet1!$BA:$BA,ROWS($A$5:$A5)+1)&amp;""</f>
        <v>✔</v>
      </c>
      <c r="J5" s="4" t="str">
        <f>INDEX(Sheet1!$BB:$BB,ROWS($A$5:$A5)+1)&amp;""</f>
        <v>✔</v>
      </c>
      <c r="K5" s="6" t="str">
        <f>INDEX(Sheet1!$BO:$BO,ROWS($A$5:$A5)+1)&amp;""</f>
        <v/>
      </c>
      <c r="L5" s="4" t="str">
        <f>INDEX(Sheet1!$BP:$BP,ROWS($A$5:$A5)+1)&amp;""</f>
        <v/>
      </c>
      <c r="M5" s="10" t="str">
        <f>INDEX(Sheet1!$CB:$CB,ROWS($A$5:$A5)+1)&amp;""</f>
        <v>R</v>
      </c>
      <c r="N5" s="7">
        <f>IF(INDEX(Sheet1!$CC:$CC,ROWS($A$5:$A5)+1)="","",INDEX(Sheet1!$CC:$CC,ROWS($A$5:$A5)+1))</f>
        <v>9</v>
      </c>
    </row>
    <row r="6" spans="1:14" ht="20.100000000000001" customHeight="1" x14ac:dyDescent="0.15">
      <c r="A6" s="4">
        <f>IF(B6="","",IF(SUBTOTAL(103,B6)=0,"",SUBTOTAL(103,$B$5:B6)))</f>
        <v>2</v>
      </c>
      <c r="B6" s="4" t="str">
        <f>INDEX(Sheet1!$B:$B,ROWS($A$5:$A6)+1)&amp;""</f>
        <v>例示　花子</v>
      </c>
      <c r="C6" s="8" t="str">
        <f>INDEX(Sheet1!$O:$O,ROWS($A$5:$A6)+1)&amp;""</f>
        <v>080-0000-0002</v>
      </c>
      <c r="D6" s="5" t="str">
        <f>INDEX(Sheet1!$T:$T,ROWS($A$5:$A6)+1)&amp;""</f>
        <v/>
      </c>
      <c r="E6" s="4" t="str">
        <f>INDEX(Sheet1!$Y:$Y,ROWS($A$5:$A6)+1)&amp;""</f>
        <v>000-0002</v>
      </c>
      <c r="F6" s="9" t="str">
        <f>INDEX(Sheet1!$AC:$AC,ROWS($A$5:$A6)+1)&amp;""</f>
        <v>例示市例示町2丁目3-4</v>
      </c>
      <c r="G6" s="4" t="str">
        <f>INDEX(Sheet1!$AM:$AM,ROWS($A$5:$A6)+1)&amp;""</f>
        <v/>
      </c>
      <c r="H6" s="4" t="str">
        <f>INDEX(Sheet1!$AN:$AN,ROWS($A$5:$A6)+1)&amp;""</f>
        <v/>
      </c>
      <c r="I6" s="6" t="str">
        <f>INDEX(Sheet1!$BA:$BA,ROWS($A$5:$A6)+1)&amp;""</f>
        <v>✔</v>
      </c>
      <c r="J6" s="4" t="str">
        <f>INDEX(Sheet1!$BB:$BB,ROWS($A$5:$A6)+1)&amp;""</f>
        <v>✔</v>
      </c>
      <c r="K6" s="6" t="str">
        <f>INDEX(Sheet1!$BO:$BO,ROWS($A$5:$A6)+1)&amp;""</f>
        <v/>
      </c>
      <c r="L6" s="4" t="str">
        <f>INDEX(Sheet1!$BP:$BP,ROWS($A$5:$A6)+1)&amp;""</f>
        <v/>
      </c>
      <c r="M6" s="10" t="str">
        <f>INDEX(Sheet1!$CB:$CB,ROWS($A$5:$A6)+1)&amp;""</f>
        <v>R</v>
      </c>
      <c r="N6" s="7">
        <f>IF(INDEX(Sheet1!$CC:$CC,ROWS($A$5:$A6)+1)="","",INDEX(Sheet1!$CC:$CC,ROWS($A$5:$A6)+1))</f>
        <v>8</v>
      </c>
    </row>
    <row r="7" spans="1:14" ht="20.100000000000001" customHeight="1" x14ac:dyDescent="0.15">
      <c r="A7" s="4">
        <f>IF(B7="","",IF(SUBTOTAL(103,B7)=0,"",SUBTOTAL(103,$B$5:B7)))</f>
        <v>3</v>
      </c>
      <c r="B7" s="4" t="str">
        <f>INDEX(Sheet1!$B:$B,ROWS($A$5:$A7)+1)&amp;""</f>
        <v>記入　次郎</v>
      </c>
      <c r="C7" s="8" t="str">
        <f>INDEX(Sheet1!$O:$O,ROWS($A$5:$A7)+1)&amp;""</f>
        <v>070-0000-0003</v>
      </c>
      <c r="D7" s="5" t="str">
        <f>INDEX(Sheet1!$T:$T,ROWS($A$5:$A7)+1)&amp;""</f>
        <v/>
      </c>
      <c r="E7" s="4" t="str">
        <f>INDEX(Sheet1!$Y:$Y,ROWS($A$5:$A7)+1)&amp;""</f>
        <v>000-0003</v>
      </c>
      <c r="F7" s="9" t="str">
        <f>INDEX(Sheet1!$AC:$AC,ROWS($A$5:$A7)+1)&amp;""</f>
        <v>記入市記入町3丁目4-5</v>
      </c>
      <c r="G7" s="4" t="str">
        <f>INDEX(Sheet1!$AM:$AM,ROWS($A$5:$A7)+1)&amp;""</f>
        <v>✔</v>
      </c>
      <c r="H7" s="4" t="str">
        <f>INDEX(Sheet1!$AN:$AN,ROWS($A$5:$A7)+1)&amp;""</f>
        <v>2️⃣</v>
      </c>
      <c r="I7" s="6" t="str">
        <f>INDEX(Sheet1!$BA:$BA,ROWS($A$5:$A7)+1)&amp;""</f>
        <v/>
      </c>
      <c r="J7" s="4" t="str">
        <f>INDEX(Sheet1!$BB:$BB,ROWS($A$5:$A7)+1)&amp;""</f>
        <v/>
      </c>
      <c r="K7" s="6" t="str">
        <f>INDEX(Sheet1!$BO:$BO,ROWS($A$5:$A7)+1)&amp;""</f>
        <v>✔</v>
      </c>
      <c r="L7" s="4" t="str">
        <f>INDEX(Sheet1!$BP:$BP,ROWS($A$5:$A7)+1)&amp;""</f>
        <v>✔</v>
      </c>
      <c r="M7" s="10" t="str">
        <f>INDEX(Sheet1!$CB:$CB,ROWS($A$5:$A7)+1)&amp;""</f>
        <v>R</v>
      </c>
      <c r="N7" s="7">
        <f>IF(INDEX(Sheet1!$CC:$CC,ROWS($A$5:$A7)+1)="","",INDEX(Sheet1!$CC:$CC,ROWS($A$5:$A7)+1))</f>
        <v>10</v>
      </c>
    </row>
    <row r="8" spans="1:14" ht="20.100000000000001" customHeight="1" x14ac:dyDescent="0.15">
      <c r="A8" s="4">
        <f>IF(B8="","",IF(SUBTOTAL(103,B8)=0,"",SUBTOTAL(103,$B$5:B8)))</f>
        <v>4</v>
      </c>
      <c r="B8" s="4" t="str">
        <f>INDEX(Sheet1!$B:$B,ROWS($A$5:$A8)+1)&amp;""</f>
        <v>試験　三郎</v>
      </c>
      <c r="C8" s="8" t="str">
        <f>INDEX(Sheet1!$O:$O,ROWS($A$5:$A8)+1)&amp;""</f>
        <v>090-0000-0004</v>
      </c>
      <c r="D8" s="5" t="str">
        <f>INDEX(Sheet1!$T:$T,ROWS($A$5:$A8)+1)&amp;""</f>
        <v>000-000-0004</v>
      </c>
      <c r="E8" s="4" t="str">
        <f>INDEX(Sheet1!$Y:$Y,ROWS($A$5:$A8)+1)&amp;""</f>
        <v>000-0004</v>
      </c>
      <c r="F8" s="9" t="str">
        <f>INDEX(Sheet1!$AC:$AC,ROWS($A$5:$A8)+1)&amp;""</f>
        <v>試験市試験町4丁目5-6</v>
      </c>
      <c r="G8" s="4" t="str">
        <f>INDEX(Sheet1!$AM:$AM,ROWS($A$5:$A8)+1)&amp;""</f>
        <v>✔</v>
      </c>
      <c r="H8" s="4" t="str">
        <f>INDEX(Sheet1!$AN:$AN,ROWS($A$5:$A8)+1)&amp;""</f>
        <v>✔</v>
      </c>
      <c r="I8" s="6" t="str">
        <f>INDEX(Sheet1!$BA:$BA,ROWS($A$5:$A8)+1)&amp;""</f>
        <v/>
      </c>
      <c r="J8" s="4" t="str">
        <f>INDEX(Sheet1!$BB:$BB,ROWS($A$5:$A8)+1)&amp;""</f>
        <v/>
      </c>
      <c r="K8" s="6" t="str">
        <f>INDEX(Sheet1!$BO:$BO,ROWS($A$5:$A8)+1)&amp;""</f>
        <v/>
      </c>
      <c r="L8" s="4" t="str">
        <f>INDEX(Sheet1!$BP:$BP,ROWS($A$5:$A8)+1)&amp;""</f>
        <v/>
      </c>
      <c r="M8" s="10" t="str">
        <f>INDEX(Sheet1!$CB:$CB,ROWS($A$5:$A8)+1)&amp;""</f>
        <v>R</v>
      </c>
      <c r="N8" s="7">
        <f>IF(INDEX(Sheet1!$CC:$CC,ROWS($A$5:$A8)+1)="","",INDEX(Sheet1!$CC:$CC,ROWS($A$5:$A8)+1))</f>
        <v>8</v>
      </c>
    </row>
    <row r="9" spans="1:14" ht="20.100000000000001" customHeight="1" x14ac:dyDescent="0.15">
      <c r="A9" s="4">
        <f>IF(B9="","",IF(SUBTOTAL(103,B9)=0,"",SUBTOTAL(103,$B$5:B9)))</f>
        <v>5</v>
      </c>
      <c r="B9" s="4" t="str">
        <f>INDEX(Sheet1!$B:$B,ROWS($A$5:$A9)+1)&amp;""</f>
        <v>架空　良子</v>
      </c>
      <c r="C9" s="8" t="str">
        <f>INDEX(Sheet1!$O:$O,ROWS($A$5:$A9)+1)&amp;""</f>
        <v>080-0000-0005</v>
      </c>
      <c r="D9" s="5" t="str">
        <f>INDEX(Sheet1!$T:$T,ROWS($A$5:$A9)+1)&amp;""</f>
        <v/>
      </c>
      <c r="E9" s="4" t="str">
        <f>INDEX(Sheet1!$Y:$Y,ROWS($A$5:$A9)+1)&amp;""</f>
        <v>000-0005</v>
      </c>
      <c r="F9" s="9" t="str">
        <f>INDEX(Sheet1!$AC:$AC,ROWS($A$5:$A9)+1)&amp;""</f>
        <v>架空市架空町5丁目6-7</v>
      </c>
      <c r="G9" s="4" t="str">
        <f>INDEX(Sheet1!$AM:$AM,ROWS($A$5:$A9)+1)&amp;""</f>
        <v/>
      </c>
      <c r="H9" s="4" t="str">
        <f>INDEX(Sheet1!$AN:$AN,ROWS($A$5:$A9)+1)&amp;""</f>
        <v/>
      </c>
      <c r="I9" s="6" t="str">
        <f>INDEX(Sheet1!$BA:$BA,ROWS($A$5:$A9)+1)&amp;""</f>
        <v>✔</v>
      </c>
      <c r="J9" s="4" t="str">
        <f>INDEX(Sheet1!$BB:$BB,ROWS($A$5:$A9)+1)&amp;""</f>
        <v>✔</v>
      </c>
      <c r="K9" s="6" t="str">
        <f>INDEX(Sheet1!$BO:$BO,ROWS($A$5:$A9)+1)&amp;""</f>
        <v>✔</v>
      </c>
      <c r="L9" s="4" t="str">
        <f>INDEX(Sheet1!$BP:$BP,ROWS($A$5:$A9)+1)&amp;""</f>
        <v>✔</v>
      </c>
      <c r="M9" s="10" t="str">
        <f>INDEX(Sheet1!$CB:$CB,ROWS($A$5:$A9)+1)&amp;""</f>
        <v>R</v>
      </c>
      <c r="N9" s="7">
        <f>IF(INDEX(Sheet1!$CC:$CC,ROWS($A$5:$A9)+1)="","",INDEX(Sheet1!$CC:$CC,ROWS($A$5:$A9)+1))</f>
        <v>9</v>
      </c>
    </row>
    <row r="10" spans="1:14" ht="20.100000000000001" customHeight="1" x14ac:dyDescent="0.15">
      <c r="A10" s="4" t="str">
        <f>IF(B10="","",IF(SUBTOTAL(103,B10)=0,"",SUBTOTAL(103,$B$5:B10)))</f>
        <v/>
      </c>
      <c r="B10" s="4" t="str">
        <f>INDEX(Sheet1!$B:$B,ROWS($A$5:$A10)+1)&amp;""</f>
        <v/>
      </c>
      <c r="C10" s="8" t="str">
        <f>INDEX(Sheet1!$O:$O,ROWS($A$5:$A10)+1)&amp;""</f>
        <v/>
      </c>
      <c r="D10" s="5" t="str">
        <f>INDEX(Sheet1!$T:$T,ROWS($A$5:$A10)+1)&amp;""</f>
        <v/>
      </c>
      <c r="E10" s="4" t="str">
        <f>INDEX(Sheet1!$Y:$Y,ROWS($A$5:$A10)+1)&amp;""</f>
        <v/>
      </c>
      <c r="F10" s="9" t="str">
        <f>INDEX(Sheet1!$AC:$AC,ROWS($A$5:$A10)+1)&amp;""</f>
        <v/>
      </c>
      <c r="G10" s="4" t="str">
        <f>INDEX(Sheet1!$AM:$AM,ROWS($A$5:$A10)+1)&amp;""</f>
        <v/>
      </c>
      <c r="H10" s="4" t="str">
        <f>INDEX(Sheet1!$AN:$AN,ROWS($A$5:$A10)+1)&amp;""</f>
        <v/>
      </c>
      <c r="I10" s="6" t="str">
        <f>INDEX(Sheet1!$BA:$BA,ROWS($A$5:$A10)+1)&amp;""</f>
        <v/>
      </c>
      <c r="J10" s="4" t="str">
        <f>INDEX(Sheet1!$BB:$BB,ROWS($A$5:$A10)+1)&amp;""</f>
        <v/>
      </c>
      <c r="K10" s="6" t="str">
        <f>INDEX(Sheet1!$BO:$BO,ROWS($A$5:$A10)+1)&amp;""</f>
        <v/>
      </c>
      <c r="L10" s="4" t="str">
        <f>INDEX(Sheet1!$BP:$BP,ROWS($A$5:$A10)+1)&amp;""</f>
        <v/>
      </c>
      <c r="M10" s="10" t="str">
        <f>INDEX(Sheet1!$CB:$CB,ROWS($A$5:$A10)+1)&amp;""</f>
        <v/>
      </c>
      <c r="N10" s="7" t="str">
        <f>IF(INDEX(Sheet1!$CC:$CC,ROWS($A$5:$A10)+1)="","",INDEX(Sheet1!$CC:$CC,ROWS($A$5:$A10)+1))</f>
        <v/>
      </c>
    </row>
    <row r="11" spans="1:14" ht="20.100000000000001" customHeight="1" x14ac:dyDescent="0.15">
      <c r="A11" s="4" t="str">
        <f>IF(B11="","",IF(SUBTOTAL(103,B11)=0,"",SUBTOTAL(103,$B$5:B11)))</f>
        <v/>
      </c>
      <c r="B11" s="4" t="str">
        <f>INDEX(Sheet1!$B:$B,ROWS($A$5:$A11)+1)&amp;""</f>
        <v/>
      </c>
      <c r="C11" s="8" t="str">
        <f>INDEX(Sheet1!$O:$O,ROWS($A$5:$A11)+1)&amp;""</f>
        <v/>
      </c>
      <c r="D11" s="5" t="str">
        <f>INDEX(Sheet1!$T:$T,ROWS($A$5:$A11)+1)&amp;""</f>
        <v/>
      </c>
      <c r="E11" s="4" t="str">
        <f>INDEX(Sheet1!$Y:$Y,ROWS($A$5:$A11)+1)&amp;""</f>
        <v/>
      </c>
      <c r="F11" s="9" t="str">
        <f>INDEX(Sheet1!$AC:$AC,ROWS($A$5:$A11)+1)&amp;""</f>
        <v/>
      </c>
      <c r="G11" s="4" t="str">
        <f>INDEX(Sheet1!$AM:$AM,ROWS($A$5:$A11)+1)&amp;""</f>
        <v/>
      </c>
      <c r="H11" s="4" t="str">
        <f>INDEX(Sheet1!$AN:$AN,ROWS($A$5:$A11)+1)&amp;""</f>
        <v/>
      </c>
      <c r="I11" s="6" t="str">
        <f>INDEX(Sheet1!$BA:$BA,ROWS($A$5:$A11)+1)&amp;""</f>
        <v/>
      </c>
      <c r="J11" s="4" t="str">
        <f>INDEX(Sheet1!$BB:$BB,ROWS($A$5:$A11)+1)&amp;""</f>
        <v/>
      </c>
      <c r="K11" s="6" t="str">
        <f>INDEX(Sheet1!$BO:$BO,ROWS($A$5:$A11)+1)&amp;""</f>
        <v/>
      </c>
      <c r="L11" s="4" t="str">
        <f>INDEX(Sheet1!$BP:$BP,ROWS($A$5:$A11)+1)&amp;""</f>
        <v/>
      </c>
      <c r="M11" s="10" t="str">
        <f>INDEX(Sheet1!$CB:$CB,ROWS($A$5:$A11)+1)&amp;""</f>
        <v/>
      </c>
      <c r="N11" s="7" t="str">
        <f>IF(INDEX(Sheet1!$CC:$CC,ROWS($A$5:$A11)+1)="","",INDEX(Sheet1!$CC:$CC,ROWS($A$5:$A11)+1))</f>
        <v/>
      </c>
    </row>
    <row r="12" spans="1:14" ht="20.100000000000001" customHeight="1" x14ac:dyDescent="0.15">
      <c r="A12" s="4" t="str">
        <f>IF(B12="","",IF(SUBTOTAL(103,B12)=0,"",SUBTOTAL(103,$B$5:B12)))</f>
        <v/>
      </c>
      <c r="B12" s="4" t="str">
        <f>INDEX(Sheet1!$B:$B,ROWS($A$5:$A12)+1)&amp;""</f>
        <v/>
      </c>
      <c r="C12" s="8" t="str">
        <f>INDEX(Sheet1!$O:$O,ROWS($A$5:$A12)+1)&amp;""</f>
        <v/>
      </c>
      <c r="D12" s="5" t="str">
        <f>INDEX(Sheet1!$T:$T,ROWS($A$5:$A12)+1)&amp;""</f>
        <v/>
      </c>
      <c r="E12" s="4" t="str">
        <f>INDEX(Sheet1!$Y:$Y,ROWS($A$5:$A12)+1)&amp;""</f>
        <v/>
      </c>
      <c r="F12" s="9" t="str">
        <f>INDEX(Sheet1!$AC:$AC,ROWS($A$5:$A12)+1)&amp;""</f>
        <v/>
      </c>
      <c r="G12" s="4" t="str">
        <f>INDEX(Sheet1!$AM:$AM,ROWS($A$5:$A12)+1)&amp;""</f>
        <v/>
      </c>
      <c r="H12" s="4" t="str">
        <f>INDEX(Sheet1!$AN:$AN,ROWS($A$5:$A12)+1)&amp;""</f>
        <v/>
      </c>
      <c r="I12" s="6" t="str">
        <f>INDEX(Sheet1!$BA:$BA,ROWS($A$5:$A12)+1)&amp;""</f>
        <v/>
      </c>
      <c r="J12" s="4" t="str">
        <f>INDEX(Sheet1!$BB:$BB,ROWS($A$5:$A12)+1)&amp;""</f>
        <v/>
      </c>
      <c r="K12" s="6" t="str">
        <f>INDEX(Sheet1!$BO:$BO,ROWS($A$5:$A12)+1)&amp;""</f>
        <v/>
      </c>
      <c r="L12" s="4" t="str">
        <f>INDEX(Sheet1!$BP:$BP,ROWS($A$5:$A12)+1)&amp;""</f>
        <v/>
      </c>
      <c r="M12" s="10" t="str">
        <f>INDEX(Sheet1!$CB:$CB,ROWS($A$5:$A12)+1)&amp;""</f>
        <v/>
      </c>
      <c r="N12" s="7" t="str">
        <f>IF(INDEX(Sheet1!$CC:$CC,ROWS($A$5:$A12)+1)="","",INDEX(Sheet1!$CC:$CC,ROWS($A$5:$A12)+1))</f>
        <v/>
      </c>
    </row>
    <row r="13" spans="1:14" ht="20.100000000000001" customHeight="1" x14ac:dyDescent="0.15">
      <c r="A13" s="4" t="str">
        <f>IF(B13="","",IF(SUBTOTAL(103,B13)=0,"",SUBTOTAL(103,$B$5:B13)))</f>
        <v/>
      </c>
      <c r="B13" s="4" t="str">
        <f>INDEX(Sheet1!$B:$B,ROWS($A$5:$A13)+1)&amp;""</f>
        <v/>
      </c>
      <c r="C13" s="8" t="str">
        <f>INDEX(Sheet1!$O:$O,ROWS($A$5:$A13)+1)&amp;""</f>
        <v/>
      </c>
      <c r="D13" s="5" t="str">
        <f>INDEX(Sheet1!$T:$T,ROWS($A$5:$A13)+1)&amp;""</f>
        <v/>
      </c>
      <c r="E13" s="4" t="str">
        <f>INDEX(Sheet1!$Y:$Y,ROWS($A$5:$A13)+1)&amp;""</f>
        <v/>
      </c>
      <c r="F13" s="9" t="str">
        <f>INDEX(Sheet1!$AC:$AC,ROWS($A$5:$A13)+1)&amp;""</f>
        <v/>
      </c>
      <c r="G13" s="4" t="str">
        <f>INDEX(Sheet1!$AM:$AM,ROWS($A$5:$A13)+1)&amp;""</f>
        <v/>
      </c>
      <c r="H13" s="4" t="str">
        <f>INDEX(Sheet1!$AN:$AN,ROWS($A$5:$A13)+1)&amp;""</f>
        <v/>
      </c>
      <c r="I13" s="6" t="str">
        <f>INDEX(Sheet1!$BA:$BA,ROWS($A$5:$A13)+1)&amp;""</f>
        <v/>
      </c>
      <c r="J13" s="4" t="str">
        <f>INDEX(Sheet1!$BB:$BB,ROWS($A$5:$A13)+1)&amp;""</f>
        <v/>
      </c>
      <c r="K13" s="6" t="str">
        <f>INDEX(Sheet1!$BO:$BO,ROWS($A$5:$A13)+1)&amp;""</f>
        <v/>
      </c>
      <c r="L13" s="4" t="str">
        <f>INDEX(Sheet1!$BP:$BP,ROWS($A$5:$A13)+1)&amp;""</f>
        <v/>
      </c>
      <c r="M13" s="10" t="str">
        <f>INDEX(Sheet1!$CB:$CB,ROWS($A$5:$A13)+1)&amp;""</f>
        <v/>
      </c>
      <c r="N13" s="7" t="str">
        <f>IF(INDEX(Sheet1!$CC:$CC,ROWS($A$5:$A13)+1)="","",INDEX(Sheet1!$CC:$CC,ROWS($A$5:$A13)+1))</f>
        <v/>
      </c>
    </row>
    <row r="14" spans="1:14" ht="20.100000000000001" customHeight="1" x14ac:dyDescent="0.15">
      <c r="A14" s="4" t="str">
        <f>IF(B14="","",IF(SUBTOTAL(103,B14)=0,"",SUBTOTAL(103,$B$5:B14)))</f>
        <v/>
      </c>
      <c r="B14" s="4" t="str">
        <f>INDEX(Sheet1!$B:$B,ROWS($A$5:$A14)+1)&amp;""</f>
        <v/>
      </c>
      <c r="C14" s="8" t="str">
        <f>INDEX(Sheet1!$O:$O,ROWS($A$5:$A14)+1)&amp;""</f>
        <v/>
      </c>
      <c r="D14" s="5" t="str">
        <f>INDEX(Sheet1!$T:$T,ROWS($A$5:$A14)+1)&amp;""</f>
        <v/>
      </c>
      <c r="E14" s="4" t="str">
        <f>INDEX(Sheet1!$Y:$Y,ROWS($A$5:$A14)+1)&amp;""</f>
        <v/>
      </c>
      <c r="F14" s="9" t="str">
        <f>INDEX(Sheet1!$AC:$AC,ROWS($A$5:$A14)+1)&amp;""</f>
        <v/>
      </c>
      <c r="G14" s="4" t="str">
        <f>INDEX(Sheet1!$AM:$AM,ROWS($A$5:$A14)+1)&amp;""</f>
        <v/>
      </c>
      <c r="H14" s="4" t="str">
        <f>INDEX(Sheet1!$AN:$AN,ROWS($A$5:$A14)+1)&amp;""</f>
        <v/>
      </c>
      <c r="I14" s="6" t="str">
        <f>INDEX(Sheet1!$BA:$BA,ROWS($A$5:$A14)+1)&amp;""</f>
        <v/>
      </c>
      <c r="J14" s="4" t="str">
        <f>INDEX(Sheet1!$BB:$BB,ROWS($A$5:$A14)+1)&amp;""</f>
        <v/>
      </c>
      <c r="K14" s="6" t="str">
        <f>INDEX(Sheet1!$BO:$BO,ROWS($A$5:$A14)+1)&amp;""</f>
        <v/>
      </c>
      <c r="L14" s="4" t="str">
        <f>INDEX(Sheet1!$BP:$BP,ROWS($A$5:$A14)+1)&amp;""</f>
        <v/>
      </c>
      <c r="M14" s="10" t="str">
        <f>INDEX(Sheet1!$CB:$CB,ROWS($A$5:$A14)+1)&amp;""</f>
        <v/>
      </c>
      <c r="N14" s="7" t="str">
        <f>IF(INDEX(Sheet1!$CC:$CC,ROWS($A$5:$A14)+1)="","",INDEX(Sheet1!$CC:$CC,ROWS($A$5:$A14)+1))</f>
        <v/>
      </c>
    </row>
    <row r="15" spans="1:14" ht="20.100000000000001" customHeight="1" x14ac:dyDescent="0.15">
      <c r="A15" s="4" t="str">
        <f>IF(B15="","",IF(SUBTOTAL(103,B15)=0,"",SUBTOTAL(103,$B$5:B15)))</f>
        <v/>
      </c>
      <c r="B15" s="4" t="str">
        <f>INDEX(Sheet1!$B:$B,ROWS($A$5:$A15)+1)&amp;""</f>
        <v/>
      </c>
      <c r="C15" s="8" t="str">
        <f>INDEX(Sheet1!$O:$O,ROWS($A$5:$A15)+1)&amp;""</f>
        <v/>
      </c>
      <c r="D15" s="5" t="str">
        <f>INDEX(Sheet1!$T:$T,ROWS($A$5:$A15)+1)&amp;""</f>
        <v/>
      </c>
      <c r="E15" s="4" t="str">
        <f>INDEX(Sheet1!$Y:$Y,ROWS($A$5:$A15)+1)&amp;""</f>
        <v/>
      </c>
      <c r="F15" s="9" t="str">
        <f>INDEX(Sheet1!$AC:$AC,ROWS($A$5:$A15)+1)&amp;""</f>
        <v/>
      </c>
      <c r="G15" s="4" t="str">
        <f>INDEX(Sheet1!$AM:$AM,ROWS($A$5:$A15)+1)&amp;""</f>
        <v/>
      </c>
      <c r="H15" s="4" t="str">
        <f>INDEX(Sheet1!$AN:$AN,ROWS($A$5:$A15)+1)&amp;""</f>
        <v/>
      </c>
      <c r="I15" s="6" t="str">
        <f>INDEX(Sheet1!$BA:$BA,ROWS($A$5:$A15)+1)&amp;""</f>
        <v/>
      </c>
      <c r="J15" s="4" t="str">
        <f>INDEX(Sheet1!$BB:$BB,ROWS($A$5:$A15)+1)&amp;""</f>
        <v/>
      </c>
      <c r="K15" s="6" t="str">
        <f>INDEX(Sheet1!$BO:$BO,ROWS($A$5:$A15)+1)&amp;""</f>
        <v/>
      </c>
      <c r="L15" s="4" t="str">
        <f>INDEX(Sheet1!$BP:$BP,ROWS($A$5:$A15)+1)&amp;""</f>
        <v/>
      </c>
      <c r="M15" s="10" t="str">
        <f>INDEX(Sheet1!$CB:$CB,ROWS($A$5:$A15)+1)&amp;""</f>
        <v/>
      </c>
      <c r="N15" s="7" t="str">
        <f>IF(INDEX(Sheet1!$CC:$CC,ROWS($A$5:$A15)+1)="","",INDEX(Sheet1!$CC:$CC,ROWS($A$5:$A15)+1))</f>
        <v/>
      </c>
    </row>
    <row r="16" spans="1:14" ht="20.100000000000001" customHeight="1" x14ac:dyDescent="0.15">
      <c r="A16" s="4" t="str">
        <f>IF(B16="","",IF(SUBTOTAL(103,B16)=0,"",SUBTOTAL(103,$B$5:B16)))</f>
        <v/>
      </c>
      <c r="B16" s="4" t="str">
        <f>INDEX(Sheet1!$B:$B,ROWS($A$5:$A16)+1)&amp;""</f>
        <v/>
      </c>
      <c r="C16" s="8" t="str">
        <f>INDEX(Sheet1!$O:$O,ROWS($A$5:$A16)+1)&amp;""</f>
        <v/>
      </c>
      <c r="D16" s="5" t="str">
        <f>INDEX(Sheet1!$T:$T,ROWS($A$5:$A16)+1)&amp;""</f>
        <v/>
      </c>
      <c r="E16" s="4" t="str">
        <f>INDEX(Sheet1!$Y:$Y,ROWS($A$5:$A16)+1)&amp;""</f>
        <v/>
      </c>
      <c r="F16" s="9" t="str">
        <f>INDEX(Sheet1!$AC:$AC,ROWS($A$5:$A16)+1)&amp;""</f>
        <v/>
      </c>
      <c r="G16" s="4" t="str">
        <f>INDEX(Sheet1!$AM:$AM,ROWS($A$5:$A16)+1)&amp;""</f>
        <v/>
      </c>
      <c r="H16" s="4" t="str">
        <f>INDEX(Sheet1!$AN:$AN,ROWS($A$5:$A16)+1)&amp;""</f>
        <v/>
      </c>
      <c r="I16" s="6" t="str">
        <f>INDEX(Sheet1!$BA:$BA,ROWS($A$5:$A16)+1)&amp;""</f>
        <v/>
      </c>
      <c r="J16" s="4" t="str">
        <f>INDEX(Sheet1!$BB:$BB,ROWS($A$5:$A16)+1)&amp;""</f>
        <v/>
      </c>
      <c r="K16" s="6" t="str">
        <f>INDEX(Sheet1!$BO:$BO,ROWS($A$5:$A16)+1)&amp;""</f>
        <v/>
      </c>
      <c r="L16" s="4" t="str">
        <f>INDEX(Sheet1!$BP:$BP,ROWS($A$5:$A16)+1)&amp;""</f>
        <v/>
      </c>
      <c r="M16" s="10" t="str">
        <f>INDEX(Sheet1!$CB:$CB,ROWS($A$5:$A16)+1)&amp;""</f>
        <v/>
      </c>
      <c r="N16" s="7" t="str">
        <f>IF(INDEX(Sheet1!$CC:$CC,ROWS($A$5:$A16)+1)="","",INDEX(Sheet1!$CC:$CC,ROWS($A$5:$A16)+1))</f>
        <v/>
      </c>
    </row>
    <row r="17" spans="1:14" ht="20.100000000000001" customHeight="1" x14ac:dyDescent="0.15">
      <c r="A17" s="4" t="str">
        <f>IF(B17="","",IF(SUBTOTAL(103,B17)=0,"",SUBTOTAL(103,$B$5:B17)))</f>
        <v/>
      </c>
      <c r="B17" s="4" t="str">
        <f>INDEX(Sheet1!$B:$B,ROWS($A$5:$A17)+1)&amp;""</f>
        <v/>
      </c>
      <c r="C17" s="8" t="str">
        <f>INDEX(Sheet1!$O:$O,ROWS($A$5:$A17)+1)&amp;""</f>
        <v/>
      </c>
      <c r="D17" s="5" t="str">
        <f>INDEX(Sheet1!$T:$T,ROWS($A$5:$A17)+1)&amp;""</f>
        <v/>
      </c>
      <c r="E17" s="4" t="str">
        <f>INDEX(Sheet1!$Y:$Y,ROWS($A$5:$A17)+1)&amp;""</f>
        <v/>
      </c>
      <c r="F17" s="9" t="str">
        <f>INDEX(Sheet1!$AC:$AC,ROWS($A$5:$A17)+1)&amp;""</f>
        <v/>
      </c>
      <c r="G17" s="4" t="str">
        <f>INDEX(Sheet1!$AM:$AM,ROWS($A$5:$A17)+1)&amp;""</f>
        <v/>
      </c>
      <c r="H17" s="4" t="str">
        <f>INDEX(Sheet1!$AN:$AN,ROWS($A$5:$A17)+1)&amp;""</f>
        <v/>
      </c>
      <c r="I17" s="6" t="str">
        <f>INDEX(Sheet1!$BA:$BA,ROWS($A$5:$A17)+1)&amp;""</f>
        <v/>
      </c>
      <c r="J17" s="4" t="str">
        <f>INDEX(Sheet1!$BB:$BB,ROWS($A$5:$A17)+1)&amp;""</f>
        <v/>
      </c>
      <c r="K17" s="6" t="str">
        <f>INDEX(Sheet1!$BO:$BO,ROWS($A$5:$A17)+1)&amp;""</f>
        <v/>
      </c>
      <c r="L17" s="4" t="str">
        <f>INDEX(Sheet1!$BP:$BP,ROWS($A$5:$A17)+1)&amp;""</f>
        <v/>
      </c>
      <c r="M17" s="10" t="str">
        <f>INDEX(Sheet1!$CB:$CB,ROWS($A$5:$A17)+1)&amp;""</f>
        <v/>
      </c>
      <c r="N17" s="7" t="str">
        <f>IF(INDEX(Sheet1!$CC:$CC,ROWS($A$5:$A17)+1)="","",INDEX(Sheet1!$CC:$CC,ROWS($A$5:$A17)+1))</f>
        <v/>
      </c>
    </row>
    <row r="18" spans="1:14" ht="20.100000000000001" customHeight="1" x14ac:dyDescent="0.15">
      <c r="A18" s="4" t="str">
        <f>IF(B18="","",IF(SUBTOTAL(103,B18)=0,"",SUBTOTAL(103,$B$5:B18)))</f>
        <v/>
      </c>
      <c r="B18" s="4" t="str">
        <f>INDEX(Sheet1!$B:$B,ROWS($A$5:$A18)+1)&amp;""</f>
        <v/>
      </c>
      <c r="C18" s="8" t="str">
        <f>INDEX(Sheet1!$O:$O,ROWS($A$5:$A18)+1)&amp;""</f>
        <v/>
      </c>
      <c r="D18" s="5" t="str">
        <f>INDEX(Sheet1!$T:$T,ROWS($A$5:$A18)+1)&amp;""</f>
        <v/>
      </c>
      <c r="E18" s="4" t="str">
        <f>INDEX(Sheet1!$Y:$Y,ROWS($A$5:$A18)+1)&amp;""</f>
        <v/>
      </c>
      <c r="F18" s="9" t="str">
        <f>INDEX(Sheet1!$AC:$AC,ROWS($A$5:$A18)+1)&amp;""</f>
        <v/>
      </c>
      <c r="G18" s="4" t="str">
        <f>INDEX(Sheet1!$AM:$AM,ROWS($A$5:$A18)+1)&amp;""</f>
        <v/>
      </c>
      <c r="H18" s="4" t="str">
        <f>INDEX(Sheet1!$AN:$AN,ROWS($A$5:$A18)+1)&amp;""</f>
        <v/>
      </c>
      <c r="I18" s="6" t="str">
        <f>INDEX(Sheet1!$BA:$BA,ROWS($A$5:$A18)+1)&amp;""</f>
        <v/>
      </c>
      <c r="J18" s="4" t="str">
        <f>INDEX(Sheet1!$BB:$BB,ROWS($A$5:$A18)+1)&amp;""</f>
        <v/>
      </c>
      <c r="K18" s="6" t="str">
        <f>INDEX(Sheet1!$BO:$BO,ROWS($A$5:$A18)+1)&amp;""</f>
        <v/>
      </c>
      <c r="L18" s="4" t="str">
        <f>INDEX(Sheet1!$BP:$BP,ROWS($A$5:$A18)+1)&amp;""</f>
        <v/>
      </c>
      <c r="M18" s="10" t="str">
        <f>INDEX(Sheet1!$CB:$CB,ROWS($A$5:$A18)+1)&amp;""</f>
        <v/>
      </c>
      <c r="N18" s="7" t="str">
        <f>IF(INDEX(Sheet1!$CC:$CC,ROWS($A$5:$A18)+1)="","",INDEX(Sheet1!$CC:$CC,ROWS($A$5:$A18)+1))</f>
        <v/>
      </c>
    </row>
    <row r="19" spans="1:14" ht="20.100000000000001" customHeight="1" x14ac:dyDescent="0.15">
      <c r="A19" s="4" t="str">
        <f>IF(B19="","",IF(SUBTOTAL(103,B19)=0,"",SUBTOTAL(103,$B$5:B19)))</f>
        <v/>
      </c>
      <c r="B19" s="4" t="str">
        <f>INDEX(Sheet1!$B:$B,ROWS($A$5:$A19)+1)&amp;""</f>
        <v/>
      </c>
      <c r="C19" s="8" t="str">
        <f>INDEX(Sheet1!$O:$O,ROWS($A$5:$A19)+1)&amp;""</f>
        <v/>
      </c>
      <c r="D19" s="5" t="str">
        <f>INDEX(Sheet1!$T:$T,ROWS($A$5:$A19)+1)&amp;""</f>
        <v/>
      </c>
      <c r="E19" s="4" t="str">
        <f>INDEX(Sheet1!$Y:$Y,ROWS($A$5:$A19)+1)&amp;""</f>
        <v/>
      </c>
      <c r="F19" s="9" t="str">
        <f>INDEX(Sheet1!$AC:$AC,ROWS($A$5:$A19)+1)&amp;""</f>
        <v/>
      </c>
      <c r="G19" s="4" t="str">
        <f>INDEX(Sheet1!$AM:$AM,ROWS($A$5:$A19)+1)&amp;""</f>
        <v/>
      </c>
      <c r="H19" s="4" t="str">
        <f>INDEX(Sheet1!$AN:$AN,ROWS($A$5:$A19)+1)&amp;""</f>
        <v/>
      </c>
      <c r="I19" s="6" t="str">
        <f>INDEX(Sheet1!$BA:$BA,ROWS($A$5:$A19)+1)&amp;""</f>
        <v/>
      </c>
      <c r="J19" s="4" t="str">
        <f>INDEX(Sheet1!$BB:$BB,ROWS($A$5:$A19)+1)&amp;""</f>
        <v/>
      </c>
      <c r="K19" s="6" t="str">
        <f>INDEX(Sheet1!$BO:$BO,ROWS($A$5:$A19)+1)&amp;""</f>
        <v/>
      </c>
      <c r="L19" s="4" t="str">
        <f>INDEX(Sheet1!$BP:$BP,ROWS($A$5:$A19)+1)&amp;""</f>
        <v/>
      </c>
      <c r="M19" s="10" t="str">
        <f>INDEX(Sheet1!$CB:$CB,ROWS($A$5:$A19)+1)&amp;""</f>
        <v/>
      </c>
      <c r="N19" s="7" t="str">
        <f>IF(INDEX(Sheet1!$CC:$CC,ROWS($A$5:$A19)+1)="","",INDEX(Sheet1!$CC:$CC,ROWS($A$5:$A19)+1))</f>
        <v/>
      </c>
    </row>
    <row r="20" spans="1:14" ht="20.100000000000001" customHeight="1" x14ac:dyDescent="0.15">
      <c r="A20" s="4" t="str">
        <f>IF(B20="","",IF(SUBTOTAL(103,B20)=0,"",SUBTOTAL(103,$B$5:B20)))</f>
        <v/>
      </c>
      <c r="B20" s="4" t="str">
        <f>INDEX(Sheet1!$B:$B,ROWS($A$5:$A20)+1)&amp;""</f>
        <v/>
      </c>
      <c r="C20" s="8" t="str">
        <f>INDEX(Sheet1!$O:$O,ROWS($A$5:$A20)+1)&amp;""</f>
        <v/>
      </c>
      <c r="D20" s="5" t="str">
        <f>INDEX(Sheet1!$T:$T,ROWS($A$5:$A20)+1)&amp;""</f>
        <v/>
      </c>
      <c r="E20" s="4" t="str">
        <f>INDEX(Sheet1!$Y:$Y,ROWS($A$5:$A20)+1)&amp;""</f>
        <v/>
      </c>
      <c r="F20" s="9" t="str">
        <f>INDEX(Sheet1!$AC:$AC,ROWS($A$5:$A20)+1)&amp;""</f>
        <v/>
      </c>
      <c r="G20" s="4" t="str">
        <f>INDEX(Sheet1!$AM:$AM,ROWS($A$5:$A20)+1)&amp;""</f>
        <v/>
      </c>
      <c r="H20" s="4" t="str">
        <f>INDEX(Sheet1!$AN:$AN,ROWS($A$5:$A20)+1)&amp;""</f>
        <v/>
      </c>
      <c r="I20" s="6" t="str">
        <f>INDEX(Sheet1!$BA:$BA,ROWS($A$5:$A20)+1)&amp;""</f>
        <v/>
      </c>
      <c r="J20" s="4" t="str">
        <f>INDEX(Sheet1!$BB:$BB,ROWS($A$5:$A20)+1)&amp;""</f>
        <v/>
      </c>
      <c r="K20" s="6" t="str">
        <f>INDEX(Sheet1!$BO:$BO,ROWS($A$5:$A20)+1)&amp;""</f>
        <v/>
      </c>
      <c r="L20" s="4" t="str">
        <f>INDEX(Sheet1!$BP:$BP,ROWS($A$5:$A20)+1)&amp;""</f>
        <v/>
      </c>
      <c r="M20" s="10" t="str">
        <f>INDEX(Sheet1!$CB:$CB,ROWS($A$5:$A20)+1)&amp;""</f>
        <v/>
      </c>
      <c r="N20" s="7" t="str">
        <f>IF(INDEX(Sheet1!$CC:$CC,ROWS($A$5:$A20)+1)="","",INDEX(Sheet1!$CC:$CC,ROWS($A$5:$A20)+1))</f>
        <v/>
      </c>
    </row>
    <row r="21" spans="1:14" ht="20.100000000000001" customHeight="1" x14ac:dyDescent="0.15">
      <c r="A21" s="4" t="str">
        <f>IF(B21="","",IF(SUBTOTAL(103,B21)=0,"",SUBTOTAL(103,$B$5:B21)))</f>
        <v/>
      </c>
      <c r="B21" s="4" t="str">
        <f>INDEX(Sheet1!$B:$B,ROWS($A$5:$A21)+1)&amp;""</f>
        <v/>
      </c>
      <c r="C21" s="8" t="str">
        <f>INDEX(Sheet1!$O:$O,ROWS($A$5:$A21)+1)&amp;""</f>
        <v/>
      </c>
      <c r="D21" s="5" t="str">
        <f>INDEX(Sheet1!$T:$T,ROWS($A$5:$A21)+1)&amp;""</f>
        <v/>
      </c>
      <c r="E21" s="4" t="str">
        <f>INDEX(Sheet1!$Y:$Y,ROWS($A$5:$A21)+1)&amp;""</f>
        <v/>
      </c>
      <c r="F21" s="9" t="str">
        <f>INDEX(Sheet1!$AC:$AC,ROWS($A$5:$A21)+1)&amp;""</f>
        <v/>
      </c>
      <c r="G21" s="4" t="str">
        <f>INDEX(Sheet1!$AM:$AM,ROWS($A$5:$A21)+1)&amp;""</f>
        <v/>
      </c>
      <c r="H21" s="4" t="str">
        <f>INDEX(Sheet1!$AN:$AN,ROWS($A$5:$A21)+1)&amp;""</f>
        <v/>
      </c>
      <c r="I21" s="6" t="str">
        <f>INDEX(Sheet1!$BA:$BA,ROWS($A$5:$A21)+1)&amp;""</f>
        <v/>
      </c>
      <c r="J21" s="4" t="str">
        <f>INDEX(Sheet1!$BB:$BB,ROWS($A$5:$A21)+1)&amp;""</f>
        <v/>
      </c>
      <c r="K21" s="6" t="str">
        <f>INDEX(Sheet1!$BO:$BO,ROWS($A$5:$A21)+1)&amp;""</f>
        <v/>
      </c>
      <c r="L21" s="4" t="str">
        <f>INDEX(Sheet1!$BP:$BP,ROWS($A$5:$A21)+1)&amp;""</f>
        <v/>
      </c>
      <c r="M21" s="10" t="str">
        <f>INDEX(Sheet1!$CB:$CB,ROWS($A$5:$A21)+1)&amp;""</f>
        <v/>
      </c>
      <c r="N21" s="7" t="str">
        <f>IF(INDEX(Sheet1!$CC:$CC,ROWS($A$5:$A21)+1)="","",INDEX(Sheet1!$CC:$CC,ROWS($A$5:$A21)+1))</f>
        <v/>
      </c>
    </row>
    <row r="22" spans="1:14" ht="20.100000000000001" customHeight="1" x14ac:dyDescent="0.15">
      <c r="A22" s="4" t="str">
        <f>IF(B22="","",IF(SUBTOTAL(103,B22)=0,"",SUBTOTAL(103,$B$5:B22)))</f>
        <v/>
      </c>
      <c r="B22" s="4" t="str">
        <f>INDEX(Sheet1!$B:$B,ROWS($A$5:$A22)+1)&amp;""</f>
        <v/>
      </c>
      <c r="C22" s="8" t="str">
        <f>INDEX(Sheet1!$O:$O,ROWS($A$5:$A22)+1)&amp;""</f>
        <v/>
      </c>
      <c r="D22" s="5" t="str">
        <f>INDEX(Sheet1!$T:$T,ROWS($A$5:$A22)+1)&amp;""</f>
        <v/>
      </c>
      <c r="E22" s="4" t="str">
        <f>INDEX(Sheet1!$Y:$Y,ROWS($A$5:$A22)+1)&amp;""</f>
        <v/>
      </c>
      <c r="F22" s="9" t="str">
        <f>INDEX(Sheet1!$AC:$AC,ROWS($A$5:$A22)+1)&amp;""</f>
        <v/>
      </c>
      <c r="G22" s="4" t="str">
        <f>INDEX(Sheet1!$AM:$AM,ROWS($A$5:$A22)+1)&amp;""</f>
        <v/>
      </c>
      <c r="H22" s="4" t="str">
        <f>INDEX(Sheet1!$AN:$AN,ROWS($A$5:$A22)+1)&amp;""</f>
        <v/>
      </c>
      <c r="I22" s="6" t="str">
        <f>INDEX(Sheet1!$BA:$BA,ROWS($A$5:$A22)+1)&amp;""</f>
        <v/>
      </c>
      <c r="J22" s="4" t="str">
        <f>INDEX(Sheet1!$BB:$BB,ROWS($A$5:$A22)+1)&amp;""</f>
        <v/>
      </c>
      <c r="K22" s="6" t="str">
        <f>INDEX(Sheet1!$BO:$BO,ROWS($A$5:$A22)+1)&amp;""</f>
        <v/>
      </c>
      <c r="L22" s="4" t="str">
        <f>INDEX(Sheet1!$BP:$BP,ROWS($A$5:$A22)+1)&amp;""</f>
        <v/>
      </c>
      <c r="M22" s="10" t="str">
        <f>INDEX(Sheet1!$CB:$CB,ROWS($A$5:$A22)+1)&amp;""</f>
        <v/>
      </c>
      <c r="N22" s="7" t="str">
        <f>IF(INDEX(Sheet1!$CC:$CC,ROWS($A$5:$A22)+1)="","",INDEX(Sheet1!$CC:$CC,ROWS($A$5:$A22)+1))</f>
        <v/>
      </c>
    </row>
    <row r="23" spans="1:14" ht="20.100000000000001" customHeight="1" x14ac:dyDescent="0.15">
      <c r="A23" s="4" t="str">
        <f>IF(B23="","",IF(SUBTOTAL(103,B23)=0,"",SUBTOTAL(103,$B$5:B23)))</f>
        <v/>
      </c>
      <c r="B23" s="4" t="str">
        <f>INDEX(Sheet1!$B:$B,ROWS($A$5:$A23)+1)&amp;""</f>
        <v/>
      </c>
      <c r="C23" s="8" t="str">
        <f>INDEX(Sheet1!$O:$O,ROWS($A$5:$A23)+1)&amp;""</f>
        <v/>
      </c>
      <c r="D23" s="5" t="str">
        <f>INDEX(Sheet1!$T:$T,ROWS($A$5:$A23)+1)&amp;""</f>
        <v/>
      </c>
      <c r="E23" s="4" t="str">
        <f>INDEX(Sheet1!$Y:$Y,ROWS($A$5:$A23)+1)&amp;""</f>
        <v/>
      </c>
      <c r="F23" s="9" t="str">
        <f>INDEX(Sheet1!$AC:$AC,ROWS($A$5:$A23)+1)&amp;""</f>
        <v/>
      </c>
      <c r="G23" s="4" t="str">
        <f>INDEX(Sheet1!$AM:$AM,ROWS($A$5:$A23)+1)&amp;""</f>
        <v/>
      </c>
      <c r="H23" s="4" t="str">
        <f>INDEX(Sheet1!$AN:$AN,ROWS($A$5:$A23)+1)&amp;""</f>
        <v/>
      </c>
      <c r="I23" s="6" t="str">
        <f>INDEX(Sheet1!$BA:$BA,ROWS($A$5:$A23)+1)&amp;""</f>
        <v/>
      </c>
      <c r="J23" s="4" t="str">
        <f>INDEX(Sheet1!$BB:$BB,ROWS($A$5:$A23)+1)&amp;""</f>
        <v/>
      </c>
      <c r="K23" s="6" t="str">
        <f>INDEX(Sheet1!$BO:$BO,ROWS($A$5:$A23)+1)&amp;""</f>
        <v/>
      </c>
      <c r="L23" s="4" t="str">
        <f>INDEX(Sheet1!$BP:$BP,ROWS($A$5:$A23)+1)&amp;""</f>
        <v/>
      </c>
      <c r="M23" s="10" t="str">
        <f>INDEX(Sheet1!$CB:$CB,ROWS($A$5:$A23)+1)&amp;""</f>
        <v/>
      </c>
      <c r="N23" s="7" t="str">
        <f>IF(INDEX(Sheet1!$CC:$CC,ROWS($A$5:$A23)+1)="","",INDEX(Sheet1!$CC:$CC,ROWS($A$5:$A23)+1))</f>
        <v/>
      </c>
    </row>
    <row r="24" spans="1:14" ht="20.100000000000001" customHeight="1" x14ac:dyDescent="0.15">
      <c r="A24" s="4" t="str">
        <f>IF(B24="","",IF(SUBTOTAL(103,B24)=0,"",SUBTOTAL(103,$B$5:B24)))</f>
        <v/>
      </c>
      <c r="B24" s="4" t="str">
        <f>INDEX(Sheet1!$B:$B,ROWS($A$5:$A24)+1)&amp;""</f>
        <v/>
      </c>
      <c r="C24" s="8" t="str">
        <f>INDEX(Sheet1!$O:$O,ROWS($A$5:$A24)+1)&amp;""</f>
        <v/>
      </c>
      <c r="D24" s="5" t="str">
        <f>INDEX(Sheet1!$T:$T,ROWS($A$5:$A24)+1)&amp;""</f>
        <v/>
      </c>
      <c r="E24" s="4" t="str">
        <f>INDEX(Sheet1!$Y:$Y,ROWS($A$5:$A24)+1)&amp;""</f>
        <v/>
      </c>
      <c r="F24" s="9" t="str">
        <f>INDEX(Sheet1!$AC:$AC,ROWS($A$5:$A24)+1)&amp;""</f>
        <v/>
      </c>
      <c r="G24" s="4" t="str">
        <f>INDEX(Sheet1!$AM:$AM,ROWS($A$5:$A24)+1)&amp;""</f>
        <v/>
      </c>
      <c r="H24" s="4" t="str">
        <f>INDEX(Sheet1!$AN:$AN,ROWS($A$5:$A24)+1)&amp;""</f>
        <v/>
      </c>
      <c r="I24" s="6" t="str">
        <f>INDEX(Sheet1!$BA:$BA,ROWS($A$5:$A24)+1)&amp;""</f>
        <v/>
      </c>
      <c r="J24" s="4" t="str">
        <f>INDEX(Sheet1!$BB:$BB,ROWS($A$5:$A24)+1)&amp;""</f>
        <v/>
      </c>
      <c r="K24" s="6" t="str">
        <f>INDEX(Sheet1!$BO:$BO,ROWS($A$5:$A24)+1)&amp;""</f>
        <v/>
      </c>
      <c r="L24" s="4" t="str">
        <f>INDEX(Sheet1!$BP:$BP,ROWS($A$5:$A24)+1)&amp;""</f>
        <v/>
      </c>
      <c r="M24" s="10" t="str">
        <f>INDEX(Sheet1!$CB:$CB,ROWS($A$5:$A24)+1)&amp;""</f>
        <v/>
      </c>
      <c r="N24" s="7" t="str">
        <f>IF(INDEX(Sheet1!$CC:$CC,ROWS($A$5:$A24)+1)="","",INDEX(Sheet1!$CC:$CC,ROWS($A$5:$A24)+1))</f>
        <v/>
      </c>
    </row>
    <row r="25" spans="1:14" ht="20.100000000000001" customHeight="1" x14ac:dyDescent="0.15">
      <c r="A25" s="4" t="str">
        <f>IF(B25="","",IF(SUBTOTAL(103,B25)=0,"",SUBTOTAL(103,$B$5:B25)))</f>
        <v/>
      </c>
      <c r="B25" s="4" t="str">
        <f>INDEX(Sheet1!$B:$B,ROWS($A$5:$A25)+1)&amp;""</f>
        <v/>
      </c>
      <c r="C25" s="8" t="str">
        <f>INDEX(Sheet1!$O:$O,ROWS($A$5:$A25)+1)&amp;""</f>
        <v/>
      </c>
      <c r="D25" s="5" t="str">
        <f>INDEX(Sheet1!$T:$T,ROWS($A$5:$A25)+1)&amp;""</f>
        <v/>
      </c>
      <c r="E25" s="4" t="str">
        <f>INDEX(Sheet1!$Y:$Y,ROWS($A$5:$A25)+1)&amp;""</f>
        <v/>
      </c>
      <c r="F25" s="9" t="str">
        <f>INDEX(Sheet1!$AC:$AC,ROWS($A$5:$A25)+1)&amp;""</f>
        <v/>
      </c>
      <c r="G25" s="4" t="str">
        <f>INDEX(Sheet1!$AM:$AM,ROWS($A$5:$A25)+1)&amp;""</f>
        <v/>
      </c>
      <c r="H25" s="4" t="str">
        <f>INDEX(Sheet1!$AN:$AN,ROWS($A$5:$A25)+1)&amp;""</f>
        <v/>
      </c>
      <c r="I25" s="6" t="str">
        <f>INDEX(Sheet1!$BA:$BA,ROWS($A$5:$A25)+1)&amp;""</f>
        <v/>
      </c>
      <c r="J25" s="4" t="str">
        <f>INDEX(Sheet1!$BB:$BB,ROWS($A$5:$A25)+1)&amp;""</f>
        <v/>
      </c>
      <c r="K25" s="6" t="str">
        <f>INDEX(Sheet1!$BO:$BO,ROWS($A$5:$A25)+1)&amp;""</f>
        <v/>
      </c>
      <c r="L25" s="4" t="str">
        <f>INDEX(Sheet1!$BP:$BP,ROWS($A$5:$A25)+1)&amp;""</f>
        <v/>
      </c>
      <c r="M25" s="10" t="str">
        <f>INDEX(Sheet1!$CB:$CB,ROWS($A$5:$A25)+1)&amp;""</f>
        <v/>
      </c>
      <c r="N25" s="7" t="str">
        <f>IF(INDEX(Sheet1!$CC:$CC,ROWS($A$5:$A25)+1)="","",INDEX(Sheet1!$CC:$CC,ROWS($A$5:$A25)+1))</f>
        <v/>
      </c>
    </row>
    <row r="26" spans="1:14" ht="20.100000000000001" customHeight="1" x14ac:dyDescent="0.15">
      <c r="A26" s="4" t="str">
        <f>IF(B26="","",IF(SUBTOTAL(103,B26)=0,"",SUBTOTAL(103,$B$5:B26)))</f>
        <v/>
      </c>
      <c r="B26" s="4" t="str">
        <f>INDEX(Sheet1!$B:$B,ROWS($A$5:$A26)+1)&amp;""</f>
        <v/>
      </c>
      <c r="C26" s="8" t="str">
        <f>INDEX(Sheet1!$O:$O,ROWS($A$5:$A26)+1)&amp;""</f>
        <v/>
      </c>
      <c r="D26" s="5" t="str">
        <f>INDEX(Sheet1!$T:$T,ROWS($A$5:$A26)+1)&amp;""</f>
        <v/>
      </c>
      <c r="E26" s="4" t="str">
        <f>INDEX(Sheet1!$Y:$Y,ROWS($A$5:$A26)+1)&amp;""</f>
        <v/>
      </c>
      <c r="F26" s="9" t="str">
        <f>INDEX(Sheet1!$AC:$AC,ROWS($A$5:$A26)+1)&amp;""</f>
        <v/>
      </c>
      <c r="G26" s="4" t="str">
        <f>INDEX(Sheet1!$AM:$AM,ROWS($A$5:$A26)+1)&amp;""</f>
        <v/>
      </c>
      <c r="H26" s="4" t="str">
        <f>INDEX(Sheet1!$AN:$AN,ROWS($A$5:$A26)+1)&amp;""</f>
        <v/>
      </c>
      <c r="I26" s="6" t="str">
        <f>INDEX(Sheet1!$BA:$BA,ROWS($A$5:$A26)+1)&amp;""</f>
        <v/>
      </c>
      <c r="J26" s="4" t="str">
        <f>INDEX(Sheet1!$BB:$BB,ROWS($A$5:$A26)+1)&amp;""</f>
        <v/>
      </c>
      <c r="K26" s="6" t="str">
        <f>INDEX(Sheet1!$BO:$BO,ROWS($A$5:$A26)+1)&amp;""</f>
        <v/>
      </c>
      <c r="L26" s="4" t="str">
        <f>INDEX(Sheet1!$BP:$BP,ROWS($A$5:$A26)+1)&amp;""</f>
        <v/>
      </c>
      <c r="M26" s="10" t="str">
        <f>INDEX(Sheet1!$CB:$CB,ROWS($A$5:$A26)+1)&amp;""</f>
        <v/>
      </c>
      <c r="N26" s="7" t="str">
        <f>IF(INDEX(Sheet1!$CC:$CC,ROWS($A$5:$A26)+1)="","",INDEX(Sheet1!$CC:$CC,ROWS($A$5:$A26)+1))</f>
        <v/>
      </c>
    </row>
    <row r="27" spans="1:14" ht="20.100000000000001" customHeight="1" x14ac:dyDescent="0.15">
      <c r="A27" s="4" t="str">
        <f>IF(B27="","",IF(SUBTOTAL(103,B27)=0,"",SUBTOTAL(103,$B$5:B27)))</f>
        <v/>
      </c>
      <c r="B27" s="4" t="str">
        <f>INDEX(Sheet1!$B:$B,ROWS($A$5:$A27)+1)&amp;""</f>
        <v/>
      </c>
      <c r="C27" s="8" t="str">
        <f>INDEX(Sheet1!$O:$O,ROWS($A$5:$A27)+1)&amp;""</f>
        <v/>
      </c>
      <c r="D27" s="5" t="str">
        <f>INDEX(Sheet1!$T:$T,ROWS($A$5:$A27)+1)&amp;""</f>
        <v/>
      </c>
      <c r="E27" s="4" t="str">
        <f>INDEX(Sheet1!$Y:$Y,ROWS($A$5:$A27)+1)&amp;""</f>
        <v/>
      </c>
      <c r="F27" s="9" t="str">
        <f>INDEX(Sheet1!$AC:$AC,ROWS($A$5:$A27)+1)&amp;""</f>
        <v/>
      </c>
      <c r="G27" s="4" t="str">
        <f>INDEX(Sheet1!$AM:$AM,ROWS($A$5:$A27)+1)&amp;""</f>
        <v/>
      </c>
      <c r="H27" s="4" t="str">
        <f>INDEX(Sheet1!$AN:$AN,ROWS($A$5:$A27)+1)&amp;""</f>
        <v/>
      </c>
      <c r="I27" s="6" t="str">
        <f>INDEX(Sheet1!$BA:$BA,ROWS($A$5:$A27)+1)&amp;""</f>
        <v/>
      </c>
      <c r="J27" s="4" t="str">
        <f>INDEX(Sheet1!$BB:$BB,ROWS($A$5:$A27)+1)&amp;""</f>
        <v/>
      </c>
      <c r="K27" s="6" t="str">
        <f>INDEX(Sheet1!$BO:$BO,ROWS($A$5:$A27)+1)&amp;""</f>
        <v/>
      </c>
      <c r="L27" s="4" t="str">
        <f>INDEX(Sheet1!$BP:$BP,ROWS($A$5:$A27)+1)&amp;""</f>
        <v/>
      </c>
      <c r="M27" s="10" t="str">
        <f>INDEX(Sheet1!$CB:$CB,ROWS($A$5:$A27)+1)&amp;""</f>
        <v/>
      </c>
      <c r="N27" s="7" t="str">
        <f>IF(INDEX(Sheet1!$CC:$CC,ROWS($A$5:$A27)+1)="","",INDEX(Sheet1!$CC:$CC,ROWS($A$5:$A27)+1))</f>
        <v/>
      </c>
    </row>
    <row r="28" spans="1:14" ht="20.100000000000001" customHeight="1" x14ac:dyDescent="0.15">
      <c r="A28" s="4" t="str">
        <f>IF(B28="","",IF(SUBTOTAL(103,B28)=0,"",SUBTOTAL(103,$B$5:B28)))</f>
        <v/>
      </c>
      <c r="B28" s="4" t="str">
        <f>INDEX(Sheet1!$B:$B,ROWS($A$5:$A28)+1)&amp;""</f>
        <v/>
      </c>
      <c r="C28" s="8" t="str">
        <f>INDEX(Sheet1!$O:$O,ROWS($A$5:$A28)+1)&amp;""</f>
        <v/>
      </c>
      <c r="D28" s="5" t="str">
        <f>INDEX(Sheet1!$T:$T,ROWS($A$5:$A28)+1)&amp;""</f>
        <v/>
      </c>
      <c r="E28" s="4" t="str">
        <f>INDEX(Sheet1!$Y:$Y,ROWS($A$5:$A28)+1)&amp;""</f>
        <v/>
      </c>
      <c r="F28" s="9" t="str">
        <f>INDEX(Sheet1!$AC:$AC,ROWS($A$5:$A28)+1)&amp;""</f>
        <v/>
      </c>
      <c r="G28" s="4" t="str">
        <f>INDEX(Sheet1!$AM:$AM,ROWS($A$5:$A28)+1)&amp;""</f>
        <v/>
      </c>
      <c r="H28" s="4" t="str">
        <f>INDEX(Sheet1!$AN:$AN,ROWS($A$5:$A28)+1)&amp;""</f>
        <v/>
      </c>
      <c r="I28" s="6" t="str">
        <f>INDEX(Sheet1!$BA:$BA,ROWS($A$5:$A28)+1)&amp;""</f>
        <v/>
      </c>
      <c r="J28" s="4" t="str">
        <f>INDEX(Sheet1!$BB:$BB,ROWS($A$5:$A28)+1)&amp;""</f>
        <v/>
      </c>
      <c r="K28" s="6" t="str">
        <f>INDEX(Sheet1!$BO:$BO,ROWS($A$5:$A28)+1)&amp;""</f>
        <v/>
      </c>
      <c r="L28" s="4" t="str">
        <f>INDEX(Sheet1!$BP:$BP,ROWS($A$5:$A28)+1)&amp;""</f>
        <v/>
      </c>
      <c r="M28" s="10" t="str">
        <f>INDEX(Sheet1!$CB:$CB,ROWS($A$5:$A28)+1)&amp;""</f>
        <v/>
      </c>
      <c r="N28" s="7" t="str">
        <f>IF(INDEX(Sheet1!$CC:$CC,ROWS($A$5:$A28)+1)="","",INDEX(Sheet1!$CC:$CC,ROWS($A$5:$A28)+1))</f>
        <v/>
      </c>
    </row>
    <row r="29" spans="1:14" ht="20.100000000000001" customHeight="1" x14ac:dyDescent="0.15">
      <c r="A29" s="4" t="str">
        <f>IF(B29="","",IF(SUBTOTAL(103,B29)=0,"",SUBTOTAL(103,$B$5:B29)))</f>
        <v/>
      </c>
      <c r="B29" s="4" t="str">
        <f>INDEX(Sheet1!$B:$B,ROWS($A$5:$A29)+1)&amp;""</f>
        <v/>
      </c>
      <c r="C29" s="8" t="str">
        <f>INDEX(Sheet1!$O:$O,ROWS($A$5:$A29)+1)&amp;""</f>
        <v/>
      </c>
      <c r="D29" s="5" t="str">
        <f>INDEX(Sheet1!$T:$T,ROWS($A$5:$A29)+1)&amp;""</f>
        <v/>
      </c>
      <c r="E29" s="4" t="str">
        <f>INDEX(Sheet1!$Y:$Y,ROWS($A$5:$A29)+1)&amp;""</f>
        <v/>
      </c>
      <c r="F29" s="9" t="str">
        <f>INDEX(Sheet1!$AC:$AC,ROWS($A$5:$A29)+1)&amp;""</f>
        <v/>
      </c>
      <c r="G29" s="4" t="str">
        <f>INDEX(Sheet1!$AM:$AM,ROWS($A$5:$A29)+1)&amp;""</f>
        <v/>
      </c>
      <c r="H29" s="4" t="str">
        <f>INDEX(Sheet1!$AN:$AN,ROWS($A$5:$A29)+1)&amp;""</f>
        <v/>
      </c>
      <c r="I29" s="6" t="str">
        <f>INDEX(Sheet1!$BA:$BA,ROWS($A$5:$A29)+1)&amp;""</f>
        <v/>
      </c>
      <c r="J29" s="4" t="str">
        <f>INDEX(Sheet1!$BB:$BB,ROWS($A$5:$A29)+1)&amp;""</f>
        <v/>
      </c>
      <c r="K29" s="6" t="str">
        <f>INDEX(Sheet1!$BO:$BO,ROWS($A$5:$A29)+1)&amp;""</f>
        <v/>
      </c>
      <c r="L29" s="4" t="str">
        <f>INDEX(Sheet1!$BP:$BP,ROWS($A$5:$A29)+1)&amp;""</f>
        <v/>
      </c>
      <c r="M29" s="10" t="str">
        <f>INDEX(Sheet1!$CB:$CB,ROWS($A$5:$A29)+1)&amp;""</f>
        <v/>
      </c>
      <c r="N29" s="7" t="str">
        <f>IF(INDEX(Sheet1!$CC:$CC,ROWS($A$5:$A29)+1)="","",INDEX(Sheet1!$CC:$CC,ROWS($A$5:$A29)+1))</f>
        <v/>
      </c>
    </row>
    <row r="30" spans="1:14" ht="20.100000000000001" customHeight="1" x14ac:dyDescent="0.15">
      <c r="A30" s="4" t="str">
        <f>IF(B30="","",IF(SUBTOTAL(103,B30)=0,"",SUBTOTAL(103,$B$5:B30)))</f>
        <v/>
      </c>
      <c r="B30" s="4" t="str">
        <f>INDEX(Sheet1!$B:$B,ROWS($A$5:$A30)+1)&amp;""</f>
        <v/>
      </c>
      <c r="C30" s="8" t="str">
        <f>INDEX(Sheet1!$O:$O,ROWS($A$5:$A30)+1)&amp;""</f>
        <v/>
      </c>
      <c r="D30" s="5" t="str">
        <f>INDEX(Sheet1!$T:$T,ROWS($A$5:$A30)+1)&amp;""</f>
        <v/>
      </c>
      <c r="E30" s="4" t="str">
        <f>INDEX(Sheet1!$Y:$Y,ROWS($A$5:$A30)+1)&amp;""</f>
        <v/>
      </c>
      <c r="F30" s="9" t="str">
        <f>INDEX(Sheet1!$AC:$AC,ROWS($A$5:$A30)+1)&amp;""</f>
        <v/>
      </c>
      <c r="G30" s="4" t="str">
        <f>INDEX(Sheet1!$AM:$AM,ROWS($A$5:$A30)+1)&amp;""</f>
        <v/>
      </c>
      <c r="H30" s="4" t="str">
        <f>INDEX(Sheet1!$AN:$AN,ROWS($A$5:$A30)+1)&amp;""</f>
        <v/>
      </c>
      <c r="I30" s="6" t="str">
        <f>INDEX(Sheet1!$BA:$BA,ROWS($A$5:$A30)+1)&amp;""</f>
        <v/>
      </c>
      <c r="J30" s="4" t="str">
        <f>INDEX(Sheet1!$BB:$BB,ROWS($A$5:$A30)+1)&amp;""</f>
        <v/>
      </c>
      <c r="K30" s="6" t="str">
        <f>INDEX(Sheet1!$BO:$BO,ROWS($A$5:$A30)+1)&amp;""</f>
        <v/>
      </c>
      <c r="L30" s="4" t="str">
        <f>INDEX(Sheet1!$BP:$BP,ROWS($A$5:$A30)+1)&amp;""</f>
        <v/>
      </c>
      <c r="M30" s="10" t="str">
        <f>INDEX(Sheet1!$CB:$CB,ROWS($A$5:$A30)+1)&amp;""</f>
        <v/>
      </c>
      <c r="N30" s="7" t="str">
        <f>IF(INDEX(Sheet1!$CC:$CC,ROWS($A$5:$A30)+1)="","",INDEX(Sheet1!$CC:$CC,ROWS($A$5:$A30)+1))</f>
        <v/>
      </c>
    </row>
    <row r="31" spans="1:14" ht="20.100000000000001" customHeight="1" x14ac:dyDescent="0.15">
      <c r="A31" s="4" t="str">
        <f>IF(B31="","",IF(SUBTOTAL(103,B31)=0,"",SUBTOTAL(103,$B$5:B31)))</f>
        <v/>
      </c>
      <c r="B31" s="4" t="str">
        <f>INDEX(Sheet1!$B:$B,ROWS($A$5:$A31)+1)&amp;""</f>
        <v/>
      </c>
      <c r="C31" s="8" t="str">
        <f>INDEX(Sheet1!$O:$O,ROWS($A$5:$A31)+1)&amp;""</f>
        <v/>
      </c>
      <c r="D31" s="5" t="str">
        <f>INDEX(Sheet1!$T:$T,ROWS($A$5:$A31)+1)&amp;""</f>
        <v/>
      </c>
      <c r="E31" s="4" t="str">
        <f>INDEX(Sheet1!$Y:$Y,ROWS($A$5:$A31)+1)&amp;""</f>
        <v/>
      </c>
      <c r="F31" s="9" t="str">
        <f>INDEX(Sheet1!$AC:$AC,ROWS($A$5:$A31)+1)&amp;""</f>
        <v/>
      </c>
      <c r="G31" s="4" t="str">
        <f>INDEX(Sheet1!$AM:$AM,ROWS($A$5:$A31)+1)&amp;""</f>
        <v/>
      </c>
      <c r="H31" s="4" t="str">
        <f>INDEX(Sheet1!$AN:$AN,ROWS($A$5:$A31)+1)&amp;""</f>
        <v/>
      </c>
      <c r="I31" s="6" t="str">
        <f>INDEX(Sheet1!$BA:$BA,ROWS($A$5:$A31)+1)&amp;""</f>
        <v/>
      </c>
      <c r="J31" s="4" t="str">
        <f>INDEX(Sheet1!$BB:$BB,ROWS($A$5:$A31)+1)&amp;""</f>
        <v/>
      </c>
      <c r="K31" s="6" t="str">
        <f>INDEX(Sheet1!$BO:$BO,ROWS($A$5:$A31)+1)&amp;""</f>
        <v/>
      </c>
      <c r="L31" s="4" t="str">
        <f>INDEX(Sheet1!$BP:$BP,ROWS($A$5:$A31)+1)&amp;""</f>
        <v/>
      </c>
      <c r="M31" s="10" t="str">
        <f>INDEX(Sheet1!$CB:$CB,ROWS($A$5:$A31)+1)&amp;""</f>
        <v/>
      </c>
      <c r="N31" s="7" t="str">
        <f>IF(INDEX(Sheet1!$CC:$CC,ROWS($A$5:$A31)+1)="","",INDEX(Sheet1!$CC:$CC,ROWS($A$5:$A31)+1))</f>
        <v/>
      </c>
    </row>
    <row r="32" spans="1:14" ht="20.100000000000001" customHeight="1" x14ac:dyDescent="0.15">
      <c r="A32" s="4" t="str">
        <f>IF(B32="","",IF(SUBTOTAL(103,B32)=0,"",SUBTOTAL(103,$B$5:B32)))</f>
        <v/>
      </c>
      <c r="B32" s="4" t="str">
        <f>INDEX(Sheet1!$B:$B,ROWS($A$5:$A32)+1)&amp;""</f>
        <v/>
      </c>
      <c r="C32" s="8" t="str">
        <f>INDEX(Sheet1!$O:$O,ROWS($A$5:$A32)+1)&amp;""</f>
        <v/>
      </c>
      <c r="D32" s="5" t="str">
        <f>INDEX(Sheet1!$T:$T,ROWS($A$5:$A32)+1)&amp;""</f>
        <v/>
      </c>
      <c r="E32" s="4" t="str">
        <f>INDEX(Sheet1!$Y:$Y,ROWS($A$5:$A32)+1)&amp;""</f>
        <v/>
      </c>
      <c r="F32" s="9" t="str">
        <f>INDEX(Sheet1!$AC:$AC,ROWS($A$5:$A32)+1)&amp;""</f>
        <v/>
      </c>
      <c r="G32" s="4" t="str">
        <f>INDEX(Sheet1!$AM:$AM,ROWS($A$5:$A32)+1)&amp;""</f>
        <v/>
      </c>
      <c r="H32" s="4" t="str">
        <f>INDEX(Sheet1!$AN:$AN,ROWS($A$5:$A32)+1)&amp;""</f>
        <v/>
      </c>
      <c r="I32" s="6" t="str">
        <f>INDEX(Sheet1!$BA:$BA,ROWS($A$5:$A32)+1)&amp;""</f>
        <v/>
      </c>
      <c r="J32" s="4" t="str">
        <f>INDEX(Sheet1!$BB:$BB,ROWS($A$5:$A32)+1)&amp;""</f>
        <v/>
      </c>
      <c r="K32" s="6" t="str">
        <f>INDEX(Sheet1!$BO:$BO,ROWS($A$5:$A32)+1)&amp;""</f>
        <v/>
      </c>
      <c r="L32" s="4" t="str">
        <f>INDEX(Sheet1!$BP:$BP,ROWS($A$5:$A32)+1)&amp;""</f>
        <v/>
      </c>
      <c r="M32" s="10" t="str">
        <f>INDEX(Sheet1!$CB:$CB,ROWS($A$5:$A32)+1)&amp;""</f>
        <v/>
      </c>
      <c r="N32" s="7" t="str">
        <f>IF(INDEX(Sheet1!$CC:$CC,ROWS($A$5:$A32)+1)="","",INDEX(Sheet1!$CC:$CC,ROWS($A$5:$A32)+1))</f>
        <v/>
      </c>
    </row>
    <row r="33" spans="1:14" ht="20.100000000000001" customHeight="1" x14ac:dyDescent="0.15">
      <c r="A33" s="4" t="str">
        <f>IF(B33="","",IF(SUBTOTAL(103,B33)=0,"",SUBTOTAL(103,$B$5:B33)))</f>
        <v/>
      </c>
      <c r="B33" s="4" t="str">
        <f>INDEX(Sheet1!$B:$B,ROWS($A$5:$A33)+1)&amp;""</f>
        <v/>
      </c>
      <c r="C33" s="8" t="str">
        <f>INDEX(Sheet1!$O:$O,ROWS($A$5:$A33)+1)&amp;""</f>
        <v/>
      </c>
      <c r="D33" s="5" t="str">
        <f>INDEX(Sheet1!$T:$T,ROWS($A$5:$A33)+1)&amp;""</f>
        <v/>
      </c>
      <c r="E33" s="4" t="str">
        <f>INDEX(Sheet1!$Y:$Y,ROWS($A$5:$A33)+1)&amp;""</f>
        <v/>
      </c>
      <c r="F33" s="9" t="str">
        <f>INDEX(Sheet1!$AC:$AC,ROWS($A$5:$A33)+1)&amp;""</f>
        <v/>
      </c>
      <c r="G33" s="4" t="str">
        <f>INDEX(Sheet1!$AM:$AM,ROWS($A$5:$A33)+1)&amp;""</f>
        <v/>
      </c>
      <c r="H33" s="4" t="str">
        <f>INDEX(Sheet1!$AN:$AN,ROWS($A$5:$A33)+1)&amp;""</f>
        <v/>
      </c>
      <c r="I33" s="6" t="str">
        <f>INDEX(Sheet1!$BA:$BA,ROWS($A$5:$A33)+1)&amp;""</f>
        <v/>
      </c>
      <c r="J33" s="4" t="str">
        <f>INDEX(Sheet1!$BB:$BB,ROWS($A$5:$A33)+1)&amp;""</f>
        <v/>
      </c>
      <c r="K33" s="6" t="str">
        <f>INDEX(Sheet1!$BO:$BO,ROWS($A$5:$A33)+1)&amp;""</f>
        <v/>
      </c>
      <c r="L33" s="4" t="str">
        <f>INDEX(Sheet1!$BP:$BP,ROWS($A$5:$A33)+1)&amp;""</f>
        <v/>
      </c>
      <c r="M33" s="10" t="str">
        <f>INDEX(Sheet1!$CB:$CB,ROWS($A$5:$A33)+1)&amp;""</f>
        <v/>
      </c>
      <c r="N33" s="7" t="str">
        <f>IF(INDEX(Sheet1!$CC:$CC,ROWS($A$5:$A33)+1)="","",INDEX(Sheet1!$CC:$CC,ROWS($A$5:$A33)+1))</f>
        <v/>
      </c>
    </row>
    <row r="34" spans="1:14" ht="20.100000000000001" customHeight="1" x14ac:dyDescent="0.15">
      <c r="A34" s="4" t="str">
        <f>IF(B34="","",IF(SUBTOTAL(103,B34)=0,"",SUBTOTAL(103,$B$5:B34)))</f>
        <v/>
      </c>
      <c r="B34" s="4" t="str">
        <f>INDEX(Sheet1!$B:$B,ROWS($A$5:$A34)+1)&amp;""</f>
        <v/>
      </c>
      <c r="C34" s="8" t="str">
        <f>INDEX(Sheet1!$O:$O,ROWS($A$5:$A34)+1)&amp;""</f>
        <v/>
      </c>
      <c r="D34" s="5" t="str">
        <f>INDEX(Sheet1!$T:$T,ROWS($A$5:$A34)+1)&amp;""</f>
        <v/>
      </c>
      <c r="E34" s="4" t="str">
        <f>INDEX(Sheet1!$Y:$Y,ROWS($A$5:$A34)+1)&amp;""</f>
        <v/>
      </c>
      <c r="F34" s="9" t="str">
        <f>INDEX(Sheet1!$AC:$AC,ROWS($A$5:$A34)+1)&amp;""</f>
        <v/>
      </c>
      <c r="G34" s="4" t="str">
        <f>INDEX(Sheet1!$AM:$AM,ROWS($A$5:$A34)+1)&amp;""</f>
        <v/>
      </c>
      <c r="H34" s="4" t="str">
        <f>INDEX(Sheet1!$AN:$AN,ROWS($A$5:$A34)+1)&amp;""</f>
        <v/>
      </c>
      <c r="I34" s="6" t="str">
        <f>INDEX(Sheet1!$BA:$BA,ROWS($A$5:$A34)+1)&amp;""</f>
        <v/>
      </c>
      <c r="J34" s="4" t="str">
        <f>INDEX(Sheet1!$BB:$BB,ROWS($A$5:$A34)+1)&amp;""</f>
        <v/>
      </c>
      <c r="K34" s="6" t="str">
        <f>INDEX(Sheet1!$BO:$BO,ROWS($A$5:$A34)+1)&amp;""</f>
        <v/>
      </c>
      <c r="L34" s="4" t="str">
        <f>INDEX(Sheet1!$BP:$BP,ROWS($A$5:$A34)+1)&amp;""</f>
        <v/>
      </c>
      <c r="M34" s="10" t="str">
        <f>INDEX(Sheet1!$CB:$CB,ROWS($A$5:$A34)+1)&amp;""</f>
        <v/>
      </c>
      <c r="N34" s="7" t="str">
        <f>IF(INDEX(Sheet1!$CC:$CC,ROWS($A$5:$A34)+1)="","",INDEX(Sheet1!$CC:$CC,ROWS($A$5:$A34)+1))</f>
        <v/>
      </c>
    </row>
    <row r="35" spans="1:14" ht="20.100000000000001" customHeight="1" x14ac:dyDescent="0.15">
      <c r="A35" s="4" t="str">
        <f>IF(B35="","",IF(SUBTOTAL(103,B35)=0,"",SUBTOTAL(103,$B$5:B35)))</f>
        <v/>
      </c>
      <c r="B35" s="4" t="str">
        <f>INDEX(Sheet1!$B:$B,ROWS($A$5:$A35)+1)&amp;""</f>
        <v/>
      </c>
      <c r="C35" s="8" t="str">
        <f>INDEX(Sheet1!$O:$O,ROWS($A$5:$A35)+1)&amp;""</f>
        <v/>
      </c>
      <c r="D35" s="5" t="str">
        <f>INDEX(Sheet1!$T:$T,ROWS($A$5:$A35)+1)&amp;""</f>
        <v/>
      </c>
      <c r="E35" s="4" t="str">
        <f>INDEX(Sheet1!$Y:$Y,ROWS($A$5:$A35)+1)&amp;""</f>
        <v/>
      </c>
      <c r="F35" s="9" t="str">
        <f>INDEX(Sheet1!$AC:$AC,ROWS($A$5:$A35)+1)&amp;""</f>
        <v/>
      </c>
      <c r="G35" s="4" t="str">
        <f>INDEX(Sheet1!$AM:$AM,ROWS($A$5:$A35)+1)&amp;""</f>
        <v/>
      </c>
      <c r="H35" s="4" t="str">
        <f>INDEX(Sheet1!$AN:$AN,ROWS($A$5:$A35)+1)&amp;""</f>
        <v/>
      </c>
      <c r="I35" s="6" t="str">
        <f>INDEX(Sheet1!$BA:$BA,ROWS($A$5:$A35)+1)&amp;""</f>
        <v/>
      </c>
      <c r="J35" s="4" t="str">
        <f>INDEX(Sheet1!$BB:$BB,ROWS($A$5:$A35)+1)&amp;""</f>
        <v/>
      </c>
      <c r="K35" s="6" t="str">
        <f>INDEX(Sheet1!$BO:$BO,ROWS($A$5:$A35)+1)&amp;""</f>
        <v/>
      </c>
      <c r="L35" s="4" t="str">
        <f>INDEX(Sheet1!$BP:$BP,ROWS($A$5:$A35)+1)&amp;""</f>
        <v/>
      </c>
      <c r="M35" s="10" t="str">
        <f>INDEX(Sheet1!$CB:$CB,ROWS($A$5:$A35)+1)&amp;""</f>
        <v/>
      </c>
      <c r="N35" s="7" t="str">
        <f>IF(INDEX(Sheet1!$CC:$CC,ROWS($A$5:$A35)+1)="","",INDEX(Sheet1!$CC:$CC,ROWS($A$5:$A35)+1))</f>
        <v/>
      </c>
    </row>
    <row r="36" spans="1:14" ht="20.100000000000001" customHeight="1" x14ac:dyDescent="0.15">
      <c r="A36" s="4" t="str">
        <f>IF(B36="","",IF(SUBTOTAL(103,B36)=0,"",SUBTOTAL(103,$B$5:B36)))</f>
        <v/>
      </c>
      <c r="B36" s="4" t="str">
        <f>INDEX(Sheet1!$B:$B,ROWS($A$5:$A36)+1)&amp;""</f>
        <v/>
      </c>
      <c r="C36" s="8" t="str">
        <f>INDEX(Sheet1!$O:$O,ROWS($A$5:$A36)+1)&amp;""</f>
        <v/>
      </c>
      <c r="D36" s="5" t="str">
        <f>INDEX(Sheet1!$T:$T,ROWS($A$5:$A36)+1)&amp;""</f>
        <v/>
      </c>
      <c r="E36" s="4" t="str">
        <f>INDEX(Sheet1!$Y:$Y,ROWS($A$5:$A36)+1)&amp;""</f>
        <v/>
      </c>
      <c r="F36" s="9" t="str">
        <f>INDEX(Sheet1!$AC:$AC,ROWS($A$5:$A36)+1)&amp;""</f>
        <v/>
      </c>
      <c r="G36" s="4" t="str">
        <f>INDEX(Sheet1!$AM:$AM,ROWS($A$5:$A36)+1)&amp;""</f>
        <v/>
      </c>
      <c r="H36" s="4" t="str">
        <f>INDEX(Sheet1!$AN:$AN,ROWS($A$5:$A36)+1)&amp;""</f>
        <v/>
      </c>
      <c r="I36" s="6" t="str">
        <f>INDEX(Sheet1!$BA:$BA,ROWS($A$5:$A36)+1)&amp;""</f>
        <v/>
      </c>
      <c r="J36" s="4" t="str">
        <f>INDEX(Sheet1!$BB:$BB,ROWS($A$5:$A36)+1)&amp;""</f>
        <v/>
      </c>
      <c r="K36" s="6" t="str">
        <f>INDEX(Sheet1!$BO:$BO,ROWS($A$5:$A36)+1)&amp;""</f>
        <v/>
      </c>
      <c r="L36" s="4" t="str">
        <f>INDEX(Sheet1!$BP:$BP,ROWS($A$5:$A36)+1)&amp;""</f>
        <v/>
      </c>
      <c r="M36" s="10" t="str">
        <f>INDEX(Sheet1!$CB:$CB,ROWS($A$5:$A36)+1)&amp;""</f>
        <v/>
      </c>
      <c r="N36" s="7" t="str">
        <f>IF(INDEX(Sheet1!$CC:$CC,ROWS($A$5:$A36)+1)="","",INDEX(Sheet1!$CC:$CC,ROWS($A$5:$A36)+1))</f>
        <v/>
      </c>
    </row>
    <row r="37" spans="1:14" ht="20.100000000000001" customHeight="1" x14ac:dyDescent="0.15">
      <c r="A37" s="4" t="str">
        <f>IF(B37="","",IF(SUBTOTAL(103,B37)=0,"",SUBTOTAL(103,$B$5:B37)))</f>
        <v/>
      </c>
      <c r="B37" s="4" t="str">
        <f>INDEX(Sheet1!$B:$B,ROWS($A$5:$A37)+1)&amp;""</f>
        <v/>
      </c>
      <c r="C37" s="8" t="str">
        <f>INDEX(Sheet1!$O:$O,ROWS($A$5:$A37)+1)&amp;""</f>
        <v/>
      </c>
      <c r="D37" s="5" t="str">
        <f>INDEX(Sheet1!$T:$T,ROWS($A$5:$A37)+1)&amp;""</f>
        <v/>
      </c>
      <c r="E37" s="4" t="str">
        <f>INDEX(Sheet1!$Y:$Y,ROWS($A$5:$A37)+1)&amp;""</f>
        <v/>
      </c>
      <c r="F37" s="9" t="str">
        <f>INDEX(Sheet1!$AC:$AC,ROWS($A$5:$A37)+1)&amp;""</f>
        <v/>
      </c>
      <c r="G37" s="4" t="str">
        <f>INDEX(Sheet1!$AM:$AM,ROWS($A$5:$A37)+1)&amp;""</f>
        <v/>
      </c>
      <c r="H37" s="4" t="str">
        <f>INDEX(Sheet1!$AN:$AN,ROWS($A$5:$A37)+1)&amp;""</f>
        <v/>
      </c>
      <c r="I37" s="6" t="str">
        <f>INDEX(Sheet1!$BA:$BA,ROWS($A$5:$A37)+1)&amp;""</f>
        <v/>
      </c>
      <c r="J37" s="4" t="str">
        <f>INDEX(Sheet1!$BB:$BB,ROWS($A$5:$A37)+1)&amp;""</f>
        <v/>
      </c>
      <c r="K37" s="6" t="str">
        <f>INDEX(Sheet1!$BO:$BO,ROWS($A$5:$A37)+1)&amp;""</f>
        <v/>
      </c>
      <c r="L37" s="4" t="str">
        <f>INDEX(Sheet1!$BP:$BP,ROWS($A$5:$A37)+1)&amp;""</f>
        <v/>
      </c>
      <c r="M37" s="10" t="str">
        <f>INDEX(Sheet1!$CB:$CB,ROWS($A$5:$A37)+1)&amp;""</f>
        <v/>
      </c>
      <c r="N37" s="7" t="str">
        <f>IF(INDEX(Sheet1!$CC:$CC,ROWS($A$5:$A37)+1)="","",INDEX(Sheet1!$CC:$CC,ROWS($A$5:$A37)+1))</f>
        <v/>
      </c>
    </row>
    <row r="38" spans="1:14" ht="20.100000000000001" customHeight="1" x14ac:dyDescent="0.15">
      <c r="A38" s="4" t="str">
        <f>IF(B38="","",IF(SUBTOTAL(103,B38)=0,"",SUBTOTAL(103,$B$5:B38)))</f>
        <v/>
      </c>
      <c r="B38" s="4" t="str">
        <f>INDEX(Sheet1!$B:$B,ROWS($A$5:$A38)+1)&amp;""</f>
        <v/>
      </c>
      <c r="C38" s="8" t="str">
        <f>INDEX(Sheet1!$O:$O,ROWS($A$5:$A38)+1)&amp;""</f>
        <v/>
      </c>
      <c r="D38" s="5" t="str">
        <f>INDEX(Sheet1!$T:$T,ROWS($A$5:$A38)+1)&amp;""</f>
        <v/>
      </c>
      <c r="E38" s="4" t="str">
        <f>INDEX(Sheet1!$Y:$Y,ROWS($A$5:$A38)+1)&amp;""</f>
        <v/>
      </c>
      <c r="F38" s="9" t="str">
        <f>INDEX(Sheet1!$AC:$AC,ROWS($A$5:$A38)+1)&amp;""</f>
        <v/>
      </c>
      <c r="G38" s="4" t="str">
        <f>INDEX(Sheet1!$AM:$AM,ROWS($A$5:$A38)+1)&amp;""</f>
        <v/>
      </c>
      <c r="H38" s="4" t="str">
        <f>INDEX(Sheet1!$AN:$AN,ROWS($A$5:$A38)+1)&amp;""</f>
        <v/>
      </c>
      <c r="I38" s="6" t="str">
        <f>INDEX(Sheet1!$BA:$BA,ROWS($A$5:$A38)+1)&amp;""</f>
        <v/>
      </c>
      <c r="J38" s="4" t="str">
        <f>INDEX(Sheet1!$BB:$BB,ROWS($A$5:$A38)+1)&amp;""</f>
        <v/>
      </c>
      <c r="K38" s="6" t="str">
        <f>INDEX(Sheet1!$BO:$BO,ROWS($A$5:$A38)+1)&amp;""</f>
        <v/>
      </c>
      <c r="L38" s="4" t="str">
        <f>INDEX(Sheet1!$BP:$BP,ROWS($A$5:$A38)+1)&amp;""</f>
        <v/>
      </c>
      <c r="M38" s="10" t="str">
        <f>INDEX(Sheet1!$CB:$CB,ROWS($A$5:$A38)+1)&amp;""</f>
        <v/>
      </c>
      <c r="N38" s="7" t="str">
        <f>IF(INDEX(Sheet1!$CC:$CC,ROWS($A$5:$A38)+1)="","",INDEX(Sheet1!$CC:$CC,ROWS($A$5:$A38)+1))</f>
        <v/>
      </c>
    </row>
    <row r="39" spans="1:14" ht="20.100000000000001" customHeight="1" x14ac:dyDescent="0.15">
      <c r="A39" s="4" t="str">
        <f>IF(B39="","",IF(SUBTOTAL(103,B39)=0,"",SUBTOTAL(103,$B$5:B39)))</f>
        <v/>
      </c>
      <c r="B39" s="4" t="str">
        <f>INDEX(Sheet1!$B:$B,ROWS($A$5:$A39)+1)&amp;""</f>
        <v/>
      </c>
      <c r="C39" s="8" t="str">
        <f>INDEX(Sheet1!$O:$O,ROWS($A$5:$A39)+1)&amp;""</f>
        <v/>
      </c>
      <c r="D39" s="5" t="str">
        <f>INDEX(Sheet1!$T:$T,ROWS($A$5:$A39)+1)&amp;""</f>
        <v/>
      </c>
      <c r="E39" s="4" t="str">
        <f>INDEX(Sheet1!$Y:$Y,ROWS($A$5:$A39)+1)&amp;""</f>
        <v/>
      </c>
      <c r="F39" s="9" t="str">
        <f>INDEX(Sheet1!$AC:$AC,ROWS($A$5:$A39)+1)&amp;""</f>
        <v/>
      </c>
      <c r="G39" s="4" t="str">
        <f>INDEX(Sheet1!$AM:$AM,ROWS($A$5:$A39)+1)&amp;""</f>
        <v/>
      </c>
      <c r="H39" s="4" t="str">
        <f>INDEX(Sheet1!$AN:$AN,ROWS($A$5:$A39)+1)&amp;""</f>
        <v/>
      </c>
      <c r="I39" s="6" t="str">
        <f>INDEX(Sheet1!$BA:$BA,ROWS($A$5:$A39)+1)&amp;""</f>
        <v/>
      </c>
      <c r="J39" s="4" t="str">
        <f>INDEX(Sheet1!$BB:$BB,ROWS($A$5:$A39)+1)&amp;""</f>
        <v/>
      </c>
      <c r="K39" s="6" t="str">
        <f>INDEX(Sheet1!$BO:$BO,ROWS($A$5:$A39)+1)&amp;""</f>
        <v/>
      </c>
      <c r="L39" s="4" t="str">
        <f>INDEX(Sheet1!$BP:$BP,ROWS($A$5:$A39)+1)&amp;""</f>
        <v/>
      </c>
      <c r="M39" s="10" t="str">
        <f>INDEX(Sheet1!$CB:$CB,ROWS($A$5:$A39)+1)&amp;""</f>
        <v/>
      </c>
      <c r="N39" s="7" t="str">
        <f>IF(INDEX(Sheet1!$CC:$CC,ROWS($A$5:$A39)+1)="","",INDEX(Sheet1!$CC:$CC,ROWS($A$5:$A39)+1))</f>
        <v/>
      </c>
    </row>
    <row r="40" spans="1:14" ht="20.100000000000001" customHeight="1" x14ac:dyDescent="0.15">
      <c r="A40" s="4" t="str">
        <f>IF(B40="","",IF(SUBTOTAL(103,B40)=0,"",SUBTOTAL(103,$B$5:B40)))</f>
        <v/>
      </c>
      <c r="B40" s="4" t="str">
        <f>INDEX(Sheet1!$B:$B,ROWS($A$5:$A40)+1)&amp;""</f>
        <v/>
      </c>
      <c r="C40" s="8" t="str">
        <f>INDEX(Sheet1!$O:$O,ROWS($A$5:$A40)+1)&amp;""</f>
        <v/>
      </c>
      <c r="D40" s="5" t="str">
        <f>INDEX(Sheet1!$T:$T,ROWS($A$5:$A40)+1)&amp;""</f>
        <v/>
      </c>
      <c r="E40" s="4" t="str">
        <f>INDEX(Sheet1!$Y:$Y,ROWS($A$5:$A40)+1)&amp;""</f>
        <v/>
      </c>
      <c r="F40" s="9" t="str">
        <f>INDEX(Sheet1!$AC:$AC,ROWS($A$5:$A40)+1)&amp;""</f>
        <v/>
      </c>
      <c r="G40" s="4" t="str">
        <f>INDEX(Sheet1!$AM:$AM,ROWS($A$5:$A40)+1)&amp;""</f>
        <v/>
      </c>
      <c r="H40" s="4" t="str">
        <f>INDEX(Sheet1!$AN:$AN,ROWS($A$5:$A40)+1)&amp;""</f>
        <v/>
      </c>
      <c r="I40" s="6" t="str">
        <f>INDEX(Sheet1!$BA:$BA,ROWS($A$5:$A40)+1)&amp;""</f>
        <v/>
      </c>
      <c r="J40" s="4" t="str">
        <f>INDEX(Sheet1!$BB:$BB,ROWS($A$5:$A40)+1)&amp;""</f>
        <v/>
      </c>
      <c r="K40" s="6" t="str">
        <f>INDEX(Sheet1!$BO:$BO,ROWS($A$5:$A40)+1)&amp;""</f>
        <v/>
      </c>
      <c r="L40" s="4" t="str">
        <f>INDEX(Sheet1!$BP:$BP,ROWS($A$5:$A40)+1)&amp;""</f>
        <v/>
      </c>
      <c r="M40" s="10" t="str">
        <f>INDEX(Sheet1!$CB:$CB,ROWS($A$5:$A40)+1)&amp;""</f>
        <v/>
      </c>
      <c r="N40" s="7" t="str">
        <f>IF(INDEX(Sheet1!$CC:$CC,ROWS($A$5:$A40)+1)="","",INDEX(Sheet1!$CC:$CC,ROWS($A$5:$A40)+1))</f>
        <v/>
      </c>
    </row>
    <row r="41" spans="1:14" ht="20.100000000000001" customHeight="1" x14ac:dyDescent="0.15">
      <c r="A41" s="4" t="str">
        <f>IF(B41="","",IF(SUBTOTAL(103,B41)=0,"",SUBTOTAL(103,$B$5:B41)))</f>
        <v/>
      </c>
      <c r="B41" s="4" t="str">
        <f>INDEX(Sheet1!$B:$B,ROWS($A$5:$A41)+1)&amp;""</f>
        <v/>
      </c>
      <c r="C41" s="8" t="str">
        <f>INDEX(Sheet1!$O:$O,ROWS($A$5:$A41)+1)&amp;""</f>
        <v/>
      </c>
      <c r="D41" s="5" t="str">
        <f>INDEX(Sheet1!$T:$T,ROWS($A$5:$A41)+1)&amp;""</f>
        <v/>
      </c>
      <c r="E41" s="4" t="str">
        <f>INDEX(Sheet1!$Y:$Y,ROWS($A$5:$A41)+1)&amp;""</f>
        <v/>
      </c>
      <c r="F41" s="9" t="str">
        <f>INDEX(Sheet1!$AC:$AC,ROWS($A$5:$A41)+1)&amp;""</f>
        <v/>
      </c>
      <c r="G41" s="4" t="str">
        <f>INDEX(Sheet1!$AM:$AM,ROWS($A$5:$A41)+1)&amp;""</f>
        <v/>
      </c>
      <c r="H41" s="4" t="str">
        <f>INDEX(Sheet1!$AN:$AN,ROWS($A$5:$A41)+1)&amp;""</f>
        <v/>
      </c>
      <c r="I41" s="6" t="str">
        <f>INDEX(Sheet1!$BA:$BA,ROWS($A$5:$A41)+1)&amp;""</f>
        <v/>
      </c>
      <c r="J41" s="4" t="str">
        <f>INDEX(Sheet1!$BB:$BB,ROWS($A$5:$A41)+1)&amp;""</f>
        <v/>
      </c>
      <c r="K41" s="6" t="str">
        <f>INDEX(Sheet1!$BO:$BO,ROWS($A$5:$A41)+1)&amp;""</f>
        <v/>
      </c>
      <c r="L41" s="4" t="str">
        <f>INDEX(Sheet1!$BP:$BP,ROWS($A$5:$A41)+1)&amp;""</f>
        <v/>
      </c>
      <c r="M41" s="10" t="str">
        <f>INDEX(Sheet1!$CB:$CB,ROWS($A$5:$A41)+1)&amp;""</f>
        <v/>
      </c>
      <c r="N41" s="7" t="str">
        <f>IF(INDEX(Sheet1!$CC:$CC,ROWS($A$5:$A41)+1)="","",INDEX(Sheet1!$CC:$CC,ROWS($A$5:$A41)+1))</f>
        <v/>
      </c>
    </row>
    <row r="42" spans="1:14" ht="20.100000000000001" customHeight="1" x14ac:dyDescent="0.15">
      <c r="A42" s="4" t="str">
        <f>IF(B42="","",IF(SUBTOTAL(103,B42)=0,"",SUBTOTAL(103,$B$5:B42)))</f>
        <v/>
      </c>
      <c r="B42" s="4" t="str">
        <f>INDEX(Sheet1!$B:$B,ROWS($A$5:$A42)+1)&amp;""</f>
        <v/>
      </c>
      <c r="C42" s="8" t="str">
        <f>INDEX(Sheet1!$O:$O,ROWS($A$5:$A42)+1)&amp;""</f>
        <v/>
      </c>
      <c r="D42" s="5" t="str">
        <f>INDEX(Sheet1!$T:$T,ROWS($A$5:$A42)+1)&amp;""</f>
        <v/>
      </c>
      <c r="E42" s="4" t="str">
        <f>INDEX(Sheet1!$Y:$Y,ROWS($A$5:$A42)+1)&amp;""</f>
        <v/>
      </c>
      <c r="F42" s="9" t="str">
        <f>INDEX(Sheet1!$AC:$AC,ROWS($A$5:$A42)+1)&amp;""</f>
        <v/>
      </c>
      <c r="G42" s="4" t="str">
        <f>INDEX(Sheet1!$AM:$AM,ROWS($A$5:$A42)+1)&amp;""</f>
        <v/>
      </c>
      <c r="H42" s="4" t="str">
        <f>INDEX(Sheet1!$AN:$AN,ROWS($A$5:$A42)+1)&amp;""</f>
        <v/>
      </c>
      <c r="I42" s="6" t="str">
        <f>INDEX(Sheet1!$BA:$BA,ROWS($A$5:$A42)+1)&amp;""</f>
        <v/>
      </c>
      <c r="J42" s="4" t="str">
        <f>INDEX(Sheet1!$BB:$BB,ROWS($A$5:$A42)+1)&amp;""</f>
        <v/>
      </c>
      <c r="K42" s="6" t="str">
        <f>INDEX(Sheet1!$BO:$BO,ROWS($A$5:$A42)+1)&amp;""</f>
        <v/>
      </c>
      <c r="L42" s="4" t="str">
        <f>INDEX(Sheet1!$BP:$BP,ROWS($A$5:$A42)+1)&amp;""</f>
        <v/>
      </c>
      <c r="M42" s="10" t="str">
        <f>INDEX(Sheet1!$CB:$CB,ROWS($A$5:$A42)+1)&amp;""</f>
        <v/>
      </c>
      <c r="N42" s="7" t="str">
        <f>IF(INDEX(Sheet1!$CC:$CC,ROWS($A$5:$A42)+1)="","",INDEX(Sheet1!$CC:$CC,ROWS($A$5:$A42)+1))</f>
        <v/>
      </c>
    </row>
    <row r="43" spans="1:14" ht="20.100000000000001" customHeight="1" x14ac:dyDescent="0.15">
      <c r="A43" s="4" t="str">
        <f>IF(B43="","",IF(SUBTOTAL(103,B43)=0,"",SUBTOTAL(103,$B$5:B43)))</f>
        <v/>
      </c>
      <c r="B43" s="4" t="str">
        <f>INDEX(Sheet1!$B:$B,ROWS($A$5:$A43)+1)&amp;""</f>
        <v/>
      </c>
      <c r="C43" s="8" t="str">
        <f>INDEX(Sheet1!$O:$O,ROWS($A$5:$A43)+1)&amp;""</f>
        <v/>
      </c>
      <c r="D43" s="5" t="str">
        <f>INDEX(Sheet1!$T:$T,ROWS($A$5:$A43)+1)&amp;""</f>
        <v/>
      </c>
      <c r="E43" s="4" t="str">
        <f>INDEX(Sheet1!$Y:$Y,ROWS($A$5:$A43)+1)&amp;""</f>
        <v/>
      </c>
      <c r="F43" s="9" t="str">
        <f>INDEX(Sheet1!$AC:$AC,ROWS($A$5:$A43)+1)&amp;""</f>
        <v/>
      </c>
      <c r="G43" s="4" t="str">
        <f>INDEX(Sheet1!$AM:$AM,ROWS($A$5:$A43)+1)&amp;""</f>
        <v/>
      </c>
      <c r="H43" s="4" t="str">
        <f>INDEX(Sheet1!$AN:$AN,ROWS($A$5:$A43)+1)&amp;""</f>
        <v/>
      </c>
      <c r="I43" s="6" t="str">
        <f>INDEX(Sheet1!$BA:$BA,ROWS($A$5:$A43)+1)&amp;""</f>
        <v/>
      </c>
      <c r="J43" s="4" t="str">
        <f>INDEX(Sheet1!$BB:$BB,ROWS($A$5:$A43)+1)&amp;""</f>
        <v/>
      </c>
      <c r="K43" s="6" t="str">
        <f>INDEX(Sheet1!$BO:$BO,ROWS($A$5:$A43)+1)&amp;""</f>
        <v/>
      </c>
      <c r="L43" s="4" t="str">
        <f>INDEX(Sheet1!$BP:$BP,ROWS($A$5:$A43)+1)&amp;""</f>
        <v/>
      </c>
      <c r="M43" s="10" t="str">
        <f>INDEX(Sheet1!$CB:$CB,ROWS($A$5:$A43)+1)&amp;""</f>
        <v/>
      </c>
      <c r="N43" s="7" t="str">
        <f>IF(INDEX(Sheet1!$CC:$CC,ROWS($A$5:$A43)+1)="","",INDEX(Sheet1!$CC:$CC,ROWS($A$5:$A43)+1))</f>
        <v/>
      </c>
    </row>
    <row r="44" spans="1:14" ht="20.100000000000001" customHeight="1" x14ac:dyDescent="0.15">
      <c r="A44" s="4" t="str">
        <f>IF(B44="","",IF(SUBTOTAL(103,B44)=0,"",SUBTOTAL(103,$B$5:B44)))</f>
        <v/>
      </c>
      <c r="B44" s="4" t="str">
        <f>INDEX(Sheet1!$B:$B,ROWS($A$5:$A44)+1)&amp;""</f>
        <v/>
      </c>
      <c r="C44" s="8" t="str">
        <f>INDEX(Sheet1!$O:$O,ROWS($A$5:$A44)+1)&amp;""</f>
        <v/>
      </c>
      <c r="D44" s="5" t="str">
        <f>INDEX(Sheet1!$T:$T,ROWS($A$5:$A44)+1)&amp;""</f>
        <v/>
      </c>
      <c r="E44" s="4" t="str">
        <f>INDEX(Sheet1!$Y:$Y,ROWS($A$5:$A44)+1)&amp;""</f>
        <v/>
      </c>
      <c r="F44" s="9" t="str">
        <f>INDEX(Sheet1!$AC:$AC,ROWS($A$5:$A44)+1)&amp;""</f>
        <v/>
      </c>
      <c r="G44" s="4" t="str">
        <f>INDEX(Sheet1!$AM:$AM,ROWS($A$5:$A44)+1)&amp;""</f>
        <v/>
      </c>
      <c r="H44" s="4" t="str">
        <f>INDEX(Sheet1!$AN:$AN,ROWS($A$5:$A44)+1)&amp;""</f>
        <v/>
      </c>
      <c r="I44" s="6" t="str">
        <f>INDEX(Sheet1!$BA:$BA,ROWS($A$5:$A44)+1)&amp;""</f>
        <v/>
      </c>
      <c r="J44" s="4" t="str">
        <f>INDEX(Sheet1!$BB:$BB,ROWS($A$5:$A44)+1)&amp;""</f>
        <v/>
      </c>
      <c r="K44" s="6" t="str">
        <f>INDEX(Sheet1!$BO:$BO,ROWS($A$5:$A44)+1)&amp;""</f>
        <v/>
      </c>
      <c r="L44" s="4" t="str">
        <f>INDEX(Sheet1!$BP:$BP,ROWS($A$5:$A44)+1)&amp;""</f>
        <v/>
      </c>
      <c r="M44" s="10" t="str">
        <f>INDEX(Sheet1!$CB:$CB,ROWS($A$5:$A44)+1)&amp;""</f>
        <v/>
      </c>
      <c r="N44" s="7" t="str">
        <f>IF(INDEX(Sheet1!$CC:$CC,ROWS($A$5:$A44)+1)="","",INDEX(Sheet1!$CC:$CC,ROWS($A$5:$A44)+1))</f>
        <v/>
      </c>
    </row>
    <row r="45" spans="1:14" ht="20.100000000000001" customHeight="1" x14ac:dyDescent="0.15">
      <c r="A45" s="4" t="str">
        <f>IF(B45="","",IF(SUBTOTAL(103,B45)=0,"",SUBTOTAL(103,$B$5:B45)))</f>
        <v/>
      </c>
      <c r="B45" s="4" t="str">
        <f>INDEX(Sheet1!$B:$B,ROWS($A$5:$A45)+1)&amp;""</f>
        <v/>
      </c>
      <c r="C45" s="8" t="str">
        <f>INDEX(Sheet1!$O:$O,ROWS($A$5:$A45)+1)&amp;""</f>
        <v/>
      </c>
      <c r="D45" s="5" t="str">
        <f>INDEX(Sheet1!$T:$T,ROWS($A$5:$A45)+1)&amp;""</f>
        <v/>
      </c>
      <c r="E45" s="4" t="str">
        <f>INDEX(Sheet1!$Y:$Y,ROWS($A$5:$A45)+1)&amp;""</f>
        <v/>
      </c>
      <c r="F45" s="9" t="str">
        <f>INDEX(Sheet1!$AC:$AC,ROWS($A$5:$A45)+1)&amp;""</f>
        <v/>
      </c>
      <c r="G45" s="4" t="str">
        <f>INDEX(Sheet1!$AM:$AM,ROWS($A$5:$A45)+1)&amp;""</f>
        <v/>
      </c>
      <c r="H45" s="4" t="str">
        <f>INDEX(Sheet1!$AN:$AN,ROWS($A$5:$A45)+1)&amp;""</f>
        <v/>
      </c>
      <c r="I45" s="6" t="str">
        <f>INDEX(Sheet1!$BA:$BA,ROWS($A$5:$A45)+1)&amp;""</f>
        <v/>
      </c>
      <c r="J45" s="4" t="str">
        <f>INDEX(Sheet1!$BB:$BB,ROWS($A$5:$A45)+1)&amp;""</f>
        <v/>
      </c>
      <c r="K45" s="6" t="str">
        <f>INDEX(Sheet1!$BO:$BO,ROWS($A$5:$A45)+1)&amp;""</f>
        <v/>
      </c>
      <c r="L45" s="4" t="str">
        <f>INDEX(Sheet1!$BP:$BP,ROWS($A$5:$A45)+1)&amp;""</f>
        <v/>
      </c>
      <c r="M45" s="10" t="str">
        <f>INDEX(Sheet1!$CB:$CB,ROWS($A$5:$A45)+1)&amp;""</f>
        <v/>
      </c>
      <c r="N45" s="7" t="str">
        <f>IF(INDEX(Sheet1!$CC:$CC,ROWS($A$5:$A45)+1)="","",INDEX(Sheet1!$CC:$CC,ROWS($A$5:$A45)+1))</f>
        <v/>
      </c>
    </row>
    <row r="46" spans="1:14" ht="20.100000000000001" customHeight="1" x14ac:dyDescent="0.15">
      <c r="A46" s="4" t="str">
        <f>IF(B46="","",IF(SUBTOTAL(103,B46)=0,"",SUBTOTAL(103,$B$5:B46)))</f>
        <v/>
      </c>
      <c r="B46" s="4" t="str">
        <f>INDEX(Sheet1!$B:$B,ROWS($A$5:$A46)+1)&amp;""</f>
        <v/>
      </c>
      <c r="C46" s="8" t="str">
        <f>INDEX(Sheet1!$O:$O,ROWS($A$5:$A46)+1)&amp;""</f>
        <v/>
      </c>
      <c r="D46" s="5" t="str">
        <f>INDEX(Sheet1!$T:$T,ROWS($A$5:$A46)+1)&amp;""</f>
        <v/>
      </c>
      <c r="E46" s="4" t="str">
        <f>INDEX(Sheet1!$Y:$Y,ROWS($A$5:$A46)+1)&amp;""</f>
        <v/>
      </c>
      <c r="F46" s="9" t="str">
        <f>INDEX(Sheet1!$AC:$AC,ROWS($A$5:$A46)+1)&amp;""</f>
        <v/>
      </c>
      <c r="G46" s="4" t="str">
        <f>INDEX(Sheet1!$AM:$AM,ROWS($A$5:$A46)+1)&amp;""</f>
        <v/>
      </c>
      <c r="H46" s="4" t="str">
        <f>INDEX(Sheet1!$AN:$AN,ROWS($A$5:$A46)+1)&amp;""</f>
        <v/>
      </c>
      <c r="I46" s="6" t="str">
        <f>INDEX(Sheet1!$BA:$BA,ROWS($A$5:$A46)+1)&amp;""</f>
        <v/>
      </c>
      <c r="J46" s="4" t="str">
        <f>INDEX(Sheet1!$BB:$BB,ROWS($A$5:$A46)+1)&amp;""</f>
        <v/>
      </c>
      <c r="K46" s="6" t="str">
        <f>INDEX(Sheet1!$BO:$BO,ROWS($A$5:$A46)+1)&amp;""</f>
        <v/>
      </c>
      <c r="L46" s="4" t="str">
        <f>INDEX(Sheet1!$BP:$BP,ROWS($A$5:$A46)+1)&amp;""</f>
        <v/>
      </c>
      <c r="M46" s="10" t="str">
        <f>INDEX(Sheet1!$CB:$CB,ROWS($A$5:$A46)+1)&amp;""</f>
        <v/>
      </c>
      <c r="N46" s="7" t="str">
        <f>IF(INDEX(Sheet1!$CC:$CC,ROWS($A$5:$A46)+1)="","",INDEX(Sheet1!$CC:$CC,ROWS($A$5:$A46)+1))</f>
        <v/>
      </c>
    </row>
    <row r="47" spans="1:14" ht="20.100000000000001" customHeight="1" x14ac:dyDescent="0.15">
      <c r="A47" s="4" t="str">
        <f>IF(B47="","",IF(SUBTOTAL(103,B47)=0,"",SUBTOTAL(103,$B$5:B47)))</f>
        <v/>
      </c>
      <c r="B47" s="4" t="str">
        <f>INDEX(Sheet1!$B:$B,ROWS($A$5:$A47)+1)&amp;""</f>
        <v/>
      </c>
      <c r="C47" s="8" t="str">
        <f>INDEX(Sheet1!$O:$O,ROWS($A$5:$A47)+1)&amp;""</f>
        <v/>
      </c>
      <c r="D47" s="5" t="str">
        <f>INDEX(Sheet1!$T:$T,ROWS($A$5:$A47)+1)&amp;""</f>
        <v/>
      </c>
      <c r="E47" s="4" t="str">
        <f>INDEX(Sheet1!$Y:$Y,ROWS($A$5:$A47)+1)&amp;""</f>
        <v/>
      </c>
      <c r="F47" s="9" t="str">
        <f>INDEX(Sheet1!$AC:$AC,ROWS($A$5:$A47)+1)&amp;""</f>
        <v/>
      </c>
      <c r="G47" s="4" t="str">
        <f>INDEX(Sheet1!$AM:$AM,ROWS($A$5:$A47)+1)&amp;""</f>
        <v/>
      </c>
      <c r="H47" s="4" t="str">
        <f>INDEX(Sheet1!$AN:$AN,ROWS($A$5:$A47)+1)&amp;""</f>
        <v/>
      </c>
      <c r="I47" s="6" t="str">
        <f>INDEX(Sheet1!$BA:$BA,ROWS($A$5:$A47)+1)&amp;""</f>
        <v/>
      </c>
      <c r="J47" s="4" t="str">
        <f>INDEX(Sheet1!$BB:$BB,ROWS($A$5:$A47)+1)&amp;""</f>
        <v/>
      </c>
      <c r="K47" s="6" t="str">
        <f>INDEX(Sheet1!$BO:$BO,ROWS($A$5:$A47)+1)&amp;""</f>
        <v/>
      </c>
      <c r="L47" s="4" t="str">
        <f>INDEX(Sheet1!$BP:$BP,ROWS($A$5:$A47)+1)&amp;""</f>
        <v/>
      </c>
      <c r="M47" s="10" t="str">
        <f>INDEX(Sheet1!$CB:$CB,ROWS($A$5:$A47)+1)&amp;""</f>
        <v/>
      </c>
      <c r="N47" s="7" t="str">
        <f>IF(INDEX(Sheet1!$CC:$CC,ROWS($A$5:$A47)+1)="","",INDEX(Sheet1!$CC:$CC,ROWS($A$5:$A47)+1))</f>
        <v/>
      </c>
    </row>
    <row r="48" spans="1:14" ht="20.100000000000001" customHeight="1" x14ac:dyDescent="0.15">
      <c r="A48" s="4" t="str">
        <f>IF(B48="","",IF(SUBTOTAL(103,B48)=0,"",SUBTOTAL(103,$B$5:B48)))</f>
        <v/>
      </c>
      <c r="B48" s="4" t="str">
        <f>INDEX(Sheet1!$B:$B,ROWS($A$5:$A48)+1)&amp;""</f>
        <v/>
      </c>
      <c r="C48" s="8" t="str">
        <f>INDEX(Sheet1!$O:$O,ROWS($A$5:$A48)+1)&amp;""</f>
        <v/>
      </c>
      <c r="D48" s="5" t="str">
        <f>INDEX(Sheet1!$T:$T,ROWS($A$5:$A48)+1)&amp;""</f>
        <v/>
      </c>
      <c r="E48" s="4" t="str">
        <f>INDEX(Sheet1!$Y:$Y,ROWS($A$5:$A48)+1)&amp;""</f>
        <v/>
      </c>
      <c r="F48" s="9" t="str">
        <f>INDEX(Sheet1!$AC:$AC,ROWS($A$5:$A48)+1)&amp;""</f>
        <v/>
      </c>
      <c r="G48" s="4" t="str">
        <f>INDEX(Sheet1!$AM:$AM,ROWS($A$5:$A48)+1)&amp;""</f>
        <v/>
      </c>
      <c r="H48" s="4" t="str">
        <f>INDEX(Sheet1!$AN:$AN,ROWS($A$5:$A48)+1)&amp;""</f>
        <v/>
      </c>
      <c r="I48" s="6" t="str">
        <f>INDEX(Sheet1!$BA:$BA,ROWS($A$5:$A48)+1)&amp;""</f>
        <v/>
      </c>
      <c r="J48" s="4" t="str">
        <f>INDEX(Sheet1!$BB:$BB,ROWS($A$5:$A48)+1)&amp;""</f>
        <v/>
      </c>
      <c r="K48" s="6" t="str">
        <f>INDEX(Sheet1!$BO:$BO,ROWS($A$5:$A48)+1)&amp;""</f>
        <v/>
      </c>
      <c r="L48" s="4" t="str">
        <f>INDEX(Sheet1!$BP:$BP,ROWS($A$5:$A48)+1)&amp;""</f>
        <v/>
      </c>
      <c r="M48" s="10" t="str">
        <f>INDEX(Sheet1!$CB:$CB,ROWS($A$5:$A48)+1)&amp;""</f>
        <v/>
      </c>
      <c r="N48" s="7" t="str">
        <f>IF(INDEX(Sheet1!$CC:$CC,ROWS($A$5:$A48)+1)="","",INDEX(Sheet1!$CC:$CC,ROWS($A$5:$A48)+1))</f>
        <v/>
      </c>
    </row>
    <row r="49" spans="1:14" ht="20.100000000000001" customHeight="1" x14ac:dyDescent="0.15">
      <c r="A49" s="4" t="str">
        <f>IF(B49="","",IF(SUBTOTAL(103,B49)=0,"",SUBTOTAL(103,$B$5:B49)))</f>
        <v/>
      </c>
      <c r="B49" s="4" t="str">
        <f>INDEX(Sheet1!$B:$B,ROWS($A$5:$A49)+1)&amp;""</f>
        <v/>
      </c>
      <c r="C49" s="8" t="str">
        <f>INDEX(Sheet1!$O:$O,ROWS($A$5:$A49)+1)&amp;""</f>
        <v/>
      </c>
      <c r="D49" s="5" t="str">
        <f>INDEX(Sheet1!$T:$T,ROWS($A$5:$A49)+1)&amp;""</f>
        <v/>
      </c>
      <c r="E49" s="4" t="str">
        <f>INDEX(Sheet1!$Y:$Y,ROWS($A$5:$A49)+1)&amp;""</f>
        <v/>
      </c>
      <c r="F49" s="9" t="str">
        <f>INDEX(Sheet1!$AC:$AC,ROWS($A$5:$A49)+1)&amp;""</f>
        <v/>
      </c>
      <c r="G49" s="4" t="str">
        <f>INDEX(Sheet1!$AM:$AM,ROWS($A$5:$A49)+1)&amp;""</f>
        <v/>
      </c>
      <c r="H49" s="4" t="str">
        <f>INDEX(Sheet1!$AN:$AN,ROWS($A$5:$A49)+1)&amp;""</f>
        <v/>
      </c>
      <c r="I49" s="6" t="str">
        <f>INDEX(Sheet1!$BA:$BA,ROWS($A$5:$A49)+1)&amp;""</f>
        <v/>
      </c>
      <c r="J49" s="4" t="str">
        <f>INDEX(Sheet1!$BB:$BB,ROWS($A$5:$A49)+1)&amp;""</f>
        <v/>
      </c>
      <c r="K49" s="6" t="str">
        <f>INDEX(Sheet1!$BO:$BO,ROWS($A$5:$A49)+1)&amp;""</f>
        <v/>
      </c>
      <c r="L49" s="4" t="str">
        <f>INDEX(Sheet1!$BP:$BP,ROWS($A$5:$A49)+1)&amp;""</f>
        <v/>
      </c>
      <c r="M49" s="10" t="str">
        <f>INDEX(Sheet1!$CB:$CB,ROWS($A$5:$A49)+1)&amp;""</f>
        <v/>
      </c>
      <c r="N49" s="7" t="str">
        <f>IF(INDEX(Sheet1!$CC:$CC,ROWS($A$5:$A49)+1)="","",INDEX(Sheet1!$CC:$CC,ROWS($A$5:$A49)+1))</f>
        <v/>
      </c>
    </row>
    <row r="50" spans="1:14" ht="20.100000000000001" customHeight="1" x14ac:dyDescent="0.15">
      <c r="A50" s="4" t="str">
        <f>IF(B50="","",IF(SUBTOTAL(103,B50)=0,"",SUBTOTAL(103,$B$5:B50)))</f>
        <v/>
      </c>
      <c r="B50" s="4" t="str">
        <f>INDEX(Sheet1!$B:$B,ROWS($A$5:$A50)+1)&amp;""</f>
        <v/>
      </c>
      <c r="C50" s="8" t="str">
        <f>INDEX(Sheet1!$O:$O,ROWS($A$5:$A50)+1)&amp;""</f>
        <v/>
      </c>
      <c r="D50" s="5" t="str">
        <f>INDEX(Sheet1!$T:$T,ROWS($A$5:$A50)+1)&amp;""</f>
        <v/>
      </c>
      <c r="E50" s="4" t="str">
        <f>INDEX(Sheet1!$Y:$Y,ROWS($A$5:$A50)+1)&amp;""</f>
        <v/>
      </c>
      <c r="F50" s="9" t="str">
        <f>INDEX(Sheet1!$AC:$AC,ROWS($A$5:$A50)+1)&amp;""</f>
        <v/>
      </c>
      <c r="G50" s="4" t="str">
        <f>INDEX(Sheet1!$AM:$AM,ROWS($A$5:$A50)+1)&amp;""</f>
        <v/>
      </c>
      <c r="H50" s="4" t="str">
        <f>INDEX(Sheet1!$AN:$AN,ROWS($A$5:$A50)+1)&amp;""</f>
        <v/>
      </c>
      <c r="I50" s="6" t="str">
        <f>INDEX(Sheet1!$BA:$BA,ROWS($A$5:$A50)+1)&amp;""</f>
        <v/>
      </c>
      <c r="J50" s="4" t="str">
        <f>INDEX(Sheet1!$BB:$BB,ROWS($A$5:$A50)+1)&amp;""</f>
        <v/>
      </c>
      <c r="K50" s="6" t="str">
        <f>INDEX(Sheet1!$BO:$BO,ROWS($A$5:$A50)+1)&amp;""</f>
        <v/>
      </c>
      <c r="L50" s="4" t="str">
        <f>INDEX(Sheet1!$BP:$BP,ROWS($A$5:$A50)+1)&amp;""</f>
        <v/>
      </c>
      <c r="M50" s="10" t="str">
        <f>INDEX(Sheet1!$CB:$CB,ROWS($A$5:$A50)+1)&amp;""</f>
        <v/>
      </c>
      <c r="N50" s="7" t="str">
        <f>IF(INDEX(Sheet1!$CC:$CC,ROWS($A$5:$A50)+1)="","",INDEX(Sheet1!$CC:$CC,ROWS($A$5:$A50)+1))</f>
        <v/>
      </c>
    </row>
    <row r="51" spans="1:14" ht="20.100000000000001" customHeight="1" x14ac:dyDescent="0.15">
      <c r="A51" s="4" t="str">
        <f>IF(B51="","",IF(SUBTOTAL(103,B51)=0,"",SUBTOTAL(103,$B$5:B51)))</f>
        <v/>
      </c>
      <c r="B51" s="4" t="str">
        <f>INDEX(Sheet1!$B:$B,ROWS($A$5:$A51)+1)&amp;""</f>
        <v/>
      </c>
      <c r="C51" s="8" t="str">
        <f>INDEX(Sheet1!$O:$O,ROWS($A$5:$A51)+1)&amp;""</f>
        <v/>
      </c>
      <c r="D51" s="5" t="str">
        <f>INDEX(Sheet1!$T:$T,ROWS($A$5:$A51)+1)&amp;""</f>
        <v/>
      </c>
      <c r="E51" s="4" t="str">
        <f>INDEX(Sheet1!$Y:$Y,ROWS($A$5:$A51)+1)&amp;""</f>
        <v/>
      </c>
      <c r="F51" s="9" t="str">
        <f>INDEX(Sheet1!$AC:$AC,ROWS($A$5:$A51)+1)&amp;""</f>
        <v/>
      </c>
      <c r="G51" s="4" t="str">
        <f>INDEX(Sheet1!$AM:$AM,ROWS($A$5:$A51)+1)&amp;""</f>
        <v/>
      </c>
      <c r="H51" s="4" t="str">
        <f>INDEX(Sheet1!$AN:$AN,ROWS($A$5:$A51)+1)&amp;""</f>
        <v/>
      </c>
      <c r="I51" s="6" t="str">
        <f>INDEX(Sheet1!$BA:$BA,ROWS($A$5:$A51)+1)&amp;""</f>
        <v/>
      </c>
      <c r="J51" s="4" t="str">
        <f>INDEX(Sheet1!$BB:$BB,ROWS($A$5:$A51)+1)&amp;""</f>
        <v/>
      </c>
      <c r="K51" s="6" t="str">
        <f>INDEX(Sheet1!$BO:$BO,ROWS($A$5:$A51)+1)&amp;""</f>
        <v/>
      </c>
      <c r="L51" s="4" t="str">
        <f>INDEX(Sheet1!$BP:$BP,ROWS($A$5:$A51)+1)&amp;""</f>
        <v/>
      </c>
      <c r="M51" s="10" t="str">
        <f>INDEX(Sheet1!$CB:$CB,ROWS($A$5:$A51)+1)&amp;""</f>
        <v/>
      </c>
      <c r="N51" s="7" t="str">
        <f>IF(INDEX(Sheet1!$CC:$CC,ROWS($A$5:$A51)+1)="","",INDEX(Sheet1!$CC:$CC,ROWS($A$5:$A51)+1))</f>
        <v/>
      </c>
    </row>
    <row r="52" spans="1:14" ht="20.100000000000001" customHeight="1" x14ac:dyDescent="0.15">
      <c r="A52" s="4" t="str">
        <f>IF(B52="","",IF(SUBTOTAL(103,B52)=0,"",SUBTOTAL(103,$B$5:B52)))</f>
        <v/>
      </c>
      <c r="B52" s="4" t="str">
        <f>INDEX(Sheet1!$B:$B,ROWS($A$5:$A52)+1)&amp;""</f>
        <v/>
      </c>
      <c r="C52" s="8" t="str">
        <f>INDEX(Sheet1!$O:$O,ROWS($A$5:$A52)+1)&amp;""</f>
        <v/>
      </c>
      <c r="D52" s="5" t="str">
        <f>INDEX(Sheet1!$T:$T,ROWS($A$5:$A52)+1)&amp;""</f>
        <v/>
      </c>
      <c r="E52" s="4" t="str">
        <f>INDEX(Sheet1!$Y:$Y,ROWS($A$5:$A52)+1)&amp;""</f>
        <v/>
      </c>
      <c r="F52" s="9" t="str">
        <f>INDEX(Sheet1!$AC:$AC,ROWS($A$5:$A52)+1)&amp;""</f>
        <v/>
      </c>
      <c r="G52" s="4" t="str">
        <f>INDEX(Sheet1!$AM:$AM,ROWS($A$5:$A52)+1)&amp;""</f>
        <v/>
      </c>
      <c r="H52" s="4" t="str">
        <f>INDEX(Sheet1!$AN:$AN,ROWS($A$5:$A52)+1)&amp;""</f>
        <v/>
      </c>
      <c r="I52" s="6" t="str">
        <f>INDEX(Sheet1!$BA:$BA,ROWS($A$5:$A52)+1)&amp;""</f>
        <v/>
      </c>
      <c r="J52" s="4" t="str">
        <f>INDEX(Sheet1!$BB:$BB,ROWS($A$5:$A52)+1)&amp;""</f>
        <v/>
      </c>
      <c r="K52" s="6" t="str">
        <f>INDEX(Sheet1!$BO:$BO,ROWS($A$5:$A52)+1)&amp;""</f>
        <v/>
      </c>
      <c r="L52" s="4" t="str">
        <f>INDEX(Sheet1!$BP:$BP,ROWS($A$5:$A52)+1)&amp;""</f>
        <v/>
      </c>
      <c r="M52" s="10" t="str">
        <f>INDEX(Sheet1!$CB:$CB,ROWS($A$5:$A52)+1)&amp;""</f>
        <v/>
      </c>
      <c r="N52" s="7" t="str">
        <f>IF(INDEX(Sheet1!$CC:$CC,ROWS($A$5:$A52)+1)="","",INDEX(Sheet1!$CC:$CC,ROWS($A$5:$A52)+1))</f>
        <v/>
      </c>
    </row>
    <row r="53" spans="1:14" ht="20.100000000000001" customHeight="1" x14ac:dyDescent="0.15">
      <c r="A53" s="4" t="str">
        <f>IF(B53="","",IF(SUBTOTAL(103,B53)=0,"",SUBTOTAL(103,$B$5:B53)))</f>
        <v/>
      </c>
      <c r="B53" s="4" t="str">
        <f>INDEX(Sheet1!$B:$B,ROWS($A$5:$A53)+1)&amp;""</f>
        <v/>
      </c>
      <c r="C53" s="8" t="str">
        <f>INDEX(Sheet1!$O:$O,ROWS($A$5:$A53)+1)&amp;""</f>
        <v/>
      </c>
      <c r="D53" s="5" t="str">
        <f>INDEX(Sheet1!$T:$T,ROWS($A$5:$A53)+1)&amp;""</f>
        <v/>
      </c>
      <c r="E53" s="4" t="str">
        <f>INDEX(Sheet1!$Y:$Y,ROWS($A$5:$A53)+1)&amp;""</f>
        <v/>
      </c>
      <c r="F53" s="9" t="str">
        <f>INDEX(Sheet1!$AC:$AC,ROWS($A$5:$A53)+1)&amp;""</f>
        <v/>
      </c>
      <c r="G53" s="4" t="str">
        <f>INDEX(Sheet1!$AM:$AM,ROWS($A$5:$A53)+1)&amp;""</f>
        <v/>
      </c>
      <c r="H53" s="4" t="str">
        <f>INDEX(Sheet1!$AN:$AN,ROWS($A$5:$A53)+1)&amp;""</f>
        <v/>
      </c>
      <c r="I53" s="6" t="str">
        <f>INDEX(Sheet1!$BA:$BA,ROWS($A$5:$A53)+1)&amp;""</f>
        <v/>
      </c>
      <c r="J53" s="4" t="str">
        <f>INDEX(Sheet1!$BB:$BB,ROWS($A$5:$A53)+1)&amp;""</f>
        <v/>
      </c>
      <c r="K53" s="6" t="str">
        <f>INDEX(Sheet1!$BO:$BO,ROWS($A$5:$A53)+1)&amp;""</f>
        <v/>
      </c>
      <c r="L53" s="4" t="str">
        <f>INDEX(Sheet1!$BP:$BP,ROWS($A$5:$A53)+1)&amp;""</f>
        <v/>
      </c>
      <c r="M53" s="10" t="str">
        <f>INDEX(Sheet1!$CB:$CB,ROWS($A$5:$A53)+1)&amp;""</f>
        <v/>
      </c>
      <c r="N53" s="7" t="str">
        <f>IF(INDEX(Sheet1!$CC:$CC,ROWS($A$5:$A53)+1)="","",INDEX(Sheet1!$CC:$CC,ROWS($A$5:$A53)+1))</f>
        <v/>
      </c>
    </row>
    <row r="54" spans="1:14" ht="20.100000000000001" customHeight="1" x14ac:dyDescent="0.15">
      <c r="A54" s="4" t="str">
        <f>IF(B54="","",IF(SUBTOTAL(103,B54)=0,"",SUBTOTAL(103,$B$5:B54)))</f>
        <v/>
      </c>
      <c r="B54" s="4" t="str">
        <f>INDEX(Sheet1!$B:$B,ROWS($A$5:$A54)+1)&amp;""</f>
        <v/>
      </c>
      <c r="C54" s="8" t="str">
        <f>INDEX(Sheet1!$O:$O,ROWS($A$5:$A54)+1)&amp;""</f>
        <v/>
      </c>
      <c r="D54" s="5" t="str">
        <f>INDEX(Sheet1!$T:$T,ROWS($A$5:$A54)+1)&amp;""</f>
        <v/>
      </c>
      <c r="E54" s="4" t="str">
        <f>INDEX(Sheet1!$Y:$Y,ROWS($A$5:$A54)+1)&amp;""</f>
        <v/>
      </c>
      <c r="F54" s="9" t="str">
        <f>INDEX(Sheet1!$AC:$AC,ROWS($A$5:$A54)+1)&amp;""</f>
        <v/>
      </c>
      <c r="G54" s="4" t="str">
        <f>INDEX(Sheet1!$AM:$AM,ROWS($A$5:$A54)+1)&amp;""</f>
        <v/>
      </c>
      <c r="H54" s="4" t="str">
        <f>INDEX(Sheet1!$AN:$AN,ROWS($A$5:$A54)+1)&amp;""</f>
        <v/>
      </c>
      <c r="I54" s="6" t="str">
        <f>INDEX(Sheet1!$BA:$BA,ROWS($A$5:$A54)+1)&amp;""</f>
        <v/>
      </c>
      <c r="J54" s="4" t="str">
        <f>INDEX(Sheet1!$BB:$BB,ROWS($A$5:$A54)+1)&amp;""</f>
        <v/>
      </c>
      <c r="K54" s="6" t="str">
        <f>INDEX(Sheet1!$BO:$BO,ROWS($A$5:$A54)+1)&amp;""</f>
        <v/>
      </c>
      <c r="L54" s="4" t="str">
        <f>INDEX(Sheet1!$BP:$BP,ROWS($A$5:$A54)+1)&amp;""</f>
        <v/>
      </c>
      <c r="M54" s="10" t="str">
        <f>INDEX(Sheet1!$CB:$CB,ROWS($A$5:$A54)+1)&amp;""</f>
        <v/>
      </c>
      <c r="N54" s="7" t="str">
        <f>IF(INDEX(Sheet1!$CC:$CC,ROWS($A$5:$A54)+1)="","",INDEX(Sheet1!$CC:$CC,ROWS($A$5:$A54)+1))</f>
        <v/>
      </c>
    </row>
    <row r="55" spans="1:14" ht="20.100000000000001" customHeight="1" x14ac:dyDescent="0.15">
      <c r="A55" s="4" t="str">
        <f>IF(B55="","",IF(SUBTOTAL(103,B55)=0,"",SUBTOTAL(103,$B$5:B55)))</f>
        <v/>
      </c>
      <c r="B55" s="4" t="str">
        <f>INDEX(Sheet1!$B:$B,ROWS($A$5:$A55)+1)&amp;""</f>
        <v/>
      </c>
      <c r="C55" s="8" t="str">
        <f>INDEX(Sheet1!$O:$O,ROWS($A$5:$A55)+1)&amp;""</f>
        <v/>
      </c>
      <c r="D55" s="5" t="str">
        <f>INDEX(Sheet1!$T:$T,ROWS($A$5:$A55)+1)&amp;""</f>
        <v/>
      </c>
      <c r="E55" s="4" t="str">
        <f>INDEX(Sheet1!$Y:$Y,ROWS($A$5:$A55)+1)&amp;""</f>
        <v/>
      </c>
      <c r="F55" s="9" t="str">
        <f>INDEX(Sheet1!$AC:$AC,ROWS($A$5:$A55)+1)&amp;""</f>
        <v/>
      </c>
      <c r="G55" s="4" t="str">
        <f>INDEX(Sheet1!$AM:$AM,ROWS($A$5:$A55)+1)&amp;""</f>
        <v/>
      </c>
      <c r="H55" s="4" t="str">
        <f>INDEX(Sheet1!$AN:$AN,ROWS($A$5:$A55)+1)&amp;""</f>
        <v/>
      </c>
      <c r="I55" s="6" t="str">
        <f>INDEX(Sheet1!$BA:$BA,ROWS($A$5:$A55)+1)&amp;""</f>
        <v/>
      </c>
      <c r="J55" s="4" t="str">
        <f>INDEX(Sheet1!$BB:$BB,ROWS($A$5:$A55)+1)&amp;""</f>
        <v/>
      </c>
      <c r="K55" s="6" t="str">
        <f>INDEX(Sheet1!$BO:$BO,ROWS($A$5:$A55)+1)&amp;""</f>
        <v/>
      </c>
      <c r="L55" s="4" t="str">
        <f>INDEX(Sheet1!$BP:$BP,ROWS($A$5:$A55)+1)&amp;""</f>
        <v/>
      </c>
      <c r="M55" s="10" t="str">
        <f>INDEX(Sheet1!$CB:$CB,ROWS($A$5:$A55)+1)&amp;""</f>
        <v/>
      </c>
      <c r="N55" s="7" t="str">
        <f>IF(INDEX(Sheet1!$CC:$CC,ROWS($A$5:$A55)+1)="","",INDEX(Sheet1!$CC:$CC,ROWS($A$5:$A55)+1))</f>
        <v/>
      </c>
    </row>
    <row r="56" spans="1:14" ht="20.100000000000001" customHeight="1" x14ac:dyDescent="0.15">
      <c r="A56" s="4" t="str">
        <f>IF(B56="","",IF(SUBTOTAL(103,B56)=0,"",SUBTOTAL(103,$B$5:B56)))</f>
        <v/>
      </c>
      <c r="B56" s="4" t="str">
        <f>INDEX(Sheet1!$B:$B,ROWS($A$5:$A56)+1)&amp;""</f>
        <v/>
      </c>
      <c r="C56" s="8" t="str">
        <f>INDEX(Sheet1!$O:$O,ROWS($A$5:$A56)+1)&amp;""</f>
        <v/>
      </c>
      <c r="D56" s="5" t="str">
        <f>INDEX(Sheet1!$T:$T,ROWS($A$5:$A56)+1)&amp;""</f>
        <v/>
      </c>
      <c r="E56" s="4" t="str">
        <f>INDEX(Sheet1!$Y:$Y,ROWS($A$5:$A56)+1)&amp;""</f>
        <v/>
      </c>
      <c r="F56" s="9" t="str">
        <f>INDEX(Sheet1!$AC:$AC,ROWS($A$5:$A56)+1)&amp;""</f>
        <v/>
      </c>
      <c r="G56" s="4" t="str">
        <f>INDEX(Sheet1!$AM:$AM,ROWS($A$5:$A56)+1)&amp;""</f>
        <v/>
      </c>
      <c r="H56" s="4" t="str">
        <f>INDEX(Sheet1!$AN:$AN,ROWS($A$5:$A56)+1)&amp;""</f>
        <v/>
      </c>
      <c r="I56" s="6" t="str">
        <f>INDEX(Sheet1!$BA:$BA,ROWS($A$5:$A56)+1)&amp;""</f>
        <v/>
      </c>
      <c r="J56" s="4" t="str">
        <f>INDEX(Sheet1!$BB:$BB,ROWS($A$5:$A56)+1)&amp;""</f>
        <v/>
      </c>
      <c r="K56" s="6" t="str">
        <f>INDEX(Sheet1!$BO:$BO,ROWS($A$5:$A56)+1)&amp;""</f>
        <v/>
      </c>
      <c r="L56" s="4" t="str">
        <f>INDEX(Sheet1!$BP:$BP,ROWS($A$5:$A56)+1)&amp;""</f>
        <v/>
      </c>
      <c r="M56" s="10" t="str">
        <f>INDEX(Sheet1!$CB:$CB,ROWS($A$5:$A56)+1)&amp;""</f>
        <v/>
      </c>
      <c r="N56" s="7" t="str">
        <f>IF(INDEX(Sheet1!$CC:$CC,ROWS($A$5:$A56)+1)="","",INDEX(Sheet1!$CC:$CC,ROWS($A$5:$A56)+1))</f>
        <v/>
      </c>
    </row>
    <row r="57" spans="1:14" ht="20.100000000000001" customHeight="1" x14ac:dyDescent="0.15">
      <c r="A57" s="4" t="str">
        <f>IF(B57="","",IF(SUBTOTAL(103,B57)=0,"",SUBTOTAL(103,$B$5:B57)))</f>
        <v/>
      </c>
      <c r="B57" s="4" t="str">
        <f>INDEX(Sheet1!$B:$B,ROWS($A$5:$A57)+1)&amp;""</f>
        <v/>
      </c>
      <c r="C57" s="8" t="str">
        <f>INDEX(Sheet1!$O:$O,ROWS($A$5:$A57)+1)&amp;""</f>
        <v/>
      </c>
      <c r="D57" s="5" t="str">
        <f>INDEX(Sheet1!$T:$T,ROWS($A$5:$A57)+1)&amp;""</f>
        <v/>
      </c>
      <c r="E57" s="4" t="str">
        <f>INDEX(Sheet1!$Y:$Y,ROWS($A$5:$A57)+1)&amp;""</f>
        <v/>
      </c>
      <c r="F57" s="9" t="str">
        <f>INDEX(Sheet1!$AC:$AC,ROWS($A$5:$A57)+1)&amp;""</f>
        <v/>
      </c>
      <c r="G57" s="4" t="str">
        <f>INDEX(Sheet1!$AM:$AM,ROWS($A$5:$A57)+1)&amp;""</f>
        <v/>
      </c>
      <c r="H57" s="4" t="str">
        <f>INDEX(Sheet1!$AN:$AN,ROWS($A$5:$A57)+1)&amp;""</f>
        <v/>
      </c>
      <c r="I57" s="6" t="str">
        <f>INDEX(Sheet1!$BA:$BA,ROWS($A$5:$A57)+1)&amp;""</f>
        <v/>
      </c>
      <c r="J57" s="4" t="str">
        <f>INDEX(Sheet1!$BB:$BB,ROWS($A$5:$A57)+1)&amp;""</f>
        <v/>
      </c>
      <c r="K57" s="6" t="str">
        <f>INDEX(Sheet1!$BO:$BO,ROWS($A$5:$A57)+1)&amp;""</f>
        <v/>
      </c>
      <c r="L57" s="4" t="str">
        <f>INDEX(Sheet1!$BP:$BP,ROWS($A$5:$A57)+1)&amp;""</f>
        <v/>
      </c>
      <c r="M57" s="10" t="str">
        <f>INDEX(Sheet1!$CB:$CB,ROWS($A$5:$A57)+1)&amp;""</f>
        <v/>
      </c>
      <c r="N57" s="7" t="str">
        <f>IF(INDEX(Sheet1!$CC:$CC,ROWS($A$5:$A57)+1)="","",INDEX(Sheet1!$CC:$CC,ROWS($A$5:$A57)+1))</f>
        <v/>
      </c>
    </row>
    <row r="58" spans="1:14" ht="20.100000000000001" customHeight="1" x14ac:dyDescent="0.15">
      <c r="A58" s="4" t="str">
        <f>IF(B58="","",IF(SUBTOTAL(103,B58)=0,"",SUBTOTAL(103,$B$5:B58)))</f>
        <v/>
      </c>
      <c r="B58" s="4" t="str">
        <f>INDEX(Sheet1!$B:$B,ROWS($A$5:$A58)+1)&amp;""</f>
        <v/>
      </c>
      <c r="C58" s="8" t="str">
        <f>INDEX(Sheet1!$O:$O,ROWS($A$5:$A58)+1)&amp;""</f>
        <v/>
      </c>
      <c r="D58" s="5" t="str">
        <f>INDEX(Sheet1!$T:$T,ROWS($A$5:$A58)+1)&amp;""</f>
        <v/>
      </c>
      <c r="E58" s="4" t="str">
        <f>INDEX(Sheet1!$Y:$Y,ROWS($A$5:$A58)+1)&amp;""</f>
        <v/>
      </c>
      <c r="F58" s="9" t="str">
        <f>INDEX(Sheet1!$AC:$AC,ROWS($A$5:$A58)+1)&amp;""</f>
        <v/>
      </c>
      <c r="G58" s="4" t="str">
        <f>INDEX(Sheet1!$AM:$AM,ROWS($A$5:$A58)+1)&amp;""</f>
        <v/>
      </c>
      <c r="H58" s="4" t="str">
        <f>INDEX(Sheet1!$AN:$AN,ROWS($A$5:$A58)+1)&amp;""</f>
        <v/>
      </c>
      <c r="I58" s="6" t="str">
        <f>INDEX(Sheet1!$BA:$BA,ROWS($A$5:$A58)+1)&amp;""</f>
        <v/>
      </c>
      <c r="J58" s="4" t="str">
        <f>INDEX(Sheet1!$BB:$BB,ROWS($A$5:$A58)+1)&amp;""</f>
        <v/>
      </c>
      <c r="K58" s="6" t="str">
        <f>INDEX(Sheet1!$BO:$BO,ROWS($A$5:$A58)+1)&amp;""</f>
        <v/>
      </c>
      <c r="L58" s="4" t="str">
        <f>INDEX(Sheet1!$BP:$BP,ROWS($A$5:$A58)+1)&amp;""</f>
        <v/>
      </c>
      <c r="M58" s="10" t="str">
        <f>INDEX(Sheet1!$CB:$CB,ROWS($A$5:$A58)+1)&amp;""</f>
        <v/>
      </c>
      <c r="N58" s="7" t="str">
        <f>IF(INDEX(Sheet1!$CC:$CC,ROWS($A$5:$A58)+1)="","",INDEX(Sheet1!$CC:$CC,ROWS($A$5:$A58)+1))</f>
        <v/>
      </c>
    </row>
    <row r="59" spans="1:14" ht="20.100000000000001" customHeight="1" x14ac:dyDescent="0.15">
      <c r="A59" s="4" t="str">
        <f>IF(B59="","",IF(SUBTOTAL(103,B59)=0,"",SUBTOTAL(103,$B$5:B59)))</f>
        <v/>
      </c>
      <c r="B59" s="4" t="str">
        <f>INDEX(Sheet1!$B:$B,ROWS($A$5:$A59)+1)&amp;""</f>
        <v/>
      </c>
      <c r="C59" s="8" t="str">
        <f>INDEX(Sheet1!$O:$O,ROWS($A$5:$A59)+1)&amp;""</f>
        <v/>
      </c>
      <c r="D59" s="5" t="str">
        <f>INDEX(Sheet1!$T:$T,ROWS($A$5:$A59)+1)&amp;""</f>
        <v/>
      </c>
      <c r="E59" s="4" t="str">
        <f>INDEX(Sheet1!$Y:$Y,ROWS($A$5:$A59)+1)&amp;""</f>
        <v/>
      </c>
      <c r="F59" s="9" t="str">
        <f>INDEX(Sheet1!$AC:$AC,ROWS($A$5:$A59)+1)&amp;""</f>
        <v/>
      </c>
      <c r="G59" s="4" t="str">
        <f>INDEX(Sheet1!$AM:$AM,ROWS($A$5:$A59)+1)&amp;""</f>
        <v/>
      </c>
      <c r="H59" s="4" t="str">
        <f>INDEX(Sheet1!$AN:$AN,ROWS($A$5:$A59)+1)&amp;""</f>
        <v/>
      </c>
      <c r="I59" s="6" t="str">
        <f>INDEX(Sheet1!$BA:$BA,ROWS($A$5:$A59)+1)&amp;""</f>
        <v/>
      </c>
      <c r="J59" s="4" t="str">
        <f>INDEX(Sheet1!$BB:$BB,ROWS($A$5:$A59)+1)&amp;""</f>
        <v/>
      </c>
      <c r="K59" s="6" t="str">
        <f>INDEX(Sheet1!$BO:$BO,ROWS($A$5:$A59)+1)&amp;""</f>
        <v/>
      </c>
      <c r="L59" s="4" t="str">
        <f>INDEX(Sheet1!$BP:$BP,ROWS($A$5:$A59)+1)&amp;""</f>
        <v/>
      </c>
      <c r="M59" s="10" t="str">
        <f>INDEX(Sheet1!$CB:$CB,ROWS($A$5:$A59)+1)&amp;""</f>
        <v/>
      </c>
      <c r="N59" s="7" t="str">
        <f>IF(INDEX(Sheet1!$CC:$CC,ROWS($A$5:$A59)+1)="","",INDEX(Sheet1!$CC:$CC,ROWS($A$5:$A59)+1))</f>
        <v/>
      </c>
    </row>
    <row r="60" spans="1:14" ht="20.100000000000001" customHeight="1" x14ac:dyDescent="0.15">
      <c r="A60" s="4" t="str">
        <f>IF(B60="","",IF(SUBTOTAL(103,B60)=0,"",SUBTOTAL(103,$B$5:B60)))</f>
        <v/>
      </c>
      <c r="B60" s="4" t="str">
        <f>INDEX(Sheet1!$B:$B,ROWS($A$5:$A60)+1)&amp;""</f>
        <v/>
      </c>
      <c r="C60" s="8" t="str">
        <f>INDEX(Sheet1!$O:$O,ROWS($A$5:$A60)+1)&amp;""</f>
        <v/>
      </c>
      <c r="D60" s="5" t="str">
        <f>INDEX(Sheet1!$T:$T,ROWS($A$5:$A60)+1)&amp;""</f>
        <v/>
      </c>
      <c r="E60" s="4" t="str">
        <f>INDEX(Sheet1!$Y:$Y,ROWS($A$5:$A60)+1)&amp;""</f>
        <v/>
      </c>
      <c r="F60" s="9" t="str">
        <f>INDEX(Sheet1!$AC:$AC,ROWS($A$5:$A60)+1)&amp;""</f>
        <v/>
      </c>
      <c r="G60" s="4" t="str">
        <f>INDEX(Sheet1!$AM:$AM,ROWS($A$5:$A60)+1)&amp;""</f>
        <v/>
      </c>
      <c r="H60" s="4" t="str">
        <f>INDEX(Sheet1!$AN:$AN,ROWS($A$5:$A60)+1)&amp;""</f>
        <v/>
      </c>
      <c r="I60" s="6" t="str">
        <f>INDEX(Sheet1!$BA:$BA,ROWS($A$5:$A60)+1)&amp;""</f>
        <v/>
      </c>
      <c r="J60" s="4" t="str">
        <f>INDEX(Sheet1!$BB:$BB,ROWS($A$5:$A60)+1)&amp;""</f>
        <v/>
      </c>
      <c r="K60" s="6" t="str">
        <f>INDEX(Sheet1!$BO:$BO,ROWS($A$5:$A60)+1)&amp;""</f>
        <v/>
      </c>
      <c r="L60" s="4" t="str">
        <f>INDEX(Sheet1!$BP:$BP,ROWS($A$5:$A60)+1)&amp;""</f>
        <v/>
      </c>
      <c r="M60" s="10" t="str">
        <f>INDEX(Sheet1!$CB:$CB,ROWS($A$5:$A60)+1)&amp;""</f>
        <v/>
      </c>
      <c r="N60" s="7" t="str">
        <f>IF(INDEX(Sheet1!$CC:$CC,ROWS($A$5:$A60)+1)="","",INDEX(Sheet1!$CC:$CC,ROWS($A$5:$A60)+1))</f>
        <v/>
      </c>
    </row>
    <row r="61" spans="1:14" ht="20.100000000000001" customHeight="1" x14ac:dyDescent="0.15">
      <c r="A61" s="4" t="str">
        <f>IF(B61="","",IF(SUBTOTAL(103,B61)=0,"",SUBTOTAL(103,$B$5:B61)))</f>
        <v/>
      </c>
      <c r="B61" s="4" t="str">
        <f>INDEX(Sheet1!$B:$B,ROWS($A$5:$A61)+1)&amp;""</f>
        <v/>
      </c>
      <c r="C61" s="8" t="str">
        <f>INDEX(Sheet1!$O:$O,ROWS($A$5:$A61)+1)&amp;""</f>
        <v/>
      </c>
      <c r="D61" s="5" t="str">
        <f>INDEX(Sheet1!$T:$T,ROWS($A$5:$A61)+1)&amp;""</f>
        <v/>
      </c>
      <c r="E61" s="4" t="str">
        <f>INDEX(Sheet1!$Y:$Y,ROWS($A$5:$A61)+1)&amp;""</f>
        <v/>
      </c>
      <c r="F61" s="9" t="str">
        <f>INDEX(Sheet1!$AC:$AC,ROWS($A$5:$A61)+1)&amp;""</f>
        <v/>
      </c>
      <c r="G61" s="4" t="str">
        <f>INDEX(Sheet1!$AM:$AM,ROWS($A$5:$A61)+1)&amp;""</f>
        <v/>
      </c>
      <c r="H61" s="4" t="str">
        <f>INDEX(Sheet1!$AN:$AN,ROWS($A$5:$A61)+1)&amp;""</f>
        <v/>
      </c>
      <c r="I61" s="6" t="str">
        <f>INDEX(Sheet1!$BA:$BA,ROWS($A$5:$A61)+1)&amp;""</f>
        <v/>
      </c>
      <c r="J61" s="4" t="str">
        <f>INDEX(Sheet1!$BB:$BB,ROWS($A$5:$A61)+1)&amp;""</f>
        <v/>
      </c>
      <c r="K61" s="6" t="str">
        <f>INDEX(Sheet1!$BO:$BO,ROWS($A$5:$A61)+1)&amp;""</f>
        <v/>
      </c>
      <c r="L61" s="4" t="str">
        <f>INDEX(Sheet1!$BP:$BP,ROWS($A$5:$A61)+1)&amp;""</f>
        <v/>
      </c>
      <c r="M61" s="10" t="str">
        <f>INDEX(Sheet1!$CB:$CB,ROWS($A$5:$A61)+1)&amp;""</f>
        <v/>
      </c>
      <c r="N61" s="7" t="str">
        <f>IF(INDEX(Sheet1!$CC:$CC,ROWS($A$5:$A61)+1)="","",INDEX(Sheet1!$CC:$CC,ROWS($A$5:$A61)+1))</f>
        <v/>
      </c>
    </row>
    <row r="62" spans="1:14" ht="20.100000000000001" customHeight="1" x14ac:dyDescent="0.15">
      <c r="A62" s="4" t="str">
        <f>IF(B62="","",IF(SUBTOTAL(103,B62)=0,"",SUBTOTAL(103,$B$5:B62)))</f>
        <v/>
      </c>
      <c r="B62" s="4" t="str">
        <f>INDEX(Sheet1!$B:$B,ROWS($A$5:$A62)+1)&amp;""</f>
        <v/>
      </c>
      <c r="C62" s="8" t="str">
        <f>INDEX(Sheet1!$O:$O,ROWS($A$5:$A62)+1)&amp;""</f>
        <v/>
      </c>
      <c r="D62" s="5" t="str">
        <f>INDEX(Sheet1!$T:$T,ROWS($A$5:$A62)+1)&amp;""</f>
        <v/>
      </c>
      <c r="E62" s="4" t="str">
        <f>INDEX(Sheet1!$Y:$Y,ROWS($A$5:$A62)+1)&amp;""</f>
        <v/>
      </c>
      <c r="F62" s="9" t="str">
        <f>INDEX(Sheet1!$AC:$AC,ROWS($A$5:$A62)+1)&amp;""</f>
        <v/>
      </c>
      <c r="G62" s="4" t="str">
        <f>INDEX(Sheet1!$AM:$AM,ROWS($A$5:$A62)+1)&amp;""</f>
        <v/>
      </c>
      <c r="H62" s="4" t="str">
        <f>INDEX(Sheet1!$AN:$AN,ROWS($A$5:$A62)+1)&amp;""</f>
        <v/>
      </c>
      <c r="I62" s="6" t="str">
        <f>INDEX(Sheet1!$BA:$BA,ROWS($A$5:$A62)+1)&amp;""</f>
        <v/>
      </c>
      <c r="J62" s="4" t="str">
        <f>INDEX(Sheet1!$BB:$BB,ROWS($A$5:$A62)+1)&amp;""</f>
        <v/>
      </c>
      <c r="K62" s="6" t="str">
        <f>INDEX(Sheet1!$BO:$BO,ROWS($A$5:$A62)+1)&amp;""</f>
        <v/>
      </c>
      <c r="L62" s="4" t="str">
        <f>INDEX(Sheet1!$BP:$BP,ROWS($A$5:$A62)+1)&amp;""</f>
        <v/>
      </c>
      <c r="M62" s="10" t="str">
        <f>INDEX(Sheet1!$CB:$CB,ROWS($A$5:$A62)+1)&amp;""</f>
        <v/>
      </c>
      <c r="N62" s="7" t="str">
        <f>IF(INDEX(Sheet1!$CC:$CC,ROWS($A$5:$A62)+1)="","",INDEX(Sheet1!$CC:$CC,ROWS($A$5:$A62)+1))</f>
        <v/>
      </c>
    </row>
    <row r="63" spans="1:14" ht="20.100000000000001" customHeight="1" x14ac:dyDescent="0.15">
      <c r="A63" s="4" t="str">
        <f>IF(B63="","",IF(SUBTOTAL(103,B63)=0,"",SUBTOTAL(103,$B$5:B63)))</f>
        <v/>
      </c>
      <c r="B63" s="4" t="str">
        <f>INDEX(Sheet1!$B:$B,ROWS($A$5:$A63)+1)&amp;""</f>
        <v/>
      </c>
      <c r="C63" s="8" t="str">
        <f>INDEX(Sheet1!$O:$O,ROWS($A$5:$A63)+1)&amp;""</f>
        <v/>
      </c>
      <c r="D63" s="5" t="str">
        <f>INDEX(Sheet1!$T:$T,ROWS($A$5:$A63)+1)&amp;""</f>
        <v/>
      </c>
      <c r="E63" s="4" t="str">
        <f>INDEX(Sheet1!$Y:$Y,ROWS($A$5:$A63)+1)&amp;""</f>
        <v/>
      </c>
      <c r="F63" s="9" t="str">
        <f>INDEX(Sheet1!$AC:$AC,ROWS($A$5:$A63)+1)&amp;""</f>
        <v/>
      </c>
      <c r="G63" s="4" t="str">
        <f>INDEX(Sheet1!$AM:$AM,ROWS($A$5:$A63)+1)&amp;""</f>
        <v/>
      </c>
      <c r="H63" s="4" t="str">
        <f>INDEX(Sheet1!$AN:$AN,ROWS($A$5:$A63)+1)&amp;""</f>
        <v/>
      </c>
      <c r="I63" s="6" t="str">
        <f>INDEX(Sheet1!$BA:$BA,ROWS($A$5:$A63)+1)&amp;""</f>
        <v/>
      </c>
      <c r="J63" s="4" t="str">
        <f>INDEX(Sheet1!$BB:$BB,ROWS($A$5:$A63)+1)&amp;""</f>
        <v/>
      </c>
      <c r="K63" s="6" t="str">
        <f>INDEX(Sheet1!$BO:$BO,ROWS($A$5:$A63)+1)&amp;""</f>
        <v/>
      </c>
      <c r="L63" s="4" t="str">
        <f>INDEX(Sheet1!$BP:$BP,ROWS($A$5:$A63)+1)&amp;""</f>
        <v/>
      </c>
      <c r="M63" s="10" t="str">
        <f>INDEX(Sheet1!$CB:$CB,ROWS($A$5:$A63)+1)&amp;""</f>
        <v/>
      </c>
      <c r="N63" s="7" t="str">
        <f>IF(INDEX(Sheet1!$CC:$CC,ROWS($A$5:$A63)+1)="","",INDEX(Sheet1!$CC:$CC,ROWS($A$5:$A63)+1))</f>
        <v/>
      </c>
    </row>
    <row r="64" spans="1:14" ht="20.100000000000001" customHeight="1" x14ac:dyDescent="0.15">
      <c r="A64" s="4" t="str">
        <f>IF(B64="","",IF(SUBTOTAL(103,B64)=0,"",SUBTOTAL(103,$B$5:B64)))</f>
        <v/>
      </c>
      <c r="B64" s="4" t="str">
        <f>INDEX(Sheet1!$B:$B,ROWS($A$5:$A64)+1)&amp;""</f>
        <v/>
      </c>
      <c r="C64" s="8" t="str">
        <f>INDEX(Sheet1!$O:$O,ROWS($A$5:$A64)+1)&amp;""</f>
        <v/>
      </c>
      <c r="D64" s="5" t="str">
        <f>INDEX(Sheet1!$T:$T,ROWS($A$5:$A64)+1)&amp;""</f>
        <v/>
      </c>
      <c r="E64" s="4" t="str">
        <f>INDEX(Sheet1!$Y:$Y,ROWS($A$5:$A64)+1)&amp;""</f>
        <v/>
      </c>
      <c r="F64" s="9" t="str">
        <f>INDEX(Sheet1!$AC:$AC,ROWS($A$5:$A64)+1)&amp;""</f>
        <v/>
      </c>
      <c r="G64" s="4" t="str">
        <f>INDEX(Sheet1!$AM:$AM,ROWS($A$5:$A64)+1)&amp;""</f>
        <v/>
      </c>
      <c r="H64" s="4" t="str">
        <f>INDEX(Sheet1!$AN:$AN,ROWS($A$5:$A64)+1)&amp;""</f>
        <v/>
      </c>
      <c r="I64" s="6" t="str">
        <f>INDEX(Sheet1!$BA:$BA,ROWS($A$5:$A64)+1)&amp;""</f>
        <v/>
      </c>
      <c r="J64" s="4" t="str">
        <f>INDEX(Sheet1!$BB:$BB,ROWS($A$5:$A64)+1)&amp;""</f>
        <v/>
      </c>
      <c r="K64" s="6" t="str">
        <f>INDEX(Sheet1!$BO:$BO,ROWS($A$5:$A64)+1)&amp;""</f>
        <v/>
      </c>
      <c r="L64" s="4" t="str">
        <f>INDEX(Sheet1!$BP:$BP,ROWS($A$5:$A64)+1)&amp;""</f>
        <v/>
      </c>
      <c r="M64" s="10" t="str">
        <f>INDEX(Sheet1!$CB:$CB,ROWS($A$5:$A64)+1)&amp;""</f>
        <v/>
      </c>
      <c r="N64" s="7" t="str">
        <f>IF(INDEX(Sheet1!$CC:$CC,ROWS($A$5:$A64)+1)="","",INDEX(Sheet1!$CC:$CC,ROWS($A$5:$A64)+1))</f>
        <v/>
      </c>
    </row>
    <row r="65" spans="1:14" ht="20.100000000000001" customHeight="1" x14ac:dyDescent="0.15">
      <c r="A65" s="4" t="str">
        <f>IF(B65="","",IF(SUBTOTAL(103,B65)=0,"",SUBTOTAL(103,$B$5:B65)))</f>
        <v/>
      </c>
      <c r="B65" s="4" t="str">
        <f>INDEX(Sheet1!$B:$B,ROWS($A$5:$A65)+1)&amp;""</f>
        <v/>
      </c>
      <c r="C65" s="8" t="str">
        <f>INDEX(Sheet1!$O:$O,ROWS($A$5:$A65)+1)&amp;""</f>
        <v/>
      </c>
      <c r="D65" s="5" t="str">
        <f>INDEX(Sheet1!$T:$T,ROWS($A$5:$A65)+1)&amp;""</f>
        <v/>
      </c>
      <c r="E65" s="4" t="str">
        <f>INDEX(Sheet1!$Y:$Y,ROWS($A$5:$A65)+1)&amp;""</f>
        <v/>
      </c>
      <c r="F65" s="9" t="str">
        <f>INDEX(Sheet1!$AC:$AC,ROWS($A$5:$A65)+1)&amp;""</f>
        <v/>
      </c>
      <c r="G65" s="4" t="str">
        <f>INDEX(Sheet1!$AM:$AM,ROWS($A$5:$A65)+1)&amp;""</f>
        <v/>
      </c>
      <c r="H65" s="4" t="str">
        <f>INDEX(Sheet1!$AN:$AN,ROWS($A$5:$A65)+1)&amp;""</f>
        <v/>
      </c>
      <c r="I65" s="6" t="str">
        <f>INDEX(Sheet1!$BA:$BA,ROWS($A$5:$A65)+1)&amp;""</f>
        <v/>
      </c>
      <c r="J65" s="4" t="str">
        <f>INDEX(Sheet1!$BB:$BB,ROWS($A$5:$A65)+1)&amp;""</f>
        <v/>
      </c>
      <c r="K65" s="6" t="str">
        <f>INDEX(Sheet1!$BO:$BO,ROWS($A$5:$A65)+1)&amp;""</f>
        <v/>
      </c>
      <c r="L65" s="4" t="str">
        <f>INDEX(Sheet1!$BP:$BP,ROWS($A$5:$A65)+1)&amp;""</f>
        <v/>
      </c>
      <c r="M65" s="10" t="str">
        <f>INDEX(Sheet1!$CB:$CB,ROWS($A$5:$A65)+1)&amp;""</f>
        <v/>
      </c>
      <c r="N65" s="7" t="str">
        <f>IF(INDEX(Sheet1!$CC:$CC,ROWS($A$5:$A65)+1)="","",INDEX(Sheet1!$CC:$CC,ROWS($A$5:$A65)+1))</f>
        <v/>
      </c>
    </row>
    <row r="66" spans="1:14" ht="20.100000000000001" customHeight="1" x14ac:dyDescent="0.15">
      <c r="A66" s="4" t="str">
        <f>IF(B66="","",IF(SUBTOTAL(103,B66)=0,"",SUBTOTAL(103,$B$5:B66)))</f>
        <v/>
      </c>
      <c r="B66" s="4" t="str">
        <f>INDEX(Sheet1!$B:$B,ROWS($A$5:$A66)+1)&amp;""</f>
        <v/>
      </c>
      <c r="C66" s="8" t="str">
        <f>INDEX(Sheet1!$O:$O,ROWS($A$5:$A66)+1)&amp;""</f>
        <v/>
      </c>
      <c r="D66" s="5" t="str">
        <f>INDEX(Sheet1!$T:$T,ROWS($A$5:$A66)+1)&amp;""</f>
        <v/>
      </c>
      <c r="E66" s="4" t="str">
        <f>INDEX(Sheet1!$Y:$Y,ROWS($A$5:$A66)+1)&amp;""</f>
        <v/>
      </c>
      <c r="F66" s="9" t="str">
        <f>INDEX(Sheet1!$AC:$AC,ROWS($A$5:$A66)+1)&amp;""</f>
        <v/>
      </c>
      <c r="G66" s="4" t="str">
        <f>INDEX(Sheet1!$AM:$AM,ROWS($A$5:$A66)+1)&amp;""</f>
        <v/>
      </c>
      <c r="H66" s="4" t="str">
        <f>INDEX(Sheet1!$AN:$AN,ROWS($A$5:$A66)+1)&amp;""</f>
        <v/>
      </c>
      <c r="I66" s="6" t="str">
        <f>INDEX(Sheet1!$BA:$BA,ROWS($A$5:$A66)+1)&amp;""</f>
        <v/>
      </c>
      <c r="J66" s="4" t="str">
        <f>INDEX(Sheet1!$BB:$BB,ROWS($A$5:$A66)+1)&amp;""</f>
        <v/>
      </c>
      <c r="K66" s="6" t="str">
        <f>INDEX(Sheet1!$BO:$BO,ROWS($A$5:$A66)+1)&amp;""</f>
        <v/>
      </c>
      <c r="L66" s="4" t="str">
        <f>INDEX(Sheet1!$BP:$BP,ROWS($A$5:$A66)+1)&amp;""</f>
        <v/>
      </c>
      <c r="M66" s="10" t="str">
        <f>INDEX(Sheet1!$CB:$CB,ROWS($A$5:$A66)+1)&amp;""</f>
        <v/>
      </c>
      <c r="N66" s="7" t="str">
        <f>IF(INDEX(Sheet1!$CC:$CC,ROWS($A$5:$A66)+1)="","",INDEX(Sheet1!$CC:$CC,ROWS($A$5:$A66)+1))</f>
        <v/>
      </c>
    </row>
    <row r="67" spans="1:14" ht="20.100000000000001" customHeight="1" x14ac:dyDescent="0.15">
      <c r="A67" s="4" t="str">
        <f>IF(B67="","",IF(SUBTOTAL(103,B67)=0,"",SUBTOTAL(103,$B$5:B67)))</f>
        <v/>
      </c>
      <c r="B67" s="4" t="str">
        <f>INDEX(Sheet1!$B:$B,ROWS($A$5:$A67)+1)&amp;""</f>
        <v/>
      </c>
      <c r="C67" s="8" t="str">
        <f>INDEX(Sheet1!$O:$O,ROWS($A$5:$A67)+1)&amp;""</f>
        <v/>
      </c>
      <c r="D67" s="5" t="str">
        <f>INDEX(Sheet1!$T:$T,ROWS($A$5:$A67)+1)&amp;""</f>
        <v/>
      </c>
      <c r="E67" s="4" t="str">
        <f>INDEX(Sheet1!$Y:$Y,ROWS($A$5:$A67)+1)&amp;""</f>
        <v/>
      </c>
      <c r="F67" s="9" t="str">
        <f>INDEX(Sheet1!$AC:$AC,ROWS($A$5:$A67)+1)&amp;""</f>
        <v/>
      </c>
      <c r="G67" s="4" t="str">
        <f>INDEX(Sheet1!$AM:$AM,ROWS($A$5:$A67)+1)&amp;""</f>
        <v/>
      </c>
      <c r="H67" s="4" t="str">
        <f>INDEX(Sheet1!$AN:$AN,ROWS($A$5:$A67)+1)&amp;""</f>
        <v/>
      </c>
      <c r="I67" s="6" t="str">
        <f>INDEX(Sheet1!$BA:$BA,ROWS($A$5:$A67)+1)&amp;""</f>
        <v/>
      </c>
      <c r="J67" s="4" t="str">
        <f>INDEX(Sheet1!$BB:$BB,ROWS($A$5:$A67)+1)&amp;""</f>
        <v/>
      </c>
      <c r="K67" s="6" t="str">
        <f>INDEX(Sheet1!$BO:$BO,ROWS($A$5:$A67)+1)&amp;""</f>
        <v/>
      </c>
      <c r="L67" s="4" t="str">
        <f>INDEX(Sheet1!$BP:$BP,ROWS($A$5:$A67)+1)&amp;""</f>
        <v/>
      </c>
      <c r="M67" s="10" t="str">
        <f>INDEX(Sheet1!$CB:$CB,ROWS($A$5:$A67)+1)&amp;""</f>
        <v/>
      </c>
      <c r="N67" s="7" t="str">
        <f>IF(INDEX(Sheet1!$CC:$CC,ROWS($A$5:$A67)+1)="","",INDEX(Sheet1!$CC:$CC,ROWS($A$5:$A67)+1))</f>
        <v/>
      </c>
    </row>
    <row r="68" spans="1:14" ht="20.100000000000001" customHeight="1" x14ac:dyDescent="0.15">
      <c r="A68" s="4" t="str">
        <f>IF(B68="","",IF(SUBTOTAL(103,B68)=0,"",SUBTOTAL(103,$B$5:B68)))</f>
        <v/>
      </c>
      <c r="B68" s="4" t="str">
        <f>INDEX(Sheet1!$B:$B,ROWS($A$5:$A68)+1)&amp;""</f>
        <v/>
      </c>
      <c r="C68" s="8" t="str">
        <f>INDEX(Sheet1!$O:$O,ROWS($A$5:$A68)+1)&amp;""</f>
        <v/>
      </c>
      <c r="D68" s="5" t="str">
        <f>INDEX(Sheet1!$T:$T,ROWS($A$5:$A68)+1)&amp;""</f>
        <v/>
      </c>
      <c r="E68" s="4" t="str">
        <f>INDEX(Sheet1!$Y:$Y,ROWS($A$5:$A68)+1)&amp;""</f>
        <v/>
      </c>
      <c r="F68" s="9" t="str">
        <f>INDEX(Sheet1!$AC:$AC,ROWS($A$5:$A68)+1)&amp;""</f>
        <v/>
      </c>
      <c r="G68" s="4" t="str">
        <f>INDEX(Sheet1!$AM:$AM,ROWS($A$5:$A68)+1)&amp;""</f>
        <v/>
      </c>
      <c r="H68" s="4" t="str">
        <f>INDEX(Sheet1!$AN:$AN,ROWS($A$5:$A68)+1)&amp;""</f>
        <v/>
      </c>
      <c r="I68" s="6" t="str">
        <f>INDEX(Sheet1!$BA:$BA,ROWS($A$5:$A68)+1)&amp;""</f>
        <v/>
      </c>
      <c r="J68" s="4" t="str">
        <f>INDEX(Sheet1!$BB:$BB,ROWS($A$5:$A68)+1)&amp;""</f>
        <v/>
      </c>
      <c r="K68" s="6" t="str">
        <f>INDEX(Sheet1!$BO:$BO,ROWS($A$5:$A68)+1)&amp;""</f>
        <v/>
      </c>
      <c r="L68" s="4" t="str">
        <f>INDEX(Sheet1!$BP:$BP,ROWS($A$5:$A68)+1)&amp;""</f>
        <v/>
      </c>
      <c r="M68" s="10" t="str">
        <f>INDEX(Sheet1!$CB:$CB,ROWS($A$5:$A68)+1)&amp;""</f>
        <v/>
      </c>
      <c r="N68" s="7" t="str">
        <f>IF(INDEX(Sheet1!$CC:$CC,ROWS($A$5:$A68)+1)="","",INDEX(Sheet1!$CC:$CC,ROWS($A$5:$A68)+1))</f>
        <v/>
      </c>
    </row>
    <row r="69" spans="1:14" ht="20.100000000000001" customHeight="1" x14ac:dyDescent="0.15">
      <c r="A69" s="4" t="str">
        <f>IF(B69="","",IF(SUBTOTAL(103,B69)=0,"",SUBTOTAL(103,$B$5:B69)))</f>
        <v/>
      </c>
      <c r="B69" s="4" t="str">
        <f>INDEX(Sheet1!$B:$B,ROWS($A$5:$A69)+1)&amp;""</f>
        <v/>
      </c>
      <c r="C69" s="8" t="str">
        <f>INDEX(Sheet1!$O:$O,ROWS($A$5:$A69)+1)&amp;""</f>
        <v/>
      </c>
      <c r="D69" s="5" t="str">
        <f>INDEX(Sheet1!$T:$T,ROWS($A$5:$A69)+1)&amp;""</f>
        <v/>
      </c>
      <c r="E69" s="4" t="str">
        <f>INDEX(Sheet1!$Y:$Y,ROWS($A$5:$A69)+1)&amp;""</f>
        <v/>
      </c>
      <c r="F69" s="9" t="str">
        <f>INDEX(Sheet1!$AC:$AC,ROWS($A$5:$A69)+1)&amp;""</f>
        <v/>
      </c>
      <c r="G69" s="4" t="str">
        <f>INDEX(Sheet1!$AM:$AM,ROWS($A$5:$A69)+1)&amp;""</f>
        <v/>
      </c>
      <c r="H69" s="4" t="str">
        <f>INDEX(Sheet1!$AN:$AN,ROWS($A$5:$A69)+1)&amp;""</f>
        <v/>
      </c>
      <c r="I69" s="6" t="str">
        <f>INDEX(Sheet1!$BA:$BA,ROWS($A$5:$A69)+1)&amp;""</f>
        <v/>
      </c>
      <c r="J69" s="4" t="str">
        <f>INDEX(Sheet1!$BB:$BB,ROWS($A$5:$A69)+1)&amp;""</f>
        <v/>
      </c>
      <c r="K69" s="6" t="str">
        <f>INDEX(Sheet1!$BO:$BO,ROWS($A$5:$A69)+1)&amp;""</f>
        <v/>
      </c>
      <c r="L69" s="4" t="str">
        <f>INDEX(Sheet1!$BP:$BP,ROWS($A$5:$A69)+1)&amp;""</f>
        <v/>
      </c>
      <c r="M69" s="10" t="str">
        <f>INDEX(Sheet1!$CB:$CB,ROWS($A$5:$A69)+1)&amp;""</f>
        <v/>
      </c>
      <c r="N69" s="7" t="str">
        <f>IF(INDEX(Sheet1!$CC:$CC,ROWS($A$5:$A69)+1)="","",INDEX(Sheet1!$CC:$CC,ROWS($A$5:$A69)+1))</f>
        <v/>
      </c>
    </row>
    <row r="70" spans="1:14" ht="20.100000000000001" customHeight="1" x14ac:dyDescent="0.15">
      <c r="A70" s="4" t="str">
        <f>IF(B70="","",IF(SUBTOTAL(103,B70)=0,"",SUBTOTAL(103,$B$5:B70)))</f>
        <v/>
      </c>
      <c r="B70" s="4" t="str">
        <f>INDEX(Sheet1!$B:$B,ROWS($A$5:$A70)+1)&amp;""</f>
        <v/>
      </c>
      <c r="C70" s="8" t="str">
        <f>INDEX(Sheet1!$O:$O,ROWS($A$5:$A70)+1)&amp;""</f>
        <v/>
      </c>
      <c r="D70" s="5" t="str">
        <f>INDEX(Sheet1!$T:$T,ROWS($A$5:$A70)+1)&amp;""</f>
        <v/>
      </c>
      <c r="E70" s="4" t="str">
        <f>INDEX(Sheet1!$Y:$Y,ROWS($A$5:$A70)+1)&amp;""</f>
        <v/>
      </c>
      <c r="F70" s="9" t="str">
        <f>INDEX(Sheet1!$AC:$AC,ROWS($A$5:$A70)+1)&amp;""</f>
        <v/>
      </c>
      <c r="G70" s="4" t="str">
        <f>INDEX(Sheet1!$AM:$AM,ROWS($A$5:$A70)+1)&amp;""</f>
        <v/>
      </c>
      <c r="H70" s="4" t="str">
        <f>INDEX(Sheet1!$AN:$AN,ROWS($A$5:$A70)+1)&amp;""</f>
        <v/>
      </c>
      <c r="I70" s="6" t="str">
        <f>INDEX(Sheet1!$BA:$BA,ROWS($A$5:$A70)+1)&amp;""</f>
        <v/>
      </c>
      <c r="J70" s="4" t="str">
        <f>INDEX(Sheet1!$BB:$BB,ROWS($A$5:$A70)+1)&amp;""</f>
        <v/>
      </c>
      <c r="K70" s="6" t="str">
        <f>INDEX(Sheet1!$BO:$BO,ROWS($A$5:$A70)+1)&amp;""</f>
        <v/>
      </c>
      <c r="L70" s="4" t="str">
        <f>INDEX(Sheet1!$BP:$BP,ROWS($A$5:$A70)+1)&amp;""</f>
        <v/>
      </c>
      <c r="M70" s="10" t="str">
        <f>INDEX(Sheet1!$CB:$CB,ROWS($A$5:$A70)+1)&amp;""</f>
        <v/>
      </c>
      <c r="N70" s="7" t="str">
        <f>IF(INDEX(Sheet1!$CC:$CC,ROWS($A$5:$A70)+1)="","",INDEX(Sheet1!$CC:$CC,ROWS($A$5:$A70)+1))</f>
        <v/>
      </c>
    </row>
    <row r="71" spans="1:14" ht="20.100000000000001" customHeight="1" x14ac:dyDescent="0.15">
      <c r="A71" s="4" t="str">
        <f>IF(B71="","",IF(SUBTOTAL(103,B71)=0,"",SUBTOTAL(103,$B$5:B71)))</f>
        <v/>
      </c>
      <c r="B71" s="4" t="str">
        <f>INDEX(Sheet1!$B:$B,ROWS($A$5:$A71)+1)&amp;""</f>
        <v/>
      </c>
      <c r="C71" s="8" t="str">
        <f>INDEX(Sheet1!$O:$O,ROWS($A$5:$A71)+1)&amp;""</f>
        <v/>
      </c>
      <c r="D71" s="5" t="str">
        <f>INDEX(Sheet1!$T:$T,ROWS($A$5:$A71)+1)&amp;""</f>
        <v/>
      </c>
      <c r="E71" s="4" t="str">
        <f>INDEX(Sheet1!$Y:$Y,ROWS($A$5:$A71)+1)&amp;""</f>
        <v/>
      </c>
      <c r="F71" s="9" t="str">
        <f>INDEX(Sheet1!$AC:$AC,ROWS($A$5:$A71)+1)&amp;""</f>
        <v/>
      </c>
      <c r="G71" s="4" t="str">
        <f>INDEX(Sheet1!$AM:$AM,ROWS($A$5:$A71)+1)&amp;""</f>
        <v/>
      </c>
      <c r="H71" s="4" t="str">
        <f>INDEX(Sheet1!$AN:$AN,ROWS($A$5:$A71)+1)&amp;""</f>
        <v/>
      </c>
      <c r="I71" s="6" t="str">
        <f>INDEX(Sheet1!$BA:$BA,ROWS($A$5:$A71)+1)&amp;""</f>
        <v/>
      </c>
      <c r="J71" s="4" t="str">
        <f>INDEX(Sheet1!$BB:$BB,ROWS($A$5:$A71)+1)&amp;""</f>
        <v/>
      </c>
      <c r="K71" s="6" t="str">
        <f>INDEX(Sheet1!$BO:$BO,ROWS($A$5:$A71)+1)&amp;""</f>
        <v/>
      </c>
      <c r="L71" s="4" t="str">
        <f>INDEX(Sheet1!$BP:$BP,ROWS($A$5:$A71)+1)&amp;""</f>
        <v/>
      </c>
      <c r="M71" s="10" t="str">
        <f>INDEX(Sheet1!$CB:$CB,ROWS($A$5:$A71)+1)&amp;""</f>
        <v/>
      </c>
      <c r="N71" s="7" t="str">
        <f>IF(INDEX(Sheet1!$CC:$CC,ROWS($A$5:$A71)+1)="","",INDEX(Sheet1!$CC:$CC,ROWS($A$5:$A71)+1))</f>
        <v/>
      </c>
    </row>
    <row r="72" spans="1:14" ht="20.100000000000001" customHeight="1" x14ac:dyDescent="0.15">
      <c r="A72" s="4" t="str">
        <f>IF(B72="","",IF(SUBTOTAL(103,B72)=0,"",SUBTOTAL(103,$B$5:B72)))</f>
        <v/>
      </c>
      <c r="B72" s="4" t="str">
        <f>INDEX(Sheet1!$B:$B,ROWS($A$5:$A72)+1)&amp;""</f>
        <v/>
      </c>
      <c r="C72" s="8" t="str">
        <f>INDEX(Sheet1!$O:$O,ROWS($A$5:$A72)+1)&amp;""</f>
        <v/>
      </c>
      <c r="D72" s="5" t="str">
        <f>INDEX(Sheet1!$T:$T,ROWS($A$5:$A72)+1)&amp;""</f>
        <v/>
      </c>
      <c r="E72" s="4" t="str">
        <f>INDEX(Sheet1!$Y:$Y,ROWS($A$5:$A72)+1)&amp;""</f>
        <v/>
      </c>
      <c r="F72" s="9" t="str">
        <f>INDEX(Sheet1!$AC:$AC,ROWS($A$5:$A72)+1)&amp;""</f>
        <v/>
      </c>
      <c r="G72" s="4" t="str">
        <f>INDEX(Sheet1!$AM:$AM,ROWS($A$5:$A72)+1)&amp;""</f>
        <v/>
      </c>
      <c r="H72" s="4" t="str">
        <f>INDEX(Sheet1!$AN:$AN,ROWS($A$5:$A72)+1)&amp;""</f>
        <v/>
      </c>
      <c r="I72" s="6" t="str">
        <f>INDEX(Sheet1!$BA:$BA,ROWS($A$5:$A72)+1)&amp;""</f>
        <v/>
      </c>
      <c r="J72" s="4" t="str">
        <f>INDEX(Sheet1!$BB:$BB,ROWS($A$5:$A72)+1)&amp;""</f>
        <v/>
      </c>
      <c r="K72" s="6" t="str">
        <f>INDEX(Sheet1!$BO:$BO,ROWS($A$5:$A72)+1)&amp;""</f>
        <v/>
      </c>
      <c r="L72" s="4" t="str">
        <f>INDEX(Sheet1!$BP:$BP,ROWS($A$5:$A72)+1)&amp;""</f>
        <v/>
      </c>
      <c r="M72" s="10" t="str">
        <f>INDEX(Sheet1!$CB:$CB,ROWS($A$5:$A72)+1)&amp;""</f>
        <v/>
      </c>
      <c r="N72" s="7" t="str">
        <f>IF(INDEX(Sheet1!$CC:$CC,ROWS($A$5:$A72)+1)="","",INDEX(Sheet1!$CC:$CC,ROWS($A$5:$A72)+1))</f>
        <v/>
      </c>
    </row>
    <row r="73" spans="1:14" ht="20.100000000000001" customHeight="1" x14ac:dyDescent="0.15">
      <c r="A73" s="4" t="str">
        <f>IF(B73="","",IF(SUBTOTAL(103,B73)=0,"",SUBTOTAL(103,$B$5:B73)))</f>
        <v/>
      </c>
      <c r="B73" s="4" t="str">
        <f>INDEX(Sheet1!$B:$B,ROWS($A$5:$A73)+1)&amp;""</f>
        <v/>
      </c>
      <c r="C73" s="8" t="str">
        <f>INDEX(Sheet1!$O:$O,ROWS($A$5:$A73)+1)&amp;""</f>
        <v/>
      </c>
      <c r="D73" s="5" t="str">
        <f>INDEX(Sheet1!$T:$T,ROWS($A$5:$A73)+1)&amp;""</f>
        <v/>
      </c>
      <c r="E73" s="4" t="str">
        <f>INDEX(Sheet1!$Y:$Y,ROWS($A$5:$A73)+1)&amp;""</f>
        <v/>
      </c>
      <c r="F73" s="9" t="str">
        <f>INDEX(Sheet1!$AC:$AC,ROWS($A$5:$A73)+1)&amp;""</f>
        <v/>
      </c>
      <c r="G73" s="4" t="str">
        <f>INDEX(Sheet1!$AM:$AM,ROWS($A$5:$A73)+1)&amp;""</f>
        <v/>
      </c>
      <c r="H73" s="4" t="str">
        <f>INDEX(Sheet1!$AN:$AN,ROWS($A$5:$A73)+1)&amp;""</f>
        <v/>
      </c>
      <c r="I73" s="6" t="str">
        <f>INDEX(Sheet1!$BA:$BA,ROWS($A$5:$A73)+1)&amp;""</f>
        <v/>
      </c>
      <c r="J73" s="4" t="str">
        <f>INDEX(Sheet1!$BB:$BB,ROWS($A$5:$A73)+1)&amp;""</f>
        <v/>
      </c>
      <c r="K73" s="6" t="str">
        <f>INDEX(Sheet1!$BO:$BO,ROWS($A$5:$A73)+1)&amp;""</f>
        <v/>
      </c>
      <c r="L73" s="4" t="str">
        <f>INDEX(Sheet1!$BP:$BP,ROWS($A$5:$A73)+1)&amp;""</f>
        <v/>
      </c>
      <c r="M73" s="10" t="str">
        <f>INDEX(Sheet1!$CB:$CB,ROWS($A$5:$A73)+1)&amp;""</f>
        <v/>
      </c>
      <c r="N73" s="7" t="str">
        <f>IF(INDEX(Sheet1!$CC:$CC,ROWS($A$5:$A73)+1)="","",INDEX(Sheet1!$CC:$CC,ROWS($A$5:$A73)+1))</f>
        <v/>
      </c>
    </row>
    <row r="74" spans="1:14" ht="20.100000000000001" customHeight="1" x14ac:dyDescent="0.15">
      <c r="A74" s="4" t="str">
        <f>IF(B74="","",IF(SUBTOTAL(103,B74)=0,"",SUBTOTAL(103,$B$5:B74)))</f>
        <v/>
      </c>
      <c r="B74" s="4" t="str">
        <f>INDEX(Sheet1!$B:$B,ROWS($A$5:$A74)+1)&amp;""</f>
        <v/>
      </c>
      <c r="C74" s="8" t="str">
        <f>INDEX(Sheet1!$O:$O,ROWS($A$5:$A74)+1)&amp;""</f>
        <v/>
      </c>
      <c r="D74" s="5" t="str">
        <f>INDEX(Sheet1!$T:$T,ROWS($A$5:$A74)+1)&amp;""</f>
        <v/>
      </c>
      <c r="E74" s="4" t="str">
        <f>INDEX(Sheet1!$Y:$Y,ROWS($A$5:$A74)+1)&amp;""</f>
        <v/>
      </c>
      <c r="F74" s="9" t="str">
        <f>INDEX(Sheet1!$AC:$AC,ROWS($A$5:$A74)+1)&amp;""</f>
        <v/>
      </c>
      <c r="G74" s="4" t="str">
        <f>INDEX(Sheet1!$AM:$AM,ROWS($A$5:$A74)+1)&amp;""</f>
        <v/>
      </c>
      <c r="H74" s="4" t="str">
        <f>INDEX(Sheet1!$AN:$AN,ROWS($A$5:$A74)+1)&amp;""</f>
        <v/>
      </c>
      <c r="I74" s="6" t="str">
        <f>INDEX(Sheet1!$BA:$BA,ROWS($A$5:$A74)+1)&amp;""</f>
        <v/>
      </c>
      <c r="J74" s="4" t="str">
        <f>INDEX(Sheet1!$BB:$BB,ROWS($A$5:$A74)+1)&amp;""</f>
        <v/>
      </c>
      <c r="K74" s="6" t="str">
        <f>INDEX(Sheet1!$BO:$BO,ROWS($A$5:$A74)+1)&amp;""</f>
        <v/>
      </c>
      <c r="L74" s="4" t="str">
        <f>INDEX(Sheet1!$BP:$BP,ROWS($A$5:$A74)+1)&amp;""</f>
        <v/>
      </c>
      <c r="M74" s="10" t="str">
        <f>INDEX(Sheet1!$CB:$CB,ROWS($A$5:$A74)+1)&amp;""</f>
        <v/>
      </c>
      <c r="N74" s="7" t="str">
        <f>IF(INDEX(Sheet1!$CC:$CC,ROWS($A$5:$A74)+1)="","",INDEX(Sheet1!$CC:$CC,ROWS($A$5:$A74)+1))</f>
        <v/>
      </c>
    </row>
    <row r="75" spans="1:14" ht="20.100000000000001" customHeight="1" x14ac:dyDescent="0.15">
      <c r="A75" s="4" t="str">
        <f>IF(B75="","",IF(SUBTOTAL(103,B75)=0,"",SUBTOTAL(103,$B$5:B75)))</f>
        <v/>
      </c>
      <c r="B75" s="4" t="str">
        <f>INDEX(Sheet1!$B:$B,ROWS($A$5:$A75)+1)&amp;""</f>
        <v/>
      </c>
      <c r="C75" s="8" t="str">
        <f>INDEX(Sheet1!$O:$O,ROWS($A$5:$A75)+1)&amp;""</f>
        <v/>
      </c>
      <c r="D75" s="5" t="str">
        <f>INDEX(Sheet1!$T:$T,ROWS($A$5:$A75)+1)&amp;""</f>
        <v/>
      </c>
      <c r="E75" s="4" t="str">
        <f>INDEX(Sheet1!$Y:$Y,ROWS($A$5:$A75)+1)&amp;""</f>
        <v/>
      </c>
      <c r="F75" s="9" t="str">
        <f>INDEX(Sheet1!$AC:$AC,ROWS($A$5:$A75)+1)&amp;""</f>
        <v/>
      </c>
      <c r="G75" s="4" t="str">
        <f>INDEX(Sheet1!$AM:$AM,ROWS($A$5:$A75)+1)&amp;""</f>
        <v/>
      </c>
      <c r="H75" s="4" t="str">
        <f>INDEX(Sheet1!$AN:$AN,ROWS($A$5:$A75)+1)&amp;""</f>
        <v/>
      </c>
      <c r="I75" s="6" t="str">
        <f>INDEX(Sheet1!$BA:$BA,ROWS($A$5:$A75)+1)&amp;""</f>
        <v/>
      </c>
      <c r="J75" s="4" t="str">
        <f>INDEX(Sheet1!$BB:$BB,ROWS($A$5:$A75)+1)&amp;""</f>
        <v/>
      </c>
      <c r="K75" s="6" t="str">
        <f>INDEX(Sheet1!$BO:$BO,ROWS($A$5:$A75)+1)&amp;""</f>
        <v/>
      </c>
      <c r="L75" s="4" t="str">
        <f>INDEX(Sheet1!$BP:$BP,ROWS($A$5:$A75)+1)&amp;""</f>
        <v/>
      </c>
      <c r="M75" s="10" t="str">
        <f>INDEX(Sheet1!$CB:$CB,ROWS($A$5:$A75)+1)&amp;""</f>
        <v/>
      </c>
      <c r="N75" s="7" t="str">
        <f>IF(INDEX(Sheet1!$CC:$CC,ROWS($A$5:$A75)+1)="","",INDEX(Sheet1!$CC:$CC,ROWS($A$5:$A75)+1))</f>
        <v/>
      </c>
    </row>
    <row r="76" spans="1:14" ht="20.100000000000001" customHeight="1" x14ac:dyDescent="0.15">
      <c r="A76" s="4" t="str">
        <f>IF(B76="","",IF(SUBTOTAL(103,B76)=0,"",SUBTOTAL(103,$B$5:B76)))</f>
        <v/>
      </c>
      <c r="B76" s="4" t="str">
        <f>INDEX(Sheet1!$B:$B,ROWS($A$5:$A76)+1)&amp;""</f>
        <v/>
      </c>
      <c r="C76" s="8" t="str">
        <f>INDEX(Sheet1!$O:$O,ROWS($A$5:$A76)+1)&amp;""</f>
        <v/>
      </c>
      <c r="D76" s="5" t="str">
        <f>INDEX(Sheet1!$T:$T,ROWS($A$5:$A76)+1)&amp;""</f>
        <v/>
      </c>
      <c r="E76" s="4" t="str">
        <f>INDEX(Sheet1!$Y:$Y,ROWS($A$5:$A76)+1)&amp;""</f>
        <v/>
      </c>
      <c r="F76" s="9" t="str">
        <f>INDEX(Sheet1!$AC:$AC,ROWS($A$5:$A76)+1)&amp;""</f>
        <v/>
      </c>
      <c r="G76" s="4" t="str">
        <f>INDEX(Sheet1!$AM:$AM,ROWS($A$5:$A76)+1)&amp;""</f>
        <v/>
      </c>
      <c r="H76" s="4" t="str">
        <f>INDEX(Sheet1!$AN:$AN,ROWS($A$5:$A76)+1)&amp;""</f>
        <v/>
      </c>
      <c r="I76" s="6" t="str">
        <f>INDEX(Sheet1!$BA:$BA,ROWS($A$5:$A76)+1)&amp;""</f>
        <v/>
      </c>
      <c r="J76" s="4" t="str">
        <f>INDEX(Sheet1!$BB:$BB,ROWS($A$5:$A76)+1)&amp;""</f>
        <v/>
      </c>
      <c r="K76" s="6" t="str">
        <f>INDEX(Sheet1!$BO:$BO,ROWS($A$5:$A76)+1)&amp;""</f>
        <v/>
      </c>
      <c r="L76" s="4" t="str">
        <f>INDEX(Sheet1!$BP:$BP,ROWS($A$5:$A76)+1)&amp;""</f>
        <v/>
      </c>
      <c r="M76" s="10" t="str">
        <f>INDEX(Sheet1!$CB:$CB,ROWS($A$5:$A76)+1)&amp;""</f>
        <v/>
      </c>
      <c r="N76" s="7" t="str">
        <f>IF(INDEX(Sheet1!$CC:$CC,ROWS($A$5:$A76)+1)="","",INDEX(Sheet1!$CC:$CC,ROWS($A$5:$A76)+1))</f>
        <v/>
      </c>
    </row>
    <row r="77" spans="1:14" ht="20.100000000000001" customHeight="1" x14ac:dyDescent="0.15">
      <c r="A77" s="4" t="str">
        <f>IF(B77="","",IF(SUBTOTAL(103,B77)=0,"",SUBTOTAL(103,$B$5:B77)))</f>
        <v/>
      </c>
      <c r="B77" s="4" t="str">
        <f>INDEX(Sheet1!$B:$B,ROWS($A$5:$A77)+1)&amp;""</f>
        <v/>
      </c>
      <c r="C77" s="8" t="str">
        <f>INDEX(Sheet1!$O:$O,ROWS($A$5:$A77)+1)&amp;""</f>
        <v/>
      </c>
      <c r="D77" s="5" t="str">
        <f>INDEX(Sheet1!$T:$T,ROWS($A$5:$A77)+1)&amp;""</f>
        <v/>
      </c>
      <c r="E77" s="4" t="str">
        <f>INDEX(Sheet1!$Y:$Y,ROWS($A$5:$A77)+1)&amp;""</f>
        <v/>
      </c>
      <c r="F77" s="9" t="str">
        <f>INDEX(Sheet1!$AC:$AC,ROWS($A$5:$A77)+1)&amp;""</f>
        <v/>
      </c>
      <c r="G77" s="4" t="str">
        <f>INDEX(Sheet1!$AM:$AM,ROWS($A$5:$A77)+1)&amp;""</f>
        <v/>
      </c>
      <c r="H77" s="4" t="str">
        <f>INDEX(Sheet1!$AN:$AN,ROWS($A$5:$A77)+1)&amp;""</f>
        <v/>
      </c>
      <c r="I77" s="6" t="str">
        <f>INDEX(Sheet1!$BA:$BA,ROWS($A$5:$A77)+1)&amp;""</f>
        <v/>
      </c>
      <c r="J77" s="4" t="str">
        <f>INDEX(Sheet1!$BB:$BB,ROWS($A$5:$A77)+1)&amp;""</f>
        <v/>
      </c>
      <c r="K77" s="6" t="str">
        <f>INDEX(Sheet1!$BO:$BO,ROWS($A$5:$A77)+1)&amp;""</f>
        <v/>
      </c>
      <c r="L77" s="4" t="str">
        <f>INDEX(Sheet1!$BP:$BP,ROWS($A$5:$A77)+1)&amp;""</f>
        <v/>
      </c>
      <c r="M77" s="10" t="str">
        <f>INDEX(Sheet1!$CB:$CB,ROWS($A$5:$A77)+1)&amp;""</f>
        <v/>
      </c>
      <c r="N77" s="7" t="str">
        <f>IF(INDEX(Sheet1!$CC:$CC,ROWS($A$5:$A77)+1)="","",INDEX(Sheet1!$CC:$CC,ROWS($A$5:$A77)+1))</f>
        <v/>
      </c>
    </row>
    <row r="78" spans="1:14" ht="20.100000000000001" customHeight="1" x14ac:dyDescent="0.15">
      <c r="A78" s="4" t="str">
        <f>IF(B78="","",IF(SUBTOTAL(103,B78)=0,"",SUBTOTAL(103,$B$5:B78)))</f>
        <v/>
      </c>
      <c r="B78" s="4" t="str">
        <f>INDEX(Sheet1!$B:$B,ROWS($A$5:$A78)+1)&amp;""</f>
        <v/>
      </c>
      <c r="C78" s="8" t="str">
        <f>INDEX(Sheet1!$O:$O,ROWS($A$5:$A78)+1)&amp;""</f>
        <v/>
      </c>
      <c r="D78" s="5" t="str">
        <f>INDEX(Sheet1!$T:$T,ROWS($A$5:$A78)+1)&amp;""</f>
        <v/>
      </c>
      <c r="E78" s="4" t="str">
        <f>INDEX(Sheet1!$Y:$Y,ROWS($A$5:$A78)+1)&amp;""</f>
        <v/>
      </c>
      <c r="F78" s="9" t="str">
        <f>INDEX(Sheet1!$AC:$AC,ROWS($A$5:$A78)+1)&amp;""</f>
        <v/>
      </c>
      <c r="G78" s="4" t="str">
        <f>INDEX(Sheet1!$AM:$AM,ROWS($A$5:$A78)+1)&amp;""</f>
        <v/>
      </c>
      <c r="H78" s="4" t="str">
        <f>INDEX(Sheet1!$AN:$AN,ROWS($A$5:$A78)+1)&amp;""</f>
        <v/>
      </c>
      <c r="I78" s="6" t="str">
        <f>INDEX(Sheet1!$BA:$BA,ROWS($A$5:$A78)+1)&amp;""</f>
        <v/>
      </c>
      <c r="J78" s="4" t="str">
        <f>INDEX(Sheet1!$BB:$BB,ROWS($A$5:$A78)+1)&amp;""</f>
        <v/>
      </c>
      <c r="K78" s="6" t="str">
        <f>INDEX(Sheet1!$BO:$BO,ROWS($A$5:$A78)+1)&amp;""</f>
        <v/>
      </c>
      <c r="L78" s="4" t="str">
        <f>INDEX(Sheet1!$BP:$BP,ROWS($A$5:$A78)+1)&amp;""</f>
        <v/>
      </c>
      <c r="M78" s="10" t="str">
        <f>INDEX(Sheet1!$CB:$CB,ROWS($A$5:$A78)+1)&amp;""</f>
        <v/>
      </c>
      <c r="N78" s="7" t="str">
        <f>IF(INDEX(Sheet1!$CC:$CC,ROWS($A$5:$A78)+1)="","",INDEX(Sheet1!$CC:$CC,ROWS($A$5:$A78)+1))</f>
        <v/>
      </c>
    </row>
    <row r="79" spans="1:14" ht="20.100000000000001" customHeight="1" x14ac:dyDescent="0.15">
      <c r="A79" s="4" t="str">
        <f>IF(B79="","",IF(SUBTOTAL(103,B79)=0,"",SUBTOTAL(103,$B$5:B79)))</f>
        <v/>
      </c>
      <c r="B79" s="4" t="str">
        <f>INDEX(Sheet1!$B:$B,ROWS($A$5:$A79)+1)&amp;""</f>
        <v/>
      </c>
      <c r="C79" s="8" t="str">
        <f>INDEX(Sheet1!$O:$O,ROWS($A$5:$A79)+1)&amp;""</f>
        <v/>
      </c>
      <c r="D79" s="5" t="str">
        <f>INDEX(Sheet1!$T:$T,ROWS($A$5:$A79)+1)&amp;""</f>
        <v/>
      </c>
      <c r="E79" s="4" t="str">
        <f>INDEX(Sheet1!$Y:$Y,ROWS($A$5:$A79)+1)&amp;""</f>
        <v/>
      </c>
      <c r="F79" s="9" t="str">
        <f>INDEX(Sheet1!$AC:$AC,ROWS($A$5:$A79)+1)&amp;""</f>
        <v/>
      </c>
      <c r="G79" s="4" t="str">
        <f>INDEX(Sheet1!$AM:$AM,ROWS($A$5:$A79)+1)&amp;""</f>
        <v/>
      </c>
      <c r="H79" s="4" t="str">
        <f>INDEX(Sheet1!$AN:$AN,ROWS($A$5:$A79)+1)&amp;""</f>
        <v/>
      </c>
      <c r="I79" s="6" t="str">
        <f>INDEX(Sheet1!$BA:$BA,ROWS($A$5:$A79)+1)&amp;""</f>
        <v/>
      </c>
      <c r="J79" s="4" t="str">
        <f>INDEX(Sheet1!$BB:$BB,ROWS($A$5:$A79)+1)&amp;""</f>
        <v/>
      </c>
      <c r="K79" s="6" t="str">
        <f>INDEX(Sheet1!$BO:$BO,ROWS($A$5:$A79)+1)&amp;""</f>
        <v/>
      </c>
      <c r="L79" s="4" t="str">
        <f>INDEX(Sheet1!$BP:$BP,ROWS($A$5:$A79)+1)&amp;""</f>
        <v/>
      </c>
      <c r="M79" s="10" t="str">
        <f>INDEX(Sheet1!$CB:$CB,ROWS($A$5:$A79)+1)&amp;""</f>
        <v/>
      </c>
      <c r="N79" s="7" t="str">
        <f>IF(INDEX(Sheet1!$CC:$CC,ROWS($A$5:$A79)+1)="","",INDEX(Sheet1!$CC:$CC,ROWS($A$5:$A79)+1))</f>
        <v/>
      </c>
    </row>
    <row r="80" spans="1:14" ht="20.100000000000001" customHeight="1" x14ac:dyDescent="0.15">
      <c r="A80" s="4" t="str">
        <f>IF(B80="","",IF(SUBTOTAL(103,B80)=0,"",SUBTOTAL(103,$B$5:B80)))</f>
        <v/>
      </c>
      <c r="B80" s="4" t="str">
        <f>INDEX(Sheet1!$B:$B,ROWS($A$5:$A80)+1)&amp;""</f>
        <v/>
      </c>
      <c r="C80" s="8" t="str">
        <f>INDEX(Sheet1!$O:$O,ROWS($A$5:$A80)+1)&amp;""</f>
        <v/>
      </c>
      <c r="D80" s="5" t="str">
        <f>INDEX(Sheet1!$T:$T,ROWS($A$5:$A80)+1)&amp;""</f>
        <v/>
      </c>
      <c r="E80" s="4" t="str">
        <f>INDEX(Sheet1!$Y:$Y,ROWS($A$5:$A80)+1)&amp;""</f>
        <v/>
      </c>
      <c r="F80" s="9" t="str">
        <f>INDEX(Sheet1!$AC:$AC,ROWS($A$5:$A80)+1)&amp;""</f>
        <v/>
      </c>
      <c r="G80" s="4" t="str">
        <f>INDEX(Sheet1!$AM:$AM,ROWS($A$5:$A80)+1)&amp;""</f>
        <v/>
      </c>
      <c r="H80" s="4" t="str">
        <f>INDEX(Sheet1!$AN:$AN,ROWS($A$5:$A80)+1)&amp;""</f>
        <v/>
      </c>
      <c r="I80" s="6" t="str">
        <f>INDEX(Sheet1!$BA:$BA,ROWS($A$5:$A80)+1)&amp;""</f>
        <v/>
      </c>
      <c r="J80" s="4" t="str">
        <f>INDEX(Sheet1!$BB:$BB,ROWS($A$5:$A80)+1)&amp;""</f>
        <v/>
      </c>
      <c r="K80" s="6" t="str">
        <f>INDEX(Sheet1!$BO:$BO,ROWS($A$5:$A80)+1)&amp;""</f>
        <v/>
      </c>
      <c r="L80" s="4" t="str">
        <f>INDEX(Sheet1!$BP:$BP,ROWS($A$5:$A80)+1)&amp;""</f>
        <v/>
      </c>
      <c r="M80" s="10" t="str">
        <f>INDEX(Sheet1!$CB:$CB,ROWS($A$5:$A80)+1)&amp;""</f>
        <v/>
      </c>
      <c r="N80" s="7" t="str">
        <f>IF(INDEX(Sheet1!$CC:$CC,ROWS($A$5:$A80)+1)="","",INDEX(Sheet1!$CC:$CC,ROWS($A$5:$A80)+1))</f>
        <v/>
      </c>
    </row>
    <row r="81" spans="1:14" ht="20.100000000000001" customHeight="1" x14ac:dyDescent="0.15">
      <c r="A81" s="4" t="str">
        <f>IF(B81="","",IF(SUBTOTAL(103,B81)=0,"",SUBTOTAL(103,$B$5:B81)))</f>
        <v/>
      </c>
      <c r="B81" s="4" t="str">
        <f>INDEX(Sheet1!$B:$B,ROWS($A$5:$A81)+1)&amp;""</f>
        <v/>
      </c>
      <c r="C81" s="8" t="str">
        <f>INDEX(Sheet1!$O:$O,ROWS($A$5:$A81)+1)&amp;""</f>
        <v/>
      </c>
      <c r="D81" s="5" t="str">
        <f>INDEX(Sheet1!$T:$T,ROWS($A$5:$A81)+1)&amp;""</f>
        <v/>
      </c>
      <c r="E81" s="4" t="str">
        <f>INDEX(Sheet1!$Y:$Y,ROWS($A$5:$A81)+1)&amp;""</f>
        <v/>
      </c>
      <c r="F81" s="9" t="str">
        <f>INDEX(Sheet1!$AC:$AC,ROWS($A$5:$A81)+1)&amp;""</f>
        <v/>
      </c>
      <c r="G81" s="4" t="str">
        <f>INDEX(Sheet1!$AM:$AM,ROWS($A$5:$A81)+1)&amp;""</f>
        <v/>
      </c>
      <c r="H81" s="4" t="str">
        <f>INDEX(Sheet1!$AN:$AN,ROWS($A$5:$A81)+1)&amp;""</f>
        <v/>
      </c>
      <c r="I81" s="6" t="str">
        <f>INDEX(Sheet1!$BA:$BA,ROWS($A$5:$A81)+1)&amp;""</f>
        <v/>
      </c>
      <c r="J81" s="4" t="str">
        <f>INDEX(Sheet1!$BB:$BB,ROWS($A$5:$A81)+1)&amp;""</f>
        <v/>
      </c>
      <c r="K81" s="6" t="str">
        <f>INDEX(Sheet1!$BO:$BO,ROWS($A$5:$A81)+1)&amp;""</f>
        <v/>
      </c>
      <c r="L81" s="4" t="str">
        <f>INDEX(Sheet1!$BP:$BP,ROWS($A$5:$A81)+1)&amp;""</f>
        <v/>
      </c>
      <c r="M81" s="10" t="str">
        <f>INDEX(Sheet1!$CB:$CB,ROWS($A$5:$A81)+1)&amp;""</f>
        <v/>
      </c>
      <c r="N81" s="7" t="str">
        <f>IF(INDEX(Sheet1!$CC:$CC,ROWS($A$5:$A81)+1)="","",INDEX(Sheet1!$CC:$CC,ROWS($A$5:$A81)+1))</f>
        <v/>
      </c>
    </row>
    <row r="82" spans="1:14" ht="20.100000000000001" customHeight="1" x14ac:dyDescent="0.15">
      <c r="A82" s="4" t="str">
        <f>IF(B82="","",IF(SUBTOTAL(103,B82)=0,"",SUBTOTAL(103,$B$5:B82)))</f>
        <v/>
      </c>
      <c r="B82" s="4" t="str">
        <f>INDEX(Sheet1!$B:$B,ROWS($A$5:$A82)+1)&amp;""</f>
        <v/>
      </c>
      <c r="C82" s="8" t="str">
        <f>INDEX(Sheet1!$O:$O,ROWS($A$5:$A82)+1)&amp;""</f>
        <v/>
      </c>
      <c r="D82" s="5" t="str">
        <f>INDEX(Sheet1!$T:$T,ROWS($A$5:$A82)+1)&amp;""</f>
        <v/>
      </c>
      <c r="E82" s="4" t="str">
        <f>INDEX(Sheet1!$Y:$Y,ROWS($A$5:$A82)+1)&amp;""</f>
        <v/>
      </c>
      <c r="F82" s="9" t="str">
        <f>INDEX(Sheet1!$AC:$AC,ROWS($A$5:$A82)+1)&amp;""</f>
        <v/>
      </c>
      <c r="G82" s="4" t="str">
        <f>INDEX(Sheet1!$AM:$AM,ROWS($A$5:$A82)+1)&amp;""</f>
        <v/>
      </c>
      <c r="H82" s="4" t="str">
        <f>INDEX(Sheet1!$AN:$AN,ROWS($A$5:$A82)+1)&amp;""</f>
        <v/>
      </c>
      <c r="I82" s="6" t="str">
        <f>INDEX(Sheet1!$BA:$BA,ROWS($A$5:$A82)+1)&amp;""</f>
        <v/>
      </c>
      <c r="J82" s="4" t="str">
        <f>INDEX(Sheet1!$BB:$BB,ROWS($A$5:$A82)+1)&amp;""</f>
        <v/>
      </c>
      <c r="K82" s="6" t="str">
        <f>INDEX(Sheet1!$BO:$BO,ROWS($A$5:$A82)+1)&amp;""</f>
        <v/>
      </c>
      <c r="L82" s="4" t="str">
        <f>INDEX(Sheet1!$BP:$BP,ROWS($A$5:$A82)+1)&amp;""</f>
        <v/>
      </c>
      <c r="M82" s="10" t="str">
        <f>INDEX(Sheet1!$CB:$CB,ROWS($A$5:$A82)+1)&amp;""</f>
        <v/>
      </c>
      <c r="N82" s="7" t="str">
        <f>IF(INDEX(Sheet1!$CC:$CC,ROWS($A$5:$A82)+1)="","",INDEX(Sheet1!$CC:$CC,ROWS($A$5:$A82)+1))</f>
        <v/>
      </c>
    </row>
    <row r="83" spans="1:14" ht="20.100000000000001" customHeight="1" x14ac:dyDescent="0.15">
      <c r="A83" s="4" t="str">
        <f>IF(B83="","",IF(SUBTOTAL(103,B83)=0,"",SUBTOTAL(103,$B$5:B83)))</f>
        <v/>
      </c>
      <c r="B83" s="4" t="str">
        <f>INDEX(Sheet1!$B:$B,ROWS($A$5:$A83)+1)&amp;""</f>
        <v/>
      </c>
      <c r="C83" s="8" t="str">
        <f>INDEX(Sheet1!$O:$O,ROWS($A$5:$A83)+1)&amp;""</f>
        <v/>
      </c>
      <c r="D83" s="5" t="str">
        <f>INDEX(Sheet1!$T:$T,ROWS($A$5:$A83)+1)&amp;""</f>
        <v/>
      </c>
      <c r="E83" s="4" t="str">
        <f>INDEX(Sheet1!$Y:$Y,ROWS($A$5:$A83)+1)&amp;""</f>
        <v/>
      </c>
      <c r="F83" s="9" t="str">
        <f>INDEX(Sheet1!$AC:$AC,ROWS($A$5:$A83)+1)&amp;""</f>
        <v/>
      </c>
      <c r="G83" s="4" t="str">
        <f>INDEX(Sheet1!$AM:$AM,ROWS($A$5:$A83)+1)&amp;""</f>
        <v/>
      </c>
      <c r="H83" s="4" t="str">
        <f>INDEX(Sheet1!$AN:$AN,ROWS($A$5:$A83)+1)&amp;""</f>
        <v/>
      </c>
      <c r="I83" s="6" t="str">
        <f>INDEX(Sheet1!$BA:$BA,ROWS($A$5:$A83)+1)&amp;""</f>
        <v/>
      </c>
      <c r="J83" s="4" t="str">
        <f>INDEX(Sheet1!$BB:$BB,ROWS($A$5:$A83)+1)&amp;""</f>
        <v/>
      </c>
      <c r="K83" s="6" t="str">
        <f>INDEX(Sheet1!$BO:$BO,ROWS($A$5:$A83)+1)&amp;""</f>
        <v/>
      </c>
      <c r="L83" s="4" t="str">
        <f>INDEX(Sheet1!$BP:$BP,ROWS($A$5:$A83)+1)&amp;""</f>
        <v/>
      </c>
      <c r="M83" s="10" t="str">
        <f>INDEX(Sheet1!$CB:$CB,ROWS($A$5:$A83)+1)&amp;""</f>
        <v/>
      </c>
      <c r="N83" s="7" t="str">
        <f>IF(INDEX(Sheet1!$CC:$CC,ROWS($A$5:$A83)+1)="","",INDEX(Sheet1!$CC:$CC,ROWS($A$5:$A83)+1))</f>
        <v/>
      </c>
    </row>
    <row r="84" spans="1:14" ht="20.100000000000001" customHeight="1" x14ac:dyDescent="0.15">
      <c r="A84" s="4" t="str">
        <f>IF(B84="","",IF(SUBTOTAL(103,B84)=0,"",SUBTOTAL(103,$B$5:B84)))</f>
        <v/>
      </c>
      <c r="B84" s="4" t="str">
        <f>INDEX(Sheet1!$B:$B,ROWS($A$5:$A84)+1)&amp;""</f>
        <v/>
      </c>
      <c r="C84" s="8" t="str">
        <f>INDEX(Sheet1!$O:$O,ROWS($A$5:$A84)+1)&amp;""</f>
        <v/>
      </c>
      <c r="D84" s="5" t="str">
        <f>INDEX(Sheet1!$T:$T,ROWS($A$5:$A84)+1)&amp;""</f>
        <v/>
      </c>
      <c r="E84" s="4" t="str">
        <f>INDEX(Sheet1!$Y:$Y,ROWS($A$5:$A84)+1)&amp;""</f>
        <v/>
      </c>
      <c r="F84" s="9" t="str">
        <f>INDEX(Sheet1!$AC:$AC,ROWS($A$5:$A84)+1)&amp;""</f>
        <v/>
      </c>
      <c r="G84" s="4" t="str">
        <f>INDEX(Sheet1!$AM:$AM,ROWS($A$5:$A84)+1)&amp;""</f>
        <v/>
      </c>
      <c r="H84" s="4" t="str">
        <f>INDEX(Sheet1!$AN:$AN,ROWS($A$5:$A84)+1)&amp;""</f>
        <v/>
      </c>
      <c r="I84" s="6" t="str">
        <f>INDEX(Sheet1!$BA:$BA,ROWS($A$5:$A84)+1)&amp;""</f>
        <v/>
      </c>
      <c r="J84" s="4" t="str">
        <f>INDEX(Sheet1!$BB:$BB,ROWS($A$5:$A84)+1)&amp;""</f>
        <v/>
      </c>
      <c r="K84" s="6" t="str">
        <f>INDEX(Sheet1!$BO:$BO,ROWS($A$5:$A84)+1)&amp;""</f>
        <v/>
      </c>
      <c r="L84" s="4" t="str">
        <f>INDEX(Sheet1!$BP:$BP,ROWS($A$5:$A84)+1)&amp;""</f>
        <v/>
      </c>
      <c r="M84" s="10" t="str">
        <f>INDEX(Sheet1!$CB:$CB,ROWS($A$5:$A84)+1)&amp;""</f>
        <v/>
      </c>
      <c r="N84" s="7" t="str">
        <f>IF(INDEX(Sheet1!$CC:$CC,ROWS($A$5:$A84)+1)="","",INDEX(Sheet1!$CC:$CC,ROWS($A$5:$A84)+1))</f>
        <v/>
      </c>
    </row>
    <row r="85" spans="1:14" ht="20.100000000000001" customHeight="1" x14ac:dyDescent="0.15">
      <c r="A85" s="4" t="str">
        <f>IF(B85="","",IF(SUBTOTAL(103,B85)=0,"",SUBTOTAL(103,$B$5:B85)))</f>
        <v/>
      </c>
      <c r="B85" s="4" t="str">
        <f>INDEX(Sheet1!$B:$B,ROWS($A$5:$A85)+1)&amp;""</f>
        <v/>
      </c>
      <c r="C85" s="8" t="str">
        <f>INDEX(Sheet1!$O:$O,ROWS($A$5:$A85)+1)&amp;""</f>
        <v/>
      </c>
      <c r="D85" s="5" t="str">
        <f>INDEX(Sheet1!$T:$T,ROWS($A$5:$A85)+1)&amp;""</f>
        <v/>
      </c>
      <c r="E85" s="4" t="str">
        <f>INDEX(Sheet1!$Y:$Y,ROWS($A$5:$A85)+1)&amp;""</f>
        <v/>
      </c>
      <c r="F85" s="9" t="str">
        <f>INDEX(Sheet1!$AC:$AC,ROWS($A$5:$A85)+1)&amp;""</f>
        <v/>
      </c>
      <c r="G85" s="4" t="str">
        <f>INDEX(Sheet1!$AM:$AM,ROWS($A$5:$A85)+1)&amp;""</f>
        <v/>
      </c>
      <c r="H85" s="4" t="str">
        <f>INDEX(Sheet1!$AN:$AN,ROWS($A$5:$A85)+1)&amp;""</f>
        <v/>
      </c>
      <c r="I85" s="6" t="str">
        <f>INDEX(Sheet1!$BA:$BA,ROWS($A$5:$A85)+1)&amp;""</f>
        <v/>
      </c>
      <c r="J85" s="4" t="str">
        <f>INDEX(Sheet1!$BB:$BB,ROWS($A$5:$A85)+1)&amp;""</f>
        <v/>
      </c>
      <c r="K85" s="6" t="str">
        <f>INDEX(Sheet1!$BO:$BO,ROWS($A$5:$A85)+1)&amp;""</f>
        <v/>
      </c>
      <c r="L85" s="4" t="str">
        <f>INDEX(Sheet1!$BP:$BP,ROWS($A$5:$A85)+1)&amp;""</f>
        <v/>
      </c>
      <c r="M85" s="10" t="str">
        <f>INDEX(Sheet1!$CB:$CB,ROWS($A$5:$A85)+1)&amp;""</f>
        <v/>
      </c>
      <c r="N85" s="7" t="str">
        <f>IF(INDEX(Sheet1!$CC:$CC,ROWS($A$5:$A85)+1)="","",INDEX(Sheet1!$CC:$CC,ROWS($A$5:$A85)+1))</f>
        <v/>
      </c>
    </row>
    <row r="86" spans="1:14" ht="20.100000000000001" customHeight="1" x14ac:dyDescent="0.15">
      <c r="A86" s="4" t="str">
        <f>IF(B86="","",IF(SUBTOTAL(103,B86)=0,"",SUBTOTAL(103,$B$5:B86)))</f>
        <v/>
      </c>
      <c r="B86" s="4" t="str">
        <f>INDEX(Sheet1!$B:$B,ROWS($A$5:$A86)+1)&amp;""</f>
        <v/>
      </c>
      <c r="C86" s="8" t="str">
        <f>INDEX(Sheet1!$O:$O,ROWS($A$5:$A86)+1)&amp;""</f>
        <v/>
      </c>
      <c r="D86" s="5" t="str">
        <f>INDEX(Sheet1!$T:$T,ROWS($A$5:$A86)+1)&amp;""</f>
        <v/>
      </c>
      <c r="E86" s="4" t="str">
        <f>INDEX(Sheet1!$Y:$Y,ROWS($A$5:$A86)+1)&amp;""</f>
        <v/>
      </c>
      <c r="F86" s="9" t="str">
        <f>INDEX(Sheet1!$AC:$AC,ROWS($A$5:$A86)+1)&amp;""</f>
        <v/>
      </c>
      <c r="G86" s="4" t="str">
        <f>INDEX(Sheet1!$AM:$AM,ROWS($A$5:$A86)+1)&amp;""</f>
        <v/>
      </c>
      <c r="H86" s="4" t="str">
        <f>INDEX(Sheet1!$AN:$AN,ROWS($A$5:$A86)+1)&amp;""</f>
        <v/>
      </c>
      <c r="I86" s="6" t="str">
        <f>INDEX(Sheet1!$BA:$BA,ROWS($A$5:$A86)+1)&amp;""</f>
        <v/>
      </c>
      <c r="J86" s="4" t="str">
        <f>INDEX(Sheet1!$BB:$BB,ROWS($A$5:$A86)+1)&amp;""</f>
        <v/>
      </c>
      <c r="K86" s="6" t="str">
        <f>INDEX(Sheet1!$BO:$BO,ROWS($A$5:$A86)+1)&amp;""</f>
        <v/>
      </c>
      <c r="L86" s="4" t="str">
        <f>INDEX(Sheet1!$BP:$BP,ROWS($A$5:$A86)+1)&amp;""</f>
        <v/>
      </c>
      <c r="M86" s="10" t="str">
        <f>INDEX(Sheet1!$CB:$CB,ROWS($A$5:$A86)+1)&amp;""</f>
        <v/>
      </c>
      <c r="N86" s="7" t="str">
        <f>IF(INDEX(Sheet1!$CC:$CC,ROWS($A$5:$A86)+1)="","",INDEX(Sheet1!$CC:$CC,ROWS($A$5:$A86)+1))</f>
        <v/>
      </c>
    </row>
    <row r="87" spans="1:14" ht="20.100000000000001" customHeight="1" x14ac:dyDescent="0.15">
      <c r="A87" s="4" t="str">
        <f>IF(B87="","",IF(SUBTOTAL(103,B87)=0,"",SUBTOTAL(103,$B$5:B87)))</f>
        <v/>
      </c>
      <c r="B87" s="4" t="str">
        <f>INDEX(Sheet1!$B:$B,ROWS($A$5:$A87)+1)&amp;""</f>
        <v/>
      </c>
      <c r="C87" s="8" t="str">
        <f>INDEX(Sheet1!$O:$O,ROWS($A$5:$A87)+1)&amp;""</f>
        <v/>
      </c>
      <c r="D87" s="5" t="str">
        <f>INDEX(Sheet1!$T:$T,ROWS($A$5:$A87)+1)&amp;""</f>
        <v/>
      </c>
      <c r="E87" s="4" t="str">
        <f>INDEX(Sheet1!$Y:$Y,ROWS($A$5:$A87)+1)&amp;""</f>
        <v/>
      </c>
      <c r="F87" s="9" t="str">
        <f>INDEX(Sheet1!$AC:$AC,ROWS($A$5:$A87)+1)&amp;""</f>
        <v/>
      </c>
      <c r="G87" s="4" t="str">
        <f>INDEX(Sheet1!$AM:$AM,ROWS($A$5:$A87)+1)&amp;""</f>
        <v/>
      </c>
      <c r="H87" s="4" t="str">
        <f>INDEX(Sheet1!$AN:$AN,ROWS($A$5:$A87)+1)&amp;""</f>
        <v/>
      </c>
      <c r="I87" s="6" t="str">
        <f>INDEX(Sheet1!$BA:$BA,ROWS($A$5:$A87)+1)&amp;""</f>
        <v/>
      </c>
      <c r="J87" s="4" t="str">
        <f>INDEX(Sheet1!$BB:$BB,ROWS($A$5:$A87)+1)&amp;""</f>
        <v/>
      </c>
      <c r="K87" s="6" t="str">
        <f>INDEX(Sheet1!$BO:$BO,ROWS($A$5:$A87)+1)&amp;""</f>
        <v/>
      </c>
      <c r="L87" s="4" t="str">
        <f>INDEX(Sheet1!$BP:$BP,ROWS($A$5:$A87)+1)&amp;""</f>
        <v/>
      </c>
      <c r="M87" s="10" t="str">
        <f>INDEX(Sheet1!$CB:$CB,ROWS($A$5:$A87)+1)&amp;""</f>
        <v/>
      </c>
      <c r="N87" s="7" t="str">
        <f>IF(INDEX(Sheet1!$CC:$CC,ROWS($A$5:$A87)+1)="","",INDEX(Sheet1!$CC:$CC,ROWS($A$5:$A87)+1))</f>
        <v/>
      </c>
    </row>
    <row r="88" spans="1:14" ht="20.100000000000001" customHeight="1" x14ac:dyDescent="0.15">
      <c r="A88" s="4" t="str">
        <f>IF(B88="","",IF(SUBTOTAL(103,B88)=0,"",SUBTOTAL(103,$B$5:B88)))</f>
        <v/>
      </c>
      <c r="B88" s="4" t="str">
        <f>INDEX(Sheet1!$B:$B,ROWS($A$5:$A88)+1)&amp;""</f>
        <v/>
      </c>
      <c r="C88" s="8" t="str">
        <f>INDEX(Sheet1!$O:$O,ROWS($A$5:$A88)+1)&amp;""</f>
        <v/>
      </c>
      <c r="D88" s="5" t="str">
        <f>INDEX(Sheet1!$T:$T,ROWS($A$5:$A88)+1)&amp;""</f>
        <v/>
      </c>
      <c r="E88" s="4" t="str">
        <f>INDEX(Sheet1!$Y:$Y,ROWS($A$5:$A88)+1)&amp;""</f>
        <v/>
      </c>
      <c r="F88" s="9" t="str">
        <f>INDEX(Sheet1!$AC:$AC,ROWS($A$5:$A88)+1)&amp;""</f>
        <v/>
      </c>
      <c r="G88" s="4" t="str">
        <f>INDEX(Sheet1!$AM:$AM,ROWS($A$5:$A88)+1)&amp;""</f>
        <v/>
      </c>
      <c r="H88" s="4" t="str">
        <f>INDEX(Sheet1!$AN:$AN,ROWS($A$5:$A88)+1)&amp;""</f>
        <v/>
      </c>
      <c r="I88" s="6" t="str">
        <f>INDEX(Sheet1!$BA:$BA,ROWS($A$5:$A88)+1)&amp;""</f>
        <v/>
      </c>
      <c r="J88" s="4" t="str">
        <f>INDEX(Sheet1!$BB:$BB,ROWS($A$5:$A88)+1)&amp;""</f>
        <v/>
      </c>
      <c r="K88" s="6" t="str">
        <f>INDEX(Sheet1!$BO:$BO,ROWS($A$5:$A88)+1)&amp;""</f>
        <v/>
      </c>
      <c r="L88" s="4" t="str">
        <f>INDEX(Sheet1!$BP:$BP,ROWS($A$5:$A88)+1)&amp;""</f>
        <v/>
      </c>
      <c r="M88" s="10" t="str">
        <f>INDEX(Sheet1!$CB:$CB,ROWS($A$5:$A88)+1)&amp;""</f>
        <v/>
      </c>
      <c r="N88" s="7" t="str">
        <f>IF(INDEX(Sheet1!$CC:$CC,ROWS($A$5:$A88)+1)="","",INDEX(Sheet1!$CC:$CC,ROWS($A$5:$A88)+1))</f>
        <v/>
      </c>
    </row>
    <row r="89" spans="1:14" ht="20.100000000000001" customHeight="1" x14ac:dyDescent="0.15">
      <c r="A89" s="4" t="str">
        <f>IF(B89="","",IF(SUBTOTAL(103,B89)=0,"",SUBTOTAL(103,$B$5:B89)))</f>
        <v/>
      </c>
      <c r="B89" s="4" t="str">
        <f>INDEX(Sheet1!$B:$B,ROWS($A$5:$A89)+1)&amp;""</f>
        <v/>
      </c>
      <c r="C89" s="8" t="str">
        <f>INDEX(Sheet1!$O:$O,ROWS($A$5:$A89)+1)&amp;""</f>
        <v/>
      </c>
      <c r="D89" s="5" t="str">
        <f>INDEX(Sheet1!$T:$T,ROWS($A$5:$A89)+1)&amp;""</f>
        <v/>
      </c>
      <c r="E89" s="4" t="str">
        <f>INDEX(Sheet1!$Y:$Y,ROWS($A$5:$A89)+1)&amp;""</f>
        <v/>
      </c>
      <c r="F89" s="9" t="str">
        <f>INDEX(Sheet1!$AC:$AC,ROWS($A$5:$A89)+1)&amp;""</f>
        <v/>
      </c>
      <c r="G89" s="4" t="str">
        <f>INDEX(Sheet1!$AM:$AM,ROWS($A$5:$A89)+1)&amp;""</f>
        <v/>
      </c>
      <c r="H89" s="4" t="str">
        <f>INDEX(Sheet1!$AN:$AN,ROWS($A$5:$A89)+1)&amp;""</f>
        <v/>
      </c>
      <c r="I89" s="6" t="str">
        <f>INDEX(Sheet1!$BA:$BA,ROWS($A$5:$A89)+1)&amp;""</f>
        <v/>
      </c>
      <c r="J89" s="4" t="str">
        <f>INDEX(Sheet1!$BB:$BB,ROWS($A$5:$A89)+1)&amp;""</f>
        <v/>
      </c>
      <c r="K89" s="6" t="str">
        <f>INDEX(Sheet1!$BO:$BO,ROWS($A$5:$A89)+1)&amp;""</f>
        <v/>
      </c>
      <c r="L89" s="4" t="str">
        <f>INDEX(Sheet1!$BP:$BP,ROWS($A$5:$A89)+1)&amp;""</f>
        <v/>
      </c>
      <c r="M89" s="10" t="str">
        <f>INDEX(Sheet1!$CB:$CB,ROWS($A$5:$A89)+1)&amp;""</f>
        <v/>
      </c>
      <c r="N89" s="7" t="str">
        <f>IF(INDEX(Sheet1!$CC:$CC,ROWS($A$5:$A89)+1)="","",INDEX(Sheet1!$CC:$CC,ROWS($A$5:$A89)+1))</f>
        <v/>
      </c>
    </row>
    <row r="90" spans="1:14" ht="20.100000000000001" customHeight="1" x14ac:dyDescent="0.15">
      <c r="A90" s="4" t="str">
        <f>IF(B90="","",IF(SUBTOTAL(103,B90)=0,"",SUBTOTAL(103,$B$5:B90)))</f>
        <v/>
      </c>
      <c r="B90" s="4" t="str">
        <f>INDEX(Sheet1!$B:$B,ROWS($A$5:$A90)+1)&amp;""</f>
        <v/>
      </c>
      <c r="C90" s="8" t="str">
        <f>INDEX(Sheet1!$O:$O,ROWS($A$5:$A90)+1)&amp;""</f>
        <v/>
      </c>
      <c r="D90" s="5" t="str">
        <f>INDEX(Sheet1!$T:$T,ROWS($A$5:$A90)+1)&amp;""</f>
        <v/>
      </c>
      <c r="E90" s="4" t="str">
        <f>INDEX(Sheet1!$Y:$Y,ROWS($A$5:$A90)+1)&amp;""</f>
        <v/>
      </c>
      <c r="F90" s="9" t="str">
        <f>INDEX(Sheet1!$AC:$AC,ROWS($A$5:$A90)+1)&amp;""</f>
        <v/>
      </c>
      <c r="G90" s="4" t="str">
        <f>INDEX(Sheet1!$AM:$AM,ROWS($A$5:$A90)+1)&amp;""</f>
        <v/>
      </c>
      <c r="H90" s="4" t="str">
        <f>INDEX(Sheet1!$AN:$AN,ROWS($A$5:$A90)+1)&amp;""</f>
        <v/>
      </c>
      <c r="I90" s="6" t="str">
        <f>INDEX(Sheet1!$BA:$BA,ROWS($A$5:$A90)+1)&amp;""</f>
        <v/>
      </c>
      <c r="J90" s="4" t="str">
        <f>INDEX(Sheet1!$BB:$BB,ROWS($A$5:$A90)+1)&amp;""</f>
        <v/>
      </c>
      <c r="K90" s="6" t="str">
        <f>INDEX(Sheet1!$BO:$BO,ROWS($A$5:$A90)+1)&amp;""</f>
        <v/>
      </c>
      <c r="L90" s="4" t="str">
        <f>INDEX(Sheet1!$BP:$BP,ROWS($A$5:$A90)+1)&amp;""</f>
        <v/>
      </c>
      <c r="M90" s="10" t="str">
        <f>INDEX(Sheet1!$CB:$CB,ROWS($A$5:$A90)+1)&amp;""</f>
        <v/>
      </c>
      <c r="N90" s="7" t="str">
        <f>IF(INDEX(Sheet1!$CC:$CC,ROWS($A$5:$A90)+1)="","",INDEX(Sheet1!$CC:$CC,ROWS($A$5:$A90)+1))</f>
        <v/>
      </c>
    </row>
    <row r="91" spans="1:14" ht="20.100000000000001" customHeight="1" x14ac:dyDescent="0.15">
      <c r="A91" s="4" t="str">
        <f>IF(B91="","",IF(SUBTOTAL(103,B91)=0,"",SUBTOTAL(103,$B$5:B91)))</f>
        <v/>
      </c>
      <c r="B91" s="4" t="str">
        <f>INDEX(Sheet1!$B:$B,ROWS($A$5:$A91)+1)&amp;""</f>
        <v/>
      </c>
      <c r="C91" s="8" t="str">
        <f>INDEX(Sheet1!$O:$O,ROWS($A$5:$A91)+1)&amp;""</f>
        <v/>
      </c>
      <c r="D91" s="5" t="str">
        <f>INDEX(Sheet1!$T:$T,ROWS($A$5:$A91)+1)&amp;""</f>
        <v/>
      </c>
      <c r="E91" s="4" t="str">
        <f>INDEX(Sheet1!$Y:$Y,ROWS($A$5:$A91)+1)&amp;""</f>
        <v/>
      </c>
      <c r="F91" s="9" t="str">
        <f>INDEX(Sheet1!$AC:$AC,ROWS($A$5:$A91)+1)&amp;""</f>
        <v/>
      </c>
      <c r="G91" s="4" t="str">
        <f>INDEX(Sheet1!$AM:$AM,ROWS($A$5:$A91)+1)&amp;""</f>
        <v/>
      </c>
      <c r="H91" s="4" t="str">
        <f>INDEX(Sheet1!$AN:$AN,ROWS($A$5:$A91)+1)&amp;""</f>
        <v/>
      </c>
      <c r="I91" s="6" t="str">
        <f>INDEX(Sheet1!$BA:$BA,ROWS($A$5:$A91)+1)&amp;""</f>
        <v/>
      </c>
      <c r="J91" s="4" t="str">
        <f>INDEX(Sheet1!$BB:$BB,ROWS($A$5:$A91)+1)&amp;""</f>
        <v/>
      </c>
      <c r="K91" s="6" t="str">
        <f>INDEX(Sheet1!$BO:$BO,ROWS($A$5:$A91)+1)&amp;""</f>
        <v/>
      </c>
      <c r="L91" s="4" t="str">
        <f>INDEX(Sheet1!$BP:$BP,ROWS($A$5:$A91)+1)&amp;""</f>
        <v/>
      </c>
      <c r="M91" s="10" t="str">
        <f>INDEX(Sheet1!$CB:$CB,ROWS($A$5:$A91)+1)&amp;""</f>
        <v/>
      </c>
      <c r="N91" s="7" t="str">
        <f>IF(INDEX(Sheet1!$CC:$CC,ROWS($A$5:$A91)+1)="","",INDEX(Sheet1!$CC:$CC,ROWS($A$5:$A91)+1))</f>
        <v/>
      </c>
    </row>
    <row r="92" spans="1:14" ht="20.100000000000001" customHeight="1" x14ac:dyDescent="0.15">
      <c r="A92" s="4" t="str">
        <f>IF(B92="","",IF(SUBTOTAL(103,B92)=0,"",SUBTOTAL(103,$B$5:B92)))</f>
        <v/>
      </c>
      <c r="B92" s="4" t="str">
        <f>INDEX(Sheet1!$B:$B,ROWS($A$5:$A92)+1)&amp;""</f>
        <v/>
      </c>
      <c r="C92" s="8" t="str">
        <f>INDEX(Sheet1!$O:$O,ROWS($A$5:$A92)+1)&amp;""</f>
        <v/>
      </c>
      <c r="D92" s="5" t="str">
        <f>INDEX(Sheet1!$T:$T,ROWS($A$5:$A92)+1)&amp;""</f>
        <v/>
      </c>
      <c r="E92" s="4" t="str">
        <f>INDEX(Sheet1!$Y:$Y,ROWS($A$5:$A92)+1)&amp;""</f>
        <v/>
      </c>
      <c r="F92" s="9" t="str">
        <f>INDEX(Sheet1!$AC:$AC,ROWS($A$5:$A92)+1)&amp;""</f>
        <v/>
      </c>
      <c r="G92" s="4" t="str">
        <f>INDEX(Sheet1!$AM:$AM,ROWS($A$5:$A92)+1)&amp;""</f>
        <v/>
      </c>
      <c r="H92" s="4" t="str">
        <f>INDEX(Sheet1!$AN:$AN,ROWS($A$5:$A92)+1)&amp;""</f>
        <v/>
      </c>
      <c r="I92" s="6" t="str">
        <f>INDEX(Sheet1!$BA:$BA,ROWS($A$5:$A92)+1)&amp;""</f>
        <v/>
      </c>
      <c r="J92" s="4" t="str">
        <f>INDEX(Sheet1!$BB:$BB,ROWS($A$5:$A92)+1)&amp;""</f>
        <v/>
      </c>
      <c r="K92" s="6" t="str">
        <f>INDEX(Sheet1!$BO:$BO,ROWS($A$5:$A92)+1)&amp;""</f>
        <v/>
      </c>
      <c r="L92" s="4" t="str">
        <f>INDEX(Sheet1!$BP:$BP,ROWS($A$5:$A92)+1)&amp;""</f>
        <v/>
      </c>
      <c r="M92" s="10" t="str">
        <f>INDEX(Sheet1!$CB:$CB,ROWS($A$5:$A92)+1)&amp;""</f>
        <v/>
      </c>
      <c r="N92" s="7" t="str">
        <f>IF(INDEX(Sheet1!$CC:$CC,ROWS($A$5:$A92)+1)="","",INDEX(Sheet1!$CC:$CC,ROWS($A$5:$A92)+1))</f>
        <v/>
      </c>
    </row>
    <row r="93" spans="1:14" ht="20.100000000000001" customHeight="1" x14ac:dyDescent="0.15">
      <c r="A93" s="4" t="str">
        <f>IF(B93="","",IF(SUBTOTAL(103,B93)=0,"",SUBTOTAL(103,$B$5:B93)))</f>
        <v/>
      </c>
      <c r="B93" s="4" t="str">
        <f>INDEX(Sheet1!$B:$B,ROWS($A$5:$A93)+1)&amp;""</f>
        <v/>
      </c>
      <c r="C93" s="8" t="str">
        <f>INDEX(Sheet1!$O:$O,ROWS($A$5:$A93)+1)&amp;""</f>
        <v/>
      </c>
      <c r="D93" s="5" t="str">
        <f>INDEX(Sheet1!$T:$T,ROWS($A$5:$A93)+1)&amp;""</f>
        <v/>
      </c>
      <c r="E93" s="4" t="str">
        <f>INDEX(Sheet1!$Y:$Y,ROWS($A$5:$A93)+1)&amp;""</f>
        <v/>
      </c>
      <c r="F93" s="9" t="str">
        <f>INDEX(Sheet1!$AC:$AC,ROWS($A$5:$A93)+1)&amp;""</f>
        <v/>
      </c>
      <c r="G93" s="4" t="str">
        <f>INDEX(Sheet1!$AM:$AM,ROWS($A$5:$A93)+1)&amp;""</f>
        <v/>
      </c>
      <c r="H93" s="4" t="str">
        <f>INDEX(Sheet1!$AN:$AN,ROWS($A$5:$A93)+1)&amp;""</f>
        <v/>
      </c>
      <c r="I93" s="6" t="str">
        <f>INDEX(Sheet1!$BA:$BA,ROWS($A$5:$A93)+1)&amp;""</f>
        <v/>
      </c>
      <c r="J93" s="4" t="str">
        <f>INDEX(Sheet1!$BB:$BB,ROWS($A$5:$A93)+1)&amp;""</f>
        <v/>
      </c>
      <c r="K93" s="6" t="str">
        <f>INDEX(Sheet1!$BO:$BO,ROWS($A$5:$A93)+1)&amp;""</f>
        <v/>
      </c>
      <c r="L93" s="4" t="str">
        <f>INDEX(Sheet1!$BP:$BP,ROWS($A$5:$A93)+1)&amp;""</f>
        <v/>
      </c>
      <c r="M93" s="10" t="str">
        <f>INDEX(Sheet1!$CB:$CB,ROWS($A$5:$A93)+1)&amp;""</f>
        <v/>
      </c>
      <c r="N93" s="7" t="str">
        <f>IF(INDEX(Sheet1!$CC:$CC,ROWS($A$5:$A93)+1)="","",INDEX(Sheet1!$CC:$CC,ROWS($A$5:$A93)+1))</f>
        <v/>
      </c>
    </row>
    <row r="94" spans="1:14" ht="20.100000000000001" customHeight="1" x14ac:dyDescent="0.15">
      <c r="A94" s="4" t="str">
        <f>IF(B94="","",IF(SUBTOTAL(103,B94)=0,"",SUBTOTAL(103,$B$5:B94)))</f>
        <v/>
      </c>
      <c r="B94" s="4" t="str">
        <f>INDEX(Sheet1!$B:$B,ROWS($A$5:$A94)+1)&amp;""</f>
        <v/>
      </c>
      <c r="C94" s="8" t="str">
        <f>INDEX(Sheet1!$O:$O,ROWS($A$5:$A94)+1)&amp;""</f>
        <v/>
      </c>
      <c r="D94" s="5" t="str">
        <f>INDEX(Sheet1!$T:$T,ROWS($A$5:$A94)+1)&amp;""</f>
        <v/>
      </c>
      <c r="E94" s="4" t="str">
        <f>INDEX(Sheet1!$Y:$Y,ROWS($A$5:$A94)+1)&amp;""</f>
        <v/>
      </c>
      <c r="F94" s="9" t="str">
        <f>INDEX(Sheet1!$AC:$AC,ROWS($A$5:$A94)+1)&amp;""</f>
        <v/>
      </c>
      <c r="G94" s="4" t="str">
        <f>INDEX(Sheet1!$AM:$AM,ROWS($A$5:$A94)+1)&amp;""</f>
        <v/>
      </c>
      <c r="H94" s="4" t="str">
        <f>INDEX(Sheet1!$AN:$AN,ROWS($A$5:$A94)+1)&amp;""</f>
        <v/>
      </c>
      <c r="I94" s="6" t="str">
        <f>INDEX(Sheet1!$BA:$BA,ROWS($A$5:$A94)+1)&amp;""</f>
        <v/>
      </c>
      <c r="J94" s="4" t="str">
        <f>INDEX(Sheet1!$BB:$BB,ROWS($A$5:$A94)+1)&amp;""</f>
        <v/>
      </c>
      <c r="K94" s="6" t="str">
        <f>INDEX(Sheet1!$BO:$BO,ROWS($A$5:$A94)+1)&amp;""</f>
        <v/>
      </c>
      <c r="L94" s="4" t="str">
        <f>INDEX(Sheet1!$BP:$BP,ROWS($A$5:$A94)+1)&amp;""</f>
        <v/>
      </c>
      <c r="M94" s="10" t="str">
        <f>INDEX(Sheet1!$CB:$CB,ROWS($A$5:$A94)+1)&amp;""</f>
        <v/>
      </c>
      <c r="N94" s="7" t="str">
        <f>IF(INDEX(Sheet1!$CC:$CC,ROWS($A$5:$A94)+1)="","",INDEX(Sheet1!$CC:$CC,ROWS($A$5:$A94)+1))</f>
        <v/>
      </c>
    </row>
    <row r="95" spans="1:14" ht="20.100000000000001" customHeight="1" x14ac:dyDescent="0.15">
      <c r="A95" s="4" t="str">
        <f>IF(B95="","",IF(SUBTOTAL(103,B95)=0,"",SUBTOTAL(103,$B$5:B95)))</f>
        <v/>
      </c>
      <c r="B95" s="4" t="str">
        <f>INDEX(Sheet1!$B:$B,ROWS($A$5:$A95)+1)&amp;""</f>
        <v/>
      </c>
      <c r="C95" s="8" t="str">
        <f>INDEX(Sheet1!$O:$O,ROWS($A$5:$A95)+1)&amp;""</f>
        <v/>
      </c>
      <c r="D95" s="5" t="str">
        <f>INDEX(Sheet1!$T:$T,ROWS($A$5:$A95)+1)&amp;""</f>
        <v/>
      </c>
      <c r="E95" s="4" t="str">
        <f>INDEX(Sheet1!$Y:$Y,ROWS($A$5:$A95)+1)&amp;""</f>
        <v/>
      </c>
      <c r="F95" s="9" t="str">
        <f>INDEX(Sheet1!$AC:$AC,ROWS($A$5:$A95)+1)&amp;""</f>
        <v/>
      </c>
      <c r="G95" s="4" t="str">
        <f>INDEX(Sheet1!$AM:$AM,ROWS($A$5:$A95)+1)&amp;""</f>
        <v/>
      </c>
      <c r="H95" s="4" t="str">
        <f>INDEX(Sheet1!$AN:$AN,ROWS($A$5:$A95)+1)&amp;""</f>
        <v/>
      </c>
      <c r="I95" s="6" t="str">
        <f>INDEX(Sheet1!$BA:$BA,ROWS($A$5:$A95)+1)&amp;""</f>
        <v/>
      </c>
      <c r="J95" s="4" t="str">
        <f>INDEX(Sheet1!$BB:$BB,ROWS($A$5:$A95)+1)&amp;""</f>
        <v/>
      </c>
      <c r="K95" s="6" t="str">
        <f>INDEX(Sheet1!$BO:$BO,ROWS($A$5:$A95)+1)&amp;""</f>
        <v/>
      </c>
      <c r="L95" s="4" t="str">
        <f>INDEX(Sheet1!$BP:$BP,ROWS($A$5:$A95)+1)&amp;""</f>
        <v/>
      </c>
      <c r="M95" s="10" t="str">
        <f>INDEX(Sheet1!$CB:$CB,ROWS($A$5:$A95)+1)&amp;""</f>
        <v/>
      </c>
      <c r="N95" s="7" t="str">
        <f>IF(INDEX(Sheet1!$CC:$CC,ROWS($A$5:$A95)+1)="","",INDEX(Sheet1!$CC:$CC,ROWS($A$5:$A95)+1))</f>
        <v/>
      </c>
    </row>
    <row r="96" spans="1:14" ht="20.100000000000001" customHeight="1" x14ac:dyDescent="0.15">
      <c r="A96" s="4" t="str">
        <f>IF(B96="","",IF(SUBTOTAL(103,B96)=0,"",SUBTOTAL(103,$B$5:B96)))</f>
        <v/>
      </c>
      <c r="B96" s="4" t="str">
        <f>INDEX(Sheet1!$B:$B,ROWS($A$5:$A96)+1)&amp;""</f>
        <v/>
      </c>
      <c r="C96" s="8" t="str">
        <f>INDEX(Sheet1!$O:$O,ROWS($A$5:$A96)+1)&amp;""</f>
        <v/>
      </c>
      <c r="D96" s="5" t="str">
        <f>INDEX(Sheet1!$T:$T,ROWS($A$5:$A96)+1)&amp;""</f>
        <v/>
      </c>
      <c r="E96" s="4" t="str">
        <f>INDEX(Sheet1!$Y:$Y,ROWS($A$5:$A96)+1)&amp;""</f>
        <v/>
      </c>
      <c r="F96" s="9" t="str">
        <f>INDEX(Sheet1!$AC:$AC,ROWS($A$5:$A96)+1)&amp;""</f>
        <v/>
      </c>
      <c r="G96" s="4" t="str">
        <f>INDEX(Sheet1!$AM:$AM,ROWS($A$5:$A96)+1)&amp;""</f>
        <v/>
      </c>
      <c r="H96" s="4" t="str">
        <f>INDEX(Sheet1!$AN:$AN,ROWS($A$5:$A96)+1)&amp;""</f>
        <v/>
      </c>
      <c r="I96" s="6" t="str">
        <f>INDEX(Sheet1!$BA:$BA,ROWS($A$5:$A96)+1)&amp;""</f>
        <v/>
      </c>
      <c r="J96" s="4" t="str">
        <f>INDEX(Sheet1!$BB:$BB,ROWS($A$5:$A96)+1)&amp;""</f>
        <v/>
      </c>
      <c r="K96" s="6" t="str">
        <f>INDEX(Sheet1!$BO:$BO,ROWS($A$5:$A96)+1)&amp;""</f>
        <v/>
      </c>
      <c r="L96" s="4" t="str">
        <f>INDEX(Sheet1!$BP:$BP,ROWS($A$5:$A96)+1)&amp;""</f>
        <v/>
      </c>
      <c r="M96" s="10" t="str">
        <f>INDEX(Sheet1!$CB:$CB,ROWS($A$5:$A96)+1)&amp;""</f>
        <v/>
      </c>
      <c r="N96" s="7" t="str">
        <f>IF(INDEX(Sheet1!$CC:$CC,ROWS($A$5:$A96)+1)="","",INDEX(Sheet1!$CC:$CC,ROWS($A$5:$A96)+1))</f>
        <v/>
      </c>
    </row>
    <row r="97" spans="1:14" ht="20.100000000000001" customHeight="1" x14ac:dyDescent="0.15">
      <c r="A97" s="4" t="str">
        <f>IF(B97="","",IF(SUBTOTAL(103,B97)=0,"",SUBTOTAL(103,$B$5:B97)))</f>
        <v/>
      </c>
      <c r="B97" s="4" t="str">
        <f>INDEX(Sheet1!$B:$B,ROWS($A$5:$A97)+1)&amp;""</f>
        <v/>
      </c>
      <c r="C97" s="8" t="str">
        <f>INDEX(Sheet1!$O:$O,ROWS($A$5:$A97)+1)&amp;""</f>
        <v/>
      </c>
      <c r="D97" s="5" t="str">
        <f>INDEX(Sheet1!$T:$T,ROWS($A$5:$A97)+1)&amp;""</f>
        <v/>
      </c>
      <c r="E97" s="4" t="str">
        <f>INDEX(Sheet1!$Y:$Y,ROWS($A$5:$A97)+1)&amp;""</f>
        <v/>
      </c>
      <c r="F97" s="9" t="str">
        <f>INDEX(Sheet1!$AC:$AC,ROWS($A$5:$A97)+1)&amp;""</f>
        <v/>
      </c>
      <c r="G97" s="4" t="str">
        <f>INDEX(Sheet1!$AM:$AM,ROWS($A$5:$A97)+1)&amp;""</f>
        <v/>
      </c>
      <c r="H97" s="4" t="str">
        <f>INDEX(Sheet1!$AN:$AN,ROWS($A$5:$A97)+1)&amp;""</f>
        <v/>
      </c>
      <c r="I97" s="6" t="str">
        <f>INDEX(Sheet1!$BA:$BA,ROWS($A$5:$A97)+1)&amp;""</f>
        <v/>
      </c>
      <c r="J97" s="4" t="str">
        <f>INDEX(Sheet1!$BB:$BB,ROWS($A$5:$A97)+1)&amp;""</f>
        <v/>
      </c>
      <c r="K97" s="6" t="str">
        <f>INDEX(Sheet1!$BO:$BO,ROWS($A$5:$A97)+1)&amp;""</f>
        <v/>
      </c>
      <c r="L97" s="4" t="str">
        <f>INDEX(Sheet1!$BP:$BP,ROWS($A$5:$A97)+1)&amp;""</f>
        <v/>
      </c>
      <c r="M97" s="10" t="str">
        <f>INDEX(Sheet1!$CB:$CB,ROWS($A$5:$A97)+1)&amp;""</f>
        <v/>
      </c>
      <c r="N97" s="7" t="str">
        <f>IF(INDEX(Sheet1!$CC:$CC,ROWS($A$5:$A97)+1)="","",INDEX(Sheet1!$CC:$CC,ROWS($A$5:$A97)+1))</f>
        <v/>
      </c>
    </row>
    <row r="98" spans="1:14" ht="20.100000000000001" customHeight="1" x14ac:dyDescent="0.15">
      <c r="A98" s="4" t="str">
        <f>IF(B98="","",IF(SUBTOTAL(103,B98)=0,"",SUBTOTAL(103,$B$5:B98)))</f>
        <v/>
      </c>
      <c r="B98" s="4" t="str">
        <f>INDEX(Sheet1!$B:$B,ROWS($A$5:$A98)+1)&amp;""</f>
        <v/>
      </c>
      <c r="C98" s="8" t="str">
        <f>INDEX(Sheet1!$O:$O,ROWS($A$5:$A98)+1)&amp;""</f>
        <v/>
      </c>
      <c r="D98" s="5" t="str">
        <f>INDEX(Sheet1!$T:$T,ROWS($A$5:$A98)+1)&amp;""</f>
        <v/>
      </c>
      <c r="E98" s="4" t="str">
        <f>INDEX(Sheet1!$Y:$Y,ROWS($A$5:$A98)+1)&amp;""</f>
        <v/>
      </c>
      <c r="F98" s="9" t="str">
        <f>INDEX(Sheet1!$AC:$AC,ROWS($A$5:$A98)+1)&amp;""</f>
        <v/>
      </c>
      <c r="G98" s="4" t="str">
        <f>INDEX(Sheet1!$AM:$AM,ROWS($A$5:$A98)+1)&amp;""</f>
        <v/>
      </c>
      <c r="H98" s="4" t="str">
        <f>INDEX(Sheet1!$AN:$AN,ROWS($A$5:$A98)+1)&amp;""</f>
        <v/>
      </c>
      <c r="I98" s="6" t="str">
        <f>INDEX(Sheet1!$BA:$BA,ROWS($A$5:$A98)+1)&amp;""</f>
        <v/>
      </c>
      <c r="J98" s="4" t="str">
        <f>INDEX(Sheet1!$BB:$BB,ROWS($A$5:$A98)+1)&amp;""</f>
        <v/>
      </c>
      <c r="K98" s="6" t="str">
        <f>INDEX(Sheet1!$BO:$BO,ROWS($A$5:$A98)+1)&amp;""</f>
        <v/>
      </c>
      <c r="L98" s="4" t="str">
        <f>INDEX(Sheet1!$BP:$BP,ROWS($A$5:$A98)+1)&amp;""</f>
        <v/>
      </c>
      <c r="M98" s="10" t="str">
        <f>INDEX(Sheet1!$CB:$CB,ROWS($A$5:$A98)+1)&amp;""</f>
        <v/>
      </c>
      <c r="N98" s="7" t="str">
        <f>IF(INDEX(Sheet1!$CC:$CC,ROWS($A$5:$A98)+1)="","",INDEX(Sheet1!$CC:$CC,ROWS($A$5:$A98)+1))</f>
        <v/>
      </c>
    </row>
    <row r="99" spans="1:14" ht="20.100000000000001" customHeight="1" x14ac:dyDescent="0.15">
      <c r="A99" s="4" t="str">
        <f>IF(B99="","",IF(SUBTOTAL(103,B99)=0,"",SUBTOTAL(103,$B$5:B99)))</f>
        <v/>
      </c>
      <c r="B99" s="4" t="str">
        <f>INDEX(Sheet1!$B:$B,ROWS($A$5:$A99)+1)&amp;""</f>
        <v/>
      </c>
      <c r="C99" s="8" t="str">
        <f>INDEX(Sheet1!$O:$O,ROWS($A$5:$A99)+1)&amp;""</f>
        <v/>
      </c>
      <c r="D99" s="5" t="str">
        <f>INDEX(Sheet1!$T:$T,ROWS($A$5:$A99)+1)&amp;""</f>
        <v/>
      </c>
      <c r="E99" s="4" t="str">
        <f>INDEX(Sheet1!$Y:$Y,ROWS($A$5:$A99)+1)&amp;""</f>
        <v/>
      </c>
      <c r="F99" s="9" t="str">
        <f>INDEX(Sheet1!$AC:$AC,ROWS($A$5:$A99)+1)&amp;""</f>
        <v/>
      </c>
      <c r="G99" s="4" t="str">
        <f>INDEX(Sheet1!$AM:$AM,ROWS($A$5:$A99)+1)&amp;""</f>
        <v/>
      </c>
      <c r="H99" s="4" t="str">
        <f>INDEX(Sheet1!$AN:$AN,ROWS($A$5:$A99)+1)&amp;""</f>
        <v/>
      </c>
      <c r="I99" s="6" t="str">
        <f>INDEX(Sheet1!$BA:$BA,ROWS($A$5:$A99)+1)&amp;""</f>
        <v/>
      </c>
      <c r="J99" s="4" t="str">
        <f>INDEX(Sheet1!$BB:$BB,ROWS($A$5:$A99)+1)&amp;""</f>
        <v/>
      </c>
      <c r="K99" s="6" t="str">
        <f>INDEX(Sheet1!$BO:$BO,ROWS($A$5:$A99)+1)&amp;""</f>
        <v/>
      </c>
      <c r="L99" s="4" t="str">
        <f>INDEX(Sheet1!$BP:$BP,ROWS($A$5:$A99)+1)&amp;""</f>
        <v/>
      </c>
      <c r="M99" s="10" t="str">
        <f>INDEX(Sheet1!$CB:$CB,ROWS($A$5:$A99)+1)&amp;""</f>
        <v/>
      </c>
      <c r="N99" s="7" t="str">
        <f>IF(INDEX(Sheet1!$CC:$CC,ROWS($A$5:$A99)+1)="","",INDEX(Sheet1!$CC:$CC,ROWS($A$5:$A99)+1))</f>
        <v/>
      </c>
    </row>
    <row r="100" spans="1:14" ht="20.100000000000001" customHeight="1" x14ac:dyDescent="0.15">
      <c r="A100" s="4" t="str">
        <f>IF(B100="","",IF(SUBTOTAL(103,B100)=0,"",SUBTOTAL(103,$B$5:B100)))</f>
        <v/>
      </c>
      <c r="B100" s="4" t="str">
        <f>INDEX(Sheet1!$B:$B,ROWS($A$5:$A100)+1)&amp;""</f>
        <v/>
      </c>
      <c r="C100" s="8" t="str">
        <f>INDEX(Sheet1!$O:$O,ROWS($A$5:$A100)+1)&amp;""</f>
        <v/>
      </c>
      <c r="D100" s="5" t="str">
        <f>INDEX(Sheet1!$T:$T,ROWS($A$5:$A100)+1)&amp;""</f>
        <v/>
      </c>
      <c r="E100" s="4" t="str">
        <f>INDEX(Sheet1!$Y:$Y,ROWS($A$5:$A100)+1)&amp;""</f>
        <v/>
      </c>
      <c r="F100" s="9" t="str">
        <f>INDEX(Sheet1!$AC:$AC,ROWS($A$5:$A100)+1)&amp;""</f>
        <v/>
      </c>
      <c r="G100" s="4" t="str">
        <f>INDEX(Sheet1!$AM:$AM,ROWS($A$5:$A100)+1)&amp;""</f>
        <v/>
      </c>
      <c r="H100" s="4" t="str">
        <f>INDEX(Sheet1!$AN:$AN,ROWS($A$5:$A100)+1)&amp;""</f>
        <v/>
      </c>
      <c r="I100" s="6" t="str">
        <f>INDEX(Sheet1!$BA:$BA,ROWS($A$5:$A100)+1)&amp;""</f>
        <v/>
      </c>
      <c r="J100" s="4" t="str">
        <f>INDEX(Sheet1!$BB:$BB,ROWS($A$5:$A100)+1)&amp;""</f>
        <v/>
      </c>
      <c r="K100" s="6" t="str">
        <f>INDEX(Sheet1!$BO:$BO,ROWS($A$5:$A100)+1)&amp;""</f>
        <v/>
      </c>
      <c r="L100" s="4" t="str">
        <f>INDEX(Sheet1!$BP:$BP,ROWS($A$5:$A100)+1)&amp;""</f>
        <v/>
      </c>
      <c r="M100" s="10" t="str">
        <f>INDEX(Sheet1!$CB:$CB,ROWS($A$5:$A100)+1)&amp;""</f>
        <v/>
      </c>
      <c r="N100" s="7" t="str">
        <f>IF(INDEX(Sheet1!$CC:$CC,ROWS($A$5:$A100)+1)="","",INDEX(Sheet1!$CC:$CC,ROWS($A$5:$A100)+1))</f>
        <v/>
      </c>
    </row>
    <row r="101" spans="1:14" ht="20.100000000000001" customHeight="1" x14ac:dyDescent="0.15">
      <c r="A101" s="4" t="str">
        <f>IF(B101="","",IF(SUBTOTAL(103,B101)=0,"",SUBTOTAL(103,$B$5:B101)))</f>
        <v/>
      </c>
      <c r="B101" s="4" t="str">
        <f>INDEX(Sheet1!$B:$B,ROWS($A$5:$A101)+1)&amp;""</f>
        <v/>
      </c>
      <c r="C101" s="8" t="str">
        <f>INDEX(Sheet1!$O:$O,ROWS($A$5:$A101)+1)&amp;""</f>
        <v/>
      </c>
      <c r="D101" s="5" t="str">
        <f>INDEX(Sheet1!$T:$T,ROWS($A$5:$A101)+1)&amp;""</f>
        <v/>
      </c>
      <c r="E101" s="4" t="str">
        <f>INDEX(Sheet1!$Y:$Y,ROWS($A$5:$A101)+1)&amp;""</f>
        <v/>
      </c>
      <c r="F101" s="9" t="str">
        <f>INDEX(Sheet1!$AC:$AC,ROWS($A$5:$A101)+1)&amp;""</f>
        <v/>
      </c>
      <c r="G101" s="4" t="str">
        <f>INDEX(Sheet1!$AM:$AM,ROWS($A$5:$A101)+1)&amp;""</f>
        <v/>
      </c>
      <c r="H101" s="4" t="str">
        <f>INDEX(Sheet1!$AN:$AN,ROWS($A$5:$A101)+1)&amp;""</f>
        <v/>
      </c>
      <c r="I101" s="6" t="str">
        <f>INDEX(Sheet1!$BA:$BA,ROWS($A$5:$A101)+1)&amp;""</f>
        <v/>
      </c>
      <c r="J101" s="4" t="str">
        <f>INDEX(Sheet1!$BB:$BB,ROWS($A$5:$A101)+1)&amp;""</f>
        <v/>
      </c>
      <c r="K101" s="6" t="str">
        <f>INDEX(Sheet1!$BO:$BO,ROWS($A$5:$A101)+1)&amp;""</f>
        <v/>
      </c>
      <c r="L101" s="4" t="str">
        <f>INDEX(Sheet1!$BP:$BP,ROWS($A$5:$A101)+1)&amp;""</f>
        <v/>
      </c>
      <c r="M101" s="10" t="str">
        <f>INDEX(Sheet1!$CB:$CB,ROWS($A$5:$A101)+1)&amp;""</f>
        <v/>
      </c>
      <c r="N101" s="7" t="str">
        <f>IF(INDEX(Sheet1!$CC:$CC,ROWS($A$5:$A101)+1)="","",INDEX(Sheet1!$CC:$CC,ROWS($A$5:$A101)+1))</f>
        <v/>
      </c>
    </row>
    <row r="102" spans="1:14" ht="20.100000000000001" customHeight="1" x14ac:dyDescent="0.15">
      <c r="A102" s="4" t="str">
        <f>IF(B102="","",IF(SUBTOTAL(103,B102)=0,"",SUBTOTAL(103,$B$5:B102)))</f>
        <v/>
      </c>
      <c r="B102" s="4" t="str">
        <f>INDEX(Sheet1!$B:$B,ROWS($A$5:$A102)+1)&amp;""</f>
        <v/>
      </c>
      <c r="C102" s="8" t="str">
        <f>INDEX(Sheet1!$O:$O,ROWS($A$5:$A102)+1)&amp;""</f>
        <v/>
      </c>
      <c r="D102" s="5" t="str">
        <f>INDEX(Sheet1!$T:$T,ROWS($A$5:$A102)+1)&amp;""</f>
        <v/>
      </c>
      <c r="E102" s="4" t="str">
        <f>INDEX(Sheet1!$Y:$Y,ROWS($A$5:$A102)+1)&amp;""</f>
        <v/>
      </c>
      <c r="F102" s="9" t="str">
        <f>INDEX(Sheet1!$AC:$AC,ROWS($A$5:$A102)+1)&amp;""</f>
        <v/>
      </c>
      <c r="G102" s="4" t="str">
        <f>INDEX(Sheet1!$AM:$AM,ROWS($A$5:$A102)+1)&amp;""</f>
        <v/>
      </c>
      <c r="H102" s="4" t="str">
        <f>INDEX(Sheet1!$AN:$AN,ROWS($A$5:$A102)+1)&amp;""</f>
        <v/>
      </c>
      <c r="I102" s="6" t="str">
        <f>INDEX(Sheet1!$BA:$BA,ROWS($A$5:$A102)+1)&amp;""</f>
        <v/>
      </c>
      <c r="J102" s="4" t="str">
        <f>INDEX(Sheet1!$BB:$BB,ROWS($A$5:$A102)+1)&amp;""</f>
        <v/>
      </c>
      <c r="K102" s="6" t="str">
        <f>INDEX(Sheet1!$BO:$BO,ROWS($A$5:$A102)+1)&amp;""</f>
        <v/>
      </c>
      <c r="L102" s="4" t="str">
        <f>INDEX(Sheet1!$BP:$BP,ROWS($A$5:$A102)+1)&amp;""</f>
        <v/>
      </c>
      <c r="M102" s="10" t="str">
        <f>INDEX(Sheet1!$CB:$CB,ROWS($A$5:$A102)+1)&amp;""</f>
        <v/>
      </c>
      <c r="N102" s="7" t="str">
        <f>IF(INDEX(Sheet1!$CC:$CC,ROWS($A$5:$A102)+1)="","",INDEX(Sheet1!$CC:$CC,ROWS($A$5:$A102)+1))</f>
        <v/>
      </c>
    </row>
    <row r="103" spans="1:14" ht="20.100000000000001" customHeight="1" x14ac:dyDescent="0.15">
      <c r="A103" s="4" t="str">
        <f>IF(B103="","",IF(SUBTOTAL(103,B103)=0,"",SUBTOTAL(103,$B$5:B103)))</f>
        <v/>
      </c>
      <c r="B103" s="4" t="str">
        <f>INDEX(Sheet1!$B:$B,ROWS($A$5:$A103)+1)&amp;""</f>
        <v/>
      </c>
      <c r="C103" s="8" t="str">
        <f>INDEX(Sheet1!$O:$O,ROWS($A$5:$A103)+1)&amp;""</f>
        <v/>
      </c>
      <c r="D103" s="5" t="str">
        <f>INDEX(Sheet1!$T:$T,ROWS($A$5:$A103)+1)&amp;""</f>
        <v/>
      </c>
      <c r="E103" s="4" t="str">
        <f>INDEX(Sheet1!$Y:$Y,ROWS($A$5:$A103)+1)&amp;""</f>
        <v/>
      </c>
      <c r="F103" s="9" t="str">
        <f>INDEX(Sheet1!$AC:$AC,ROWS($A$5:$A103)+1)&amp;""</f>
        <v/>
      </c>
      <c r="G103" s="4" t="str">
        <f>INDEX(Sheet1!$AM:$AM,ROWS($A$5:$A103)+1)&amp;""</f>
        <v/>
      </c>
      <c r="H103" s="4" t="str">
        <f>INDEX(Sheet1!$AN:$AN,ROWS($A$5:$A103)+1)&amp;""</f>
        <v/>
      </c>
      <c r="I103" s="6" t="str">
        <f>INDEX(Sheet1!$BA:$BA,ROWS($A$5:$A103)+1)&amp;""</f>
        <v/>
      </c>
      <c r="J103" s="4" t="str">
        <f>INDEX(Sheet1!$BB:$BB,ROWS($A$5:$A103)+1)&amp;""</f>
        <v/>
      </c>
      <c r="K103" s="6" t="str">
        <f>INDEX(Sheet1!$BO:$BO,ROWS($A$5:$A103)+1)&amp;""</f>
        <v/>
      </c>
      <c r="L103" s="4" t="str">
        <f>INDEX(Sheet1!$BP:$BP,ROWS($A$5:$A103)+1)&amp;""</f>
        <v/>
      </c>
      <c r="M103" s="10" t="str">
        <f>INDEX(Sheet1!$CB:$CB,ROWS($A$5:$A103)+1)&amp;""</f>
        <v/>
      </c>
      <c r="N103" s="7" t="str">
        <f>IF(INDEX(Sheet1!$CC:$CC,ROWS($A$5:$A103)+1)="","",INDEX(Sheet1!$CC:$CC,ROWS($A$5:$A103)+1))</f>
        <v/>
      </c>
    </row>
    <row r="104" spans="1:14" ht="20.100000000000001" customHeight="1" x14ac:dyDescent="0.15">
      <c r="A104" s="4" t="str">
        <f>IF(B104="","",IF(SUBTOTAL(103,B104)=0,"",SUBTOTAL(103,$B$5:B104)))</f>
        <v/>
      </c>
      <c r="B104" s="4" t="str">
        <f>INDEX(Sheet1!$B:$B,ROWS($A$5:$A104)+1)&amp;""</f>
        <v/>
      </c>
      <c r="C104" s="8" t="str">
        <f>INDEX(Sheet1!$O:$O,ROWS($A$5:$A104)+1)&amp;""</f>
        <v/>
      </c>
      <c r="D104" s="5" t="str">
        <f>INDEX(Sheet1!$T:$T,ROWS($A$5:$A104)+1)&amp;""</f>
        <v/>
      </c>
      <c r="E104" s="4" t="str">
        <f>INDEX(Sheet1!$Y:$Y,ROWS($A$5:$A104)+1)&amp;""</f>
        <v/>
      </c>
      <c r="F104" s="9" t="str">
        <f>INDEX(Sheet1!$AC:$AC,ROWS($A$5:$A104)+1)&amp;""</f>
        <v/>
      </c>
      <c r="G104" s="4" t="str">
        <f>INDEX(Sheet1!$AM:$AM,ROWS($A$5:$A104)+1)&amp;""</f>
        <v/>
      </c>
      <c r="H104" s="4" t="str">
        <f>INDEX(Sheet1!$AN:$AN,ROWS($A$5:$A104)+1)&amp;""</f>
        <v/>
      </c>
      <c r="I104" s="6" t="str">
        <f>INDEX(Sheet1!$BA:$BA,ROWS($A$5:$A104)+1)&amp;""</f>
        <v/>
      </c>
      <c r="J104" s="4" t="str">
        <f>INDEX(Sheet1!$BB:$BB,ROWS($A$5:$A104)+1)&amp;""</f>
        <v/>
      </c>
      <c r="K104" s="6" t="str">
        <f>INDEX(Sheet1!$BO:$BO,ROWS($A$5:$A104)+1)&amp;""</f>
        <v/>
      </c>
      <c r="L104" s="4" t="str">
        <f>INDEX(Sheet1!$BP:$BP,ROWS($A$5:$A104)+1)&amp;""</f>
        <v/>
      </c>
      <c r="M104" s="10" t="str">
        <f>INDEX(Sheet1!$CB:$CB,ROWS($A$5:$A104)+1)&amp;""</f>
        <v/>
      </c>
      <c r="N104" s="7" t="str">
        <f>IF(INDEX(Sheet1!$CC:$CC,ROWS($A$5:$A104)+1)="","",INDEX(Sheet1!$CC:$CC,ROWS($A$5:$A104)+1))</f>
        <v/>
      </c>
    </row>
    <row r="105" spans="1:14" ht="20.100000000000001" customHeight="1" x14ac:dyDescent="0.15">
      <c r="A105" s="4" t="str">
        <f>IF(B105="","",IF(SUBTOTAL(103,B105)=0,"",SUBTOTAL(103,$B$5:B105)))</f>
        <v/>
      </c>
      <c r="B105" s="4" t="str">
        <f>INDEX(Sheet1!$B:$B,ROWS($A$5:$A105)+1)&amp;""</f>
        <v/>
      </c>
      <c r="C105" s="8" t="str">
        <f>INDEX(Sheet1!$O:$O,ROWS($A$5:$A105)+1)&amp;""</f>
        <v/>
      </c>
      <c r="D105" s="5" t="str">
        <f>INDEX(Sheet1!$T:$T,ROWS($A$5:$A105)+1)&amp;""</f>
        <v/>
      </c>
      <c r="E105" s="4" t="str">
        <f>INDEX(Sheet1!$Y:$Y,ROWS($A$5:$A105)+1)&amp;""</f>
        <v/>
      </c>
      <c r="F105" s="9" t="str">
        <f>INDEX(Sheet1!$AC:$AC,ROWS($A$5:$A105)+1)&amp;""</f>
        <v/>
      </c>
      <c r="G105" s="4" t="str">
        <f>INDEX(Sheet1!$AM:$AM,ROWS($A$5:$A105)+1)&amp;""</f>
        <v/>
      </c>
      <c r="H105" s="4" t="str">
        <f>INDEX(Sheet1!$AN:$AN,ROWS($A$5:$A105)+1)&amp;""</f>
        <v/>
      </c>
      <c r="I105" s="6" t="str">
        <f>INDEX(Sheet1!$BA:$BA,ROWS($A$5:$A105)+1)&amp;""</f>
        <v/>
      </c>
      <c r="J105" s="4" t="str">
        <f>INDEX(Sheet1!$BB:$BB,ROWS($A$5:$A105)+1)&amp;""</f>
        <v/>
      </c>
      <c r="K105" s="6" t="str">
        <f>INDEX(Sheet1!$BO:$BO,ROWS($A$5:$A105)+1)&amp;""</f>
        <v/>
      </c>
      <c r="L105" s="4" t="str">
        <f>INDEX(Sheet1!$BP:$BP,ROWS($A$5:$A105)+1)&amp;""</f>
        <v/>
      </c>
      <c r="M105" s="10" t="str">
        <f>INDEX(Sheet1!$CB:$CB,ROWS($A$5:$A105)+1)&amp;""</f>
        <v/>
      </c>
      <c r="N105" s="7" t="str">
        <f>IF(INDEX(Sheet1!$CC:$CC,ROWS($A$5:$A105)+1)="","",INDEX(Sheet1!$CC:$CC,ROWS($A$5:$A105)+1))</f>
        <v/>
      </c>
    </row>
    <row r="106" spans="1:14" ht="20.100000000000001" customHeight="1" x14ac:dyDescent="0.15">
      <c r="A106" s="4" t="str">
        <f>IF(B106="","",IF(SUBTOTAL(103,B106)=0,"",SUBTOTAL(103,$B$5:B106)))</f>
        <v/>
      </c>
      <c r="B106" s="4" t="str">
        <f>INDEX(Sheet1!$B:$B,ROWS($A$5:$A106)+1)&amp;""</f>
        <v/>
      </c>
      <c r="C106" s="8" t="str">
        <f>INDEX(Sheet1!$O:$O,ROWS($A$5:$A106)+1)&amp;""</f>
        <v/>
      </c>
      <c r="D106" s="5" t="str">
        <f>INDEX(Sheet1!$T:$T,ROWS($A$5:$A106)+1)&amp;""</f>
        <v/>
      </c>
      <c r="E106" s="4" t="str">
        <f>INDEX(Sheet1!$Y:$Y,ROWS($A$5:$A106)+1)&amp;""</f>
        <v/>
      </c>
      <c r="F106" s="9" t="str">
        <f>INDEX(Sheet1!$AC:$AC,ROWS($A$5:$A106)+1)&amp;""</f>
        <v/>
      </c>
      <c r="G106" s="4" t="str">
        <f>INDEX(Sheet1!$AM:$AM,ROWS($A$5:$A106)+1)&amp;""</f>
        <v/>
      </c>
      <c r="H106" s="4" t="str">
        <f>INDEX(Sheet1!$AN:$AN,ROWS($A$5:$A106)+1)&amp;""</f>
        <v/>
      </c>
      <c r="I106" s="6" t="str">
        <f>INDEX(Sheet1!$BA:$BA,ROWS($A$5:$A106)+1)&amp;""</f>
        <v/>
      </c>
      <c r="J106" s="4" t="str">
        <f>INDEX(Sheet1!$BB:$BB,ROWS($A$5:$A106)+1)&amp;""</f>
        <v/>
      </c>
      <c r="K106" s="6" t="str">
        <f>INDEX(Sheet1!$BO:$BO,ROWS($A$5:$A106)+1)&amp;""</f>
        <v/>
      </c>
      <c r="L106" s="4" t="str">
        <f>INDEX(Sheet1!$BP:$BP,ROWS($A$5:$A106)+1)&amp;""</f>
        <v/>
      </c>
      <c r="M106" s="10" t="str">
        <f>INDEX(Sheet1!$CB:$CB,ROWS($A$5:$A106)+1)&amp;""</f>
        <v/>
      </c>
      <c r="N106" s="7" t="str">
        <f>IF(INDEX(Sheet1!$CC:$CC,ROWS($A$5:$A106)+1)="","",INDEX(Sheet1!$CC:$CC,ROWS($A$5:$A106)+1))</f>
        <v/>
      </c>
    </row>
    <row r="107" spans="1:14" ht="20.100000000000001" customHeight="1" x14ac:dyDescent="0.15">
      <c r="A107" s="4" t="str">
        <f>IF(B107="","",IF(SUBTOTAL(103,B107)=0,"",SUBTOTAL(103,$B$5:B107)))</f>
        <v/>
      </c>
      <c r="B107" s="4" t="str">
        <f>INDEX(Sheet1!$B:$B,ROWS($A$5:$A107)+1)&amp;""</f>
        <v/>
      </c>
      <c r="C107" s="8" t="str">
        <f>INDEX(Sheet1!$O:$O,ROWS($A$5:$A107)+1)&amp;""</f>
        <v/>
      </c>
      <c r="D107" s="5" t="str">
        <f>INDEX(Sheet1!$T:$T,ROWS($A$5:$A107)+1)&amp;""</f>
        <v/>
      </c>
      <c r="E107" s="4" t="str">
        <f>INDEX(Sheet1!$Y:$Y,ROWS($A$5:$A107)+1)&amp;""</f>
        <v/>
      </c>
      <c r="F107" s="9" t="str">
        <f>INDEX(Sheet1!$AC:$AC,ROWS($A$5:$A107)+1)&amp;""</f>
        <v/>
      </c>
      <c r="G107" s="4" t="str">
        <f>INDEX(Sheet1!$AM:$AM,ROWS($A$5:$A107)+1)&amp;""</f>
        <v/>
      </c>
      <c r="H107" s="4" t="str">
        <f>INDEX(Sheet1!$AN:$AN,ROWS($A$5:$A107)+1)&amp;""</f>
        <v/>
      </c>
      <c r="I107" s="6" t="str">
        <f>INDEX(Sheet1!$BA:$BA,ROWS($A$5:$A107)+1)&amp;""</f>
        <v/>
      </c>
      <c r="J107" s="4" t="str">
        <f>INDEX(Sheet1!$BB:$BB,ROWS($A$5:$A107)+1)&amp;""</f>
        <v/>
      </c>
      <c r="K107" s="6" t="str">
        <f>INDEX(Sheet1!$BO:$BO,ROWS($A$5:$A107)+1)&amp;""</f>
        <v/>
      </c>
      <c r="L107" s="4" t="str">
        <f>INDEX(Sheet1!$BP:$BP,ROWS($A$5:$A107)+1)&amp;""</f>
        <v/>
      </c>
      <c r="M107" s="10" t="str">
        <f>INDEX(Sheet1!$CB:$CB,ROWS($A$5:$A107)+1)&amp;""</f>
        <v/>
      </c>
      <c r="N107" s="7" t="str">
        <f>IF(INDEX(Sheet1!$CC:$CC,ROWS($A$5:$A107)+1)="","",INDEX(Sheet1!$CC:$CC,ROWS($A$5:$A107)+1))</f>
        <v/>
      </c>
    </row>
    <row r="108" spans="1:14" ht="20.100000000000001" customHeight="1" x14ac:dyDescent="0.15">
      <c r="A108" s="4" t="str">
        <f>IF(B108="","",IF(SUBTOTAL(103,B108)=0,"",SUBTOTAL(103,$B$5:B108)))</f>
        <v/>
      </c>
      <c r="B108" s="4" t="str">
        <f>INDEX(Sheet1!$B:$B,ROWS($A$5:$A108)+1)&amp;""</f>
        <v/>
      </c>
      <c r="C108" s="8" t="str">
        <f>INDEX(Sheet1!$O:$O,ROWS($A$5:$A108)+1)&amp;""</f>
        <v/>
      </c>
      <c r="D108" s="5" t="str">
        <f>INDEX(Sheet1!$T:$T,ROWS($A$5:$A108)+1)&amp;""</f>
        <v/>
      </c>
      <c r="E108" s="4" t="str">
        <f>INDEX(Sheet1!$Y:$Y,ROWS($A$5:$A108)+1)&amp;""</f>
        <v/>
      </c>
      <c r="F108" s="9" t="str">
        <f>INDEX(Sheet1!$AC:$AC,ROWS($A$5:$A108)+1)&amp;""</f>
        <v/>
      </c>
      <c r="G108" s="4" t="str">
        <f>INDEX(Sheet1!$AM:$AM,ROWS($A$5:$A108)+1)&amp;""</f>
        <v/>
      </c>
      <c r="H108" s="4" t="str">
        <f>INDEX(Sheet1!$AN:$AN,ROWS($A$5:$A108)+1)&amp;""</f>
        <v/>
      </c>
      <c r="I108" s="6" t="str">
        <f>INDEX(Sheet1!$BA:$BA,ROWS($A$5:$A108)+1)&amp;""</f>
        <v/>
      </c>
      <c r="J108" s="4" t="str">
        <f>INDEX(Sheet1!$BB:$BB,ROWS($A$5:$A108)+1)&amp;""</f>
        <v/>
      </c>
      <c r="K108" s="6" t="str">
        <f>INDEX(Sheet1!$BO:$BO,ROWS($A$5:$A108)+1)&amp;""</f>
        <v/>
      </c>
      <c r="L108" s="4" t="str">
        <f>INDEX(Sheet1!$BP:$BP,ROWS($A$5:$A108)+1)&amp;""</f>
        <v/>
      </c>
      <c r="M108" s="10" t="str">
        <f>INDEX(Sheet1!$CB:$CB,ROWS($A$5:$A108)+1)&amp;""</f>
        <v/>
      </c>
      <c r="N108" s="7" t="str">
        <f>IF(INDEX(Sheet1!$CC:$CC,ROWS($A$5:$A108)+1)="","",INDEX(Sheet1!$CC:$CC,ROWS($A$5:$A108)+1))</f>
        <v/>
      </c>
    </row>
    <row r="109" spans="1:14" ht="20.100000000000001" customHeight="1" x14ac:dyDescent="0.15">
      <c r="A109" s="4" t="str">
        <f>IF(B109="","",IF(SUBTOTAL(103,B109)=0,"",SUBTOTAL(103,$B$5:B109)))</f>
        <v/>
      </c>
      <c r="B109" s="4" t="str">
        <f>INDEX(Sheet1!$B:$B,ROWS($A$5:$A109)+1)&amp;""</f>
        <v/>
      </c>
      <c r="C109" s="8" t="str">
        <f>INDEX(Sheet1!$O:$O,ROWS($A$5:$A109)+1)&amp;""</f>
        <v/>
      </c>
      <c r="D109" s="5" t="str">
        <f>INDEX(Sheet1!$T:$T,ROWS($A$5:$A109)+1)&amp;""</f>
        <v/>
      </c>
      <c r="E109" s="4" t="str">
        <f>INDEX(Sheet1!$Y:$Y,ROWS($A$5:$A109)+1)&amp;""</f>
        <v/>
      </c>
      <c r="F109" s="9" t="str">
        <f>INDEX(Sheet1!$AC:$AC,ROWS($A$5:$A109)+1)&amp;""</f>
        <v/>
      </c>
      <c r="G109" s="4" t="str">
        <f>INDEX(Sheet1!$AM:$AM,ROWS($A$5:$A109)+1)&amp;""</f>
        <v/>
      </c>
      <c r="H109" s="4" t="str">
        <f>INDEX(Sheet1!$AN:$AN,ROWS($A$5:$A109)+1)&amp;""</f>
        <v/>
      </c>
      <c r="I109" s="6" t="str">
        <f>INDEX(Sheet1!$BA:$BA,ROWS($A$5:$A109)+1)&amp;""</f>
        <v/>
      </c>
      <c r="J109" s="4" t="str">
        <f>INDEX(Sheet1!$BB:$BB,ROWS($A$5:$A109)+1)&amp;""</f>
        <v/>
      </c>
      <c r="K109" s="6" t="str">
        <f>INDEX(Sheet1!$BO:$BO,ROWS($A$5:$A109)+1)&amp;""</f>
        <v/>
      </c>
      <c r="L109" s="4" t="str">
        <f>INDEX(Sheet1!$BP:$BP,ROWS($A$5:$A109)+1)&amp;""</f>
        <v/>
      </c>
      <c r="M109" s="10" t="str">
        <f>INDEX(Sheet1!$CB:$CB,ROWS($A$5:$A109)+1)&amp;""</f>
        <v/>
      </c>
      <c r="N109" s="7" t="str">
        <f>IF(INDEX(Sheet1!$CC:$CC,ROWS($A$5:$A109)+1)="","",INDEX(Sheet1!$CC:$CC,ROWS($A$5:$A109)+1))</f>
        <v/>
      </c>
    </row>
    <row r="110" spans="1:14" ht="20.100000000000001" customHeight="1" x14ac:dyDescent="0.15">
      <c r="A110" s="4" t="str">
        <f>IF(B110="","",IF(SUBTOTAL(103,B110)=0,"",SUBTOTAL(103,$B$5:B110)))</f>
        <v/>
      </c>
      <c r="B110" s="4" t="str">
        <f>INDEX(Sheet1!$B:$B,ROWS($A$5:$A110)+1)&amp;""</f>
        <v/>
      </c>
      <c r="C110" s="8" t="str">
        <f>INDEX(Sheet1!$O:$O,ROWS($A$5:$A110)+1)&amp;""</f>
        <v/>
      </c>
      <c r="D110" s="5" t="str">
        <f>INDEX(Sheet1!$T:$T,ROWS($A$5:$A110)+1)&amp;""</f>
        <v/>
      </c>
      <c r="E110" s="4" t="str">
        <f>INDEX(Sheet1!$Y:$Y,ROWS($A$5:$A110)+1)&amp;""</f>
        <v/>
      </c>
      <c r="F110" s="9" t="str">
        <f>INDEX(Sheet1!$AC:$AC,ROWS($A$5:$A110)+1)&amp;""</f>
        <v/>
      </c>
      <c r="G110" s="4" t="str">
        <f>INDEX(Sheet1!$AM:$AM,ROWS($A$5:$A110)+1)&amp;""</f>
        <v/>
      </c>
      <c r="H110" s="4" t="str">
        <f>INDEX(Sheet1!$AN:$AN,ROWS($A$5:$A110)+1)&amp;""</f>
        <v/>
      </c>
      <c r="I110" s="6" t="str">
        <f>INDEX(Sheet1!$BA:$BA,ROWS($A$5:$A110)+1)&amp;""</f>
        <v/>
      </c>
      <c r="J110" s="4" t="str">
        <f>INDEX(Sheet1!$BB:$BB,ROWS($A$5:$A110)+1)&amp;""</f>
        <v/>
      </c>
      <c r="K110" s="6" t="str">
        <f>INDEX(Sheet1!$BO:$BO,ROWS($A$5:$A110)+1)&amp;""</f>
        <v/>
      </c>
      <c r="L110" s="4" t="str">
        <f>INDEX(Sheet1!$BP:$BP,ROWS($A$5:$A110)+1)&amp;""</f>
        <v/>
      </c>
      <c r="M110" s="10" t="str">
        <f>INDEX(Sheet1!$CB:$CB,ROWS($A$5:$A110)+1)&amp;""</f>
        <v/>
      </c>
      <c r="N110" s="7" t="str">
        <f>IF(INDEX(Sheet1!$CC:$CC,ROWS($A$5:$A110)+1)="","",INDEX(Sheet1!$CC:$CC,ROWS($A$5:$A110)+1))</f>
        <v/>
      </c>
    </row>
    <row r="111" spans="1:14" ht="20.100000000000001" customHeight="1" x14ac:dyDescent="0.15">
      <c r="A111" s="4" t="str">
        <f>IF(B111="","",IF(SUBTOTAL(103,B111)=0,"",SUBTOTAL(103,$B$5:B111)))</f>
        <v/>
      </c>
      <c r="B111" s="4" t="str">
        <f>INDEX(Sheet1!$B:$B,ROWS($A$5:$A111)+1)&amp;""</f>
        <v/>
      </c>
      <c r="C111" s="8" t="str">
        <f>INDEX(Sheet1!$O:$O,ROWS($A$5:$A111)+1)&amp;""</f>
        <v/>
      </c>
      <c r="D111" s="5" t="str">
        <f>INDEX(Sheet1!$T:$T,ROWS($A$5:$A111)+1)&amp;""</f>
        <v/>
      </c>
      <c r="E111" s="4" t="str">
        <f>INDEX(Sheet1!$Y:$Y,ROWS($A$5:$A111)+1)&amp;""</f>
        <v/>
      </c>
      <c r="F111" s="9" t="str">
        <f>INDEX(Sheet1!$AC:$AC,ROWS($A$5:$A111)+1)&amp;""</f>
        <v/>
      </c>
      <c r="G111" s="4" t="str">
        <f>INDEX(Sheet1!$AM:$AM,ROWS($A$5:$A111)+1)&amp;""</f>
        <v/>
      </c>
      <c r="H111" s="4" t="str">
        <f>INDEX(Sheet1!$AN:$AN,ROWS($A$5:$A111)+1)&amp;""</f>
        <v/>
      </c>
      <c r="I111" s="6" t="str">
        <f>INDEX(Sheet1!$BA:$BA,ROWS($A$5:$A111)+1)&amp;""</f>
        <v/>
      </c>
      <c r="J111" s="4" t="str">
        <f>INDEX(Sheet1!$BB:$BB,ROWS($A$5:$A111)+1)&amp;""</f>
        <v/>
      </c>
      <c r="K111" s="6" t="str">
        <f>INDEX(Sheet1!$BO:$BO,ROWS($A$5:$A111)+1)&amp;""</f>
        <v/>
      </c>
      <c r="L111" s="4" t="str">
        <f>INDEX(Sheet1!$BP:$BP,ROWS($A$5:$A111)+1)&amp;""</f>
        <v/>
      </c>
      <c r="M111" s="10" t="str">
        <f>INDEX(Sheet1!$CB:$CB,ROWS($A$5:$A111)+1)&amp;""</f>
        <v/>
      </c>
      <c r="N111" s="7" t="str">
        <f>IF(INDEX(Sheet1!$CC:$CC,ROWS($A$5:$A111)+1)="","",INDEX(Sheet1!$CC:$CC,ROWS($A$5:$A111)+1))</f>
        <v/>
      </c>
    </row>
    <row r="112" spans="1:14" ht="20.100000000000001" customHeight="1" x14ac:dyDescent="0.15">
      <c r="A112" s="4" t="str">
        <f>IF(B112="","",IF(SUBTOTAL(103,B112)=0,"",SUBTOTAL(103,$B$5:B112)))</f>
        <v/>
      </c>
      <c r="B112" s="4" t="str">
        <f>INDEX(Sheet1!$B:$B,ROWS($A$5:$A112)+1)&amp;""</f>
        <v/>
      </c>
      <c r="C112" s="8" t="str">
        <f>INDEX(Sheet1!$O:$O,ROWS($A$5:$A112)+1)&amp;""</f>
        <v/>
      </c>
      <c r="D112" s="5" t="str">
        <f>INDEX(Sheet1!$T:$T,ROWS($A$5:$A112)+1)&amp;""</f>
        <v/>
      </c>
      <c r="E112" s="4" t="str">
        <f>INDEX(Sheet1!$Y:$Y,ROWS($A$5:$A112)+1)&amp;""</f>
        <v/>
      </c>
      <c r="F112" s="9" t="str">
        <f>INDEX(Sheet1!$AC:$AC,ROWS($A$5:$A112)+1)&amp;""</f>
        <v/>
      </c>
      <c r="G112" s="4" t="str">
        <f>INDEX(Sheet1!$AM:$AM,ROWS($A$5:$A112)+1)&amp;""</f>
        <v/>
      </c>
      <c r="H112" s="4" t="str">
        <f>INDEX(Sheet1!$AN:$AN,ROWS($A$5:$A112)+1)&amp;""</f>
        <v/>
      </c>
      <c r="I112" s="6" t="str">
        <f>INDEX(Sheet1!$BA:$BA,ROWS($A$5:$A112)+1)&amp;""</f>
        <v/>
      </c>
      <c r="J112" s="4" t="str">
        <f>INDEX(Sheet1!$BB:$BB,ROWS($A$5:$A112)+1)&amp;""</f>
        <v/>
      </c>
      <c r="K112" s="6" t="str">
        <f>INDEX(Sheet1!$BO:$BO,ROWS($A$5:$A112)+1)&amp;""</f>
        <v/>
      </c>
      <c r="L112" s="4" t="str">
        <f>INDEX(Sheet1!$BP:$BP,ROWS($A$5:$A112)+1)&amp;""</f>
        <v/>
      </c>
      <c r="M112" s="10" t="str">
        <f>INDEX(Sheet1!$CB:$CB,ROWS($A$5:$A112)+1)&amp;""</f>
        <v/>
      </c>
      <c r="N112" s="7" t="str">
        <f>IF(INDEX(Sheet1!$CC:$CC,ROWS($A$5:$A112)+1)="","",INDEX(Sheet1!$CC:$CC,ROWS($A$5:$A112)+1))</f>
        <v/>
      </c>
    </row>
    <row r="113" spans="1:14" ht="20.100000000000001" customHeight="1" x14ac:dyDescent="0.15">
      <c r="A113" s="4" t="str">
        <f>IF(B113="","",IF(SUBTOTAL(103,B113)=0,"",SUBTOTAL(103,$B$5:B113)))</f>
        <v/>
      </c>
      <c r="B113" s="4" t="str">
        <f>INDEX(Sheet1!$B:$B,ROWS($A$5:$A113)+1)&amp;""</f>
        <v/>
      </c>
      <c r="C113" s="8" t="str">
        <f>INDEX(Sheet1!$O:$O,ROWS($A$5:$A113)+1)&amp;""</f>
        <v/>
      </c>
      <c r="D113" s="5" t="str">
        <f>INDEX(Sheet1!$T:$T,ROWS($A$5:$A113)+1)&amp;""</f>
        <v/>
      </c>
      <c r="E113" s="4" t="str">
        <f>INDEX(Sheet1!$Y:$Y,ROWS($A$5:$A113)+1)&amp;""</f>
        <v/>
      </c>
      <c r="F113" s="9" t="str">
        <f>INDEX(Sheet1!$AC:$AC,ROWS($A$5:$A113)+1)&amp;""</f>
        <v/>
      </c>
      <c r="G113" s="4" t="str">
        <f>INDEX(Sheet1!$AM:$AM,ROWS($A$5:$A113)+1)&amp;""</f>
        <v/>
      </c>
      <c r="H113" s="4" t="str">
        <f>INDEX(Sheet1!$AN:$AN,ROWS($A$5:$A113)+1)&amp;""</f>
        <v/>
      </c>
      <c r="I113" s="6" t="str">
        <f>INDEX(Sheet1!$BA:$BA,ROWS($A$5:$A113)+1)&amp;""</f>
        <v/>
      </c>
      <c r="J113" s="4" t="str">
        <f>INDEX(Sheet1!$BB:$BB,ROWS($A$5:$A113)+1)&amp;""</f>
        <v/>
      </c>
      <c r="K113" s="6" t="str">
        <f>INDEX(Sheet1!$BO:$BO,ROWS($A$5:$A113)+1)&amp;""</f>
        <v/>
      </c>
      <c r="L113" s="4" t="str">
        <f>INDEX(Sheet1!$BP:$BP,ROWS($A$5:$A113)+1)&amp;""</f>
        <v/>
      </c>
      <c r="M113" s="10" t="str">
        <f>INDEX(Sheet1!$CB:$CB,ROWS($A$5:$A113)+1)&amp;""</f>
        <v/>
      </c>
      <c r="N113" s="7" t="str">
        <f>IF(INDEX(Sheet1!$CC:$CC,ROWS($A$5:$A113)+1)="","",INDEX(Sheet1!$CC:$CC,ROWS($A$5:$A113)+1))</f>
        <v/>
      </c>
    </row>
    <row r="114" spans="1:14" ht="20.100000000000001" customHeight="1" x14ac:dyDescent="0.15">
      <c r="A114" s="4" t="str">
        <f>IF(B114="","",IF(SUBTOTAL(103,B114)=0,"",SUBTOTAL(103,$B$5:B114)))</f>
        <v/>
      </c>
      <c r="B114" s="4" t="str">
        <f>INDEX(Sheet1!$B:$B,ROWS($A$5:$A114)+1)&amp;""</f>
        <v/>
      </c>
      <c r="C114" s="8" t="str">
        <f>INDEX(Sheet1!$O:$O,ROWS($A$5:$A114)+1)&amp;""</f>
        <v/>
      </c>
      <c r="D114" s="5" t="str">
        <f>INDEX(Sheet1!$T:$T,ROWS($A$5:$A114)+1)&amp;""</f>
        <v/>
      </c>
      <c r="E114" s="4" t="str">
        <f>INDEX(Sheet1!$Y:$Y,ROWS($A$5:$A114)+1)&amp;""</f>
        <v/>
      </c>
      <c r="F114" s="9" t="str">
        <f>INDEX(Sheet1!$AC:$AC,ROWS($A$5:$A114)+1)&amp;""</f>
        <v/>
      </c>
      <c r="G114" s="4" t="str">
        <f>INDEX(Sheet1!$AM:$AM,ROWS($A$5:$A114)+1)&amp;""</f>
        <v/>
      </c>
      <c r="H114" s="4" t="str">
        <f>INDEX(Sheet1!$AN:$AN,ROWS($A$5:$A114)+1)&amp;""</f>
        <v/>
      </c>
      <c r="I114" s="6" t="str">
        <f>INDEX(Sheet1!$BA:$BA,ROWS($A$5:$A114)+1)&amp;""</f>
        <v/>
      </c>
      <c r="J114" s="4" t="str">
        <f>INDEX(Sheet1!$BB:$BB,ROWS($A$5:$A114)+1)&amp;""</f>
        <v/>
      </c>
      <c r="K114" s="6" t="str">
        <f>INDEX(Sheet1!$BO:$BO,ROWS($A$5:$A114)+1)&amp;""</f>
        <v/>
      </c>
      <c r="L114" s="4" t="str">
        <f>INDEX(Sheet1!$BP:$BP,ROWS($A$5:$A114)+1)&amp;""</f>
        <v/>
      </c>
      <c r="M114" s="10" t="str">
        <f>INDEX(Sheet1!$CB:$CB,ROWS($A$5:$A114)+1)&amp;""</f>
        <v/>
      </c>
      <c r="N114" s="7" t="str">
        <f>IF(INDEX(Sheet1!$CC:$CC,ROWS($A$5:$A114)+1)="","",INDEX(Sheet1!$CC:$CC,ROWS($A$5:$A114)+1))</f>
        <v/>
      </c>
    </row>
    <row r="115" spans="1:14" ht="20.100000000000001" customHeight="1" x14ac:dyDescent="0.15">
      <c r="A115" s="4" t="str">
        <f>IF(B115="","",IF(SUBTOTAL(103,B115)=0,"",SUBTOTAL(103,$B$5:B115)))</f>
        <v/>
      </c>
      <c r="B115" s="4" t="str">
        <f>INDEX(Sheet1!$B:$B,ROWS($A$5:$A115)+1)&amp;""</f>
        <v/>
      </c>
      <c r="C115" s="8" t="str">
        <f>INDEX(Sheet1!$O:$O,ROWS($A$5:$A115)+1)&amp;""</f>
        <v/>
      </c>
      <c r="D115" s="5" t="str">
        <f>INDEX(Sheet1!$T:$T,ROWS($A$5:$A115)+1)&amp;""</f>
        <v/>
      </c>
      <c r="E115" s="4" t="str">
        <f>INDEX(Sheet1!$Y:$Y,ROWS($A$5:$A115)+1)&amp;""</f>
        <v/>
      </c>
      <c r="F115" s="9" t="str">
        <f>INDEX(Sheet1!$AC:$AC,ROWS($A$5:$A115)+1)&amp;""</f>
        <v/>
      </c>
      <c r="G115" s="4" t="str">
        <f>INDEX(Sheet1!$AM:$AM,ROWS($A$5:$A115)+1)&amp;""</f>
        <v/>
      </c>
      <c r="H115" s="4" t="str">
        <f>INDEX(Sheet1!$AN:$AN,ROWS($A$5:$A115)+1)&amp;""</f>
        <v/>
      </c>
      <c r="I115" s="6" t="str">
        <f>INDEX(Sheet1!$BA:$BA,ROWS($A$5:$A115)+1)&amp;""</f>
        <v/>
      </c>
      <c r="J115" s="4" t="str">
        <f>INDEX(Sheet1!$BB:$BB,ROWS($A$5:$A115)+1)&amp;""</f>
        <v/>
      </c>
      <c r="K115" s="6" t="str">
        <f>INDEX(Sheet1!$BO:$BO,ROWS($A$5:$A115)+1)&amp;""</f>
        <v/>
      </c>
      <c r="L115" s="4" t="str">
        <f>INDEX(Sheet1!$BP:$BP,ROWS($A$5:$A115)+1)&amp;""</f>
        <v/>
      </c>
      <c r="M115" s="10" t="str">
        <f>INDEX(Sheet1!$CB:$CB,ROWS($A$5:$A115)+1)&amp;""</f>
        <v/>
      </c>
      <c r="N115" s="7" t="str">
        <f>IF(INDEX(Sheet1!$CC:$CC,ROWS($A$5:$A115)+1)="","",INDEX(Sheet1!$CC:$CC,ROWS($A$5:$A115)+1))</f>
        <v/>
      </c>
    </row>
    <row r="116" spans="1:14" ht="20.100000000000001" customHeight="1" x14ac:dyDescent="0.15">
      <c r="A116" s="4" t="str">
        <f>IF(B116="","",IF(SUBTOTAL(103,B116)=0,"",SUBTOTAL(103,$B$5:B116)))</f>
        <v/>
      </c>
      <c r="B116" s="4" t="str">
        <f>INDEX(Sheet1!$B:$B,ROWS($A$5:$A116)+1)&amp;""</f>
        <v/>
      </c>
      <c r="C116" s="8" t="str">
        <f>INDEX(Sheet1!$O:$O,ROWS($A$5:$A116)+1)&amp;""</f>
        <v/>
      </c>
      <c r="D116" s="5" t="str">
        <f>INDEX(Sheet1!$T:$T,ROWS($A$5:$A116)+1)&amp;""</f>
        <v/>
      </c>
      <c r="E116" s="4" t="str">
        <f>INDEX(Sheet1!$Y:$Y,ROWS($A$5:$A116)+1)&amp;""</f>
        <v/>
      </c>
      <c r="F116" s="9" t="str">
        <f>INDEX(Sheet1!$AC:$AC,ROWS($A$5:$A116)+1)&amp;""</f>
        <v/>
      </c>
      <c r="G116" s="4" t="str">
        <f>INDEX(Sheet1!$AM:$AM,ROWS($A$5:$A116)+1)&amp;""</f>
        <v/>
      </c>
      <c r="H116" s="4" t="str">
        <f>INDEX(Sheet1!$AN:$AN,ROWS($A$5:$A116)+1)&amp;""</f>
        <v/>
      </c>
      <c r="I116" s="6" t="str">
        <f>INDEX(Sheet1!$BA:$BA,ROWS($A$5:$A116)+1)&amp;""</f>
        <v/>
      </c>
      <c r="J116" s="4" t="str">
        <f>INDEX(Sheet1!$BB:$BB,ROWS($A$5:$A116)+1)&amp;""</f>
        <v/>
      </c>
      <c r="K116" s="6" t="str">
        <f>INDEX(Sheet1!$BO:$BO,ROWS($A$5:$A116)+1)&amp;""</f>
        <v/>
      </c>
      <c r="L116" s="4" t="str">
        <f>INDEX(Sheet1!$BP:$BP,ROWS($A$5:$A116)+1)&amp;""</f>
        <v/>
      </c>
      <c r="M116" s="10" t="str">
        <f>INDEX(Sheet1!$CB:$CB,ROWS($A$5:$A116)+1)&amp;""</f>
        <v/>
      </c>
      <c r="N116" s="7" t="str">
        <f>IF(INDEX(Sheet1!$CC:$CC,ROWS($A$5:$A116)+1)="","",INDEX(Sheet1!$CC:$CC,ROWS($A$5:$A116)+1))</f>
        <v/>
      </c>
    </row>
    <row r="117" spans="1:14" ht="20.100000000000001" customHeight="1" x14ac:dyDescent="0.15">
      <c r="A117" s="4" t="str">
        <f>IF(B117="","",IF(SUBTOTAL(103,B117)=0,"",SUBTOTAL(103,$B$5:B117)))</f>
        <v/>
      </c>
      <c r="B117" s="4" t="str">
        <f>INDEX(Sheet1!$B:$B,ROWS($A$5:$A117)+1)&amp;""</f>
        <v/>
      </c>
      <c r="C117" s="8" t="str">
        <f>INDEX(Sheet1!$O:$O,ROWS($A$5:$A117)+1)&amp;""</f>
        <v/>
      </c>
      <c r="D117" s="5" t="str">
        <f>INDEX(Sheet1!$T:$T,ROWS($A$5:$A117)+1)&amp;""</f>
        <v/>
      </c>
      <c r="E117" s="4" t="str">
        <f>INDEX(Sheet1!$Y:$Y,ROWS($A$5:$A117)+1)&amp;""</f>
        <v/>
      </c>
      <c r="F117" s="9" t="str">
        <f>INDEX(Sheet1!$AC:$AC,ROWS($A$5:$A117)+1)&amp;""</f>
        <v/>
      </c>
      <c r="G117" s="4" t="str">
        <f>INDEX(Sheet1!$AM:$AM,ROWS($A$5:$A117)+1)&amp;""</f>
        <v/>
      </c>
      <c r="H117" s="4" t="str">
        <f>INDEX(Sheet1!$AN:$AN,ROWS($A$5:$A117)+1)&amp;""</f>
        <v/>
      </c>
      <c r="I117" s="6" t="str">
        <f>INDEX(Sheet1!$BA:$BA,ROWS($A$5:$A117)+1)&amp;""</f>
        <v/>
      </c>
      <c r="J117" s="4" t="str">
        <f>INDEX(Sheet1!$BB:$BB,ROWS($A$5:$A117)+1)&amp;""</f>
        <v/>
      </c>
      <c r="K117" s="6" t="str">
        <f>INDEX(Sheet1!$BO:$BO,ROWS($A$5:$A117)+1)&amp;""</f>
        <v/>
      </c>
      <c r="L117" s="4" t="str">
        <f>INDEX(Sheet1!$BP:$BP,ROWS($A$5:$A117)+1)&amp;""</f>
        <v/>
      </c>
      <c r="M117" s="10" t="str">
        <f>INDEX(Sheet1!$CB:$CB,ROWS($A$5:$A117)+1)&amp;""</f>
        <v/>
      </c>
      <c r="N117" s="7" t="str">
        <f>IF(INDEX(Sheet1!$CC:$CC,ROWS($A$5:$A117)+1)="","",INDEX(Sheet1!$CC:$CC,ROWS($A$5:$A117)+1))</f>
        <v/>
      </c>
    </row>
    <row r="118" spans="1:14" ht="20.100000000000001" customHeight="1" x14ac:dyDescent="0.15">
      <c r="A118" s="4" t="str">
        <f>IF(B118="","",IF(SUBTOTAL(103,B118)=0,"",SUBTOTAL(103,$B$5:B118)))</f>
        <v/>
      </c>
      <c r="B118" s="4" t="str">
        <f>INDEX(Sheet1!$B:$B,ROWS($A$5:$A118)+1)&amp;""</f>
        <v/>
      </c>
      <c r="C118" s="8" t="str">
        <f>INDEX(Sheet1!$O:$O,ROWS($A$5:$A118)+1)&amp;""</f>
        <v/>
      </c>
      <c r="D118" s="5" t="str">
        <f>INDEX(Sheet1!$T:$T,ROWS($A$5:$A118)+1)&amp;""</f>
        <v/>
      </c>
      <c r="E118" s="4" t="str">
        <f>INDEX(Sheet1!$Y:$Y,ROWS($A$5:$A118)+1)&amp;""</f>
        <v/>
      </c>
      <c r="F118" s="9" t="str">
        <f>INDEX(Sheet1!$AC:$AC,ROWS($A$5:$A118)+1)&amp;""</f>
        <v/>
      </c>
      <c r="G118" s="4" t="str">
        <f>INDEX(Sheet1!$AM:$AM,ROWS($A$5:$A118)+1)&amp;""</f>
        <v/>
      </c>
      <c r="H118" s="4" t="str">
        <f>INDEX(Sheet1!$AN:$AN,ROWS($A$5:$A118)+1)&amp;""</f>
        <v/>
      </c>
      <c r="I118" s="6" t="str">
        <f>INDEX(Sheet1!$BA:$BA,ROWS($A$5:$A118)+1)&amp;""</f>
        <v/>
      </c>
      <c r="J118" s="4" t="str">
        <f>INDEX(Sheet1!$BB:$BB,ROWS($A$5:$A118)+1)&amp;""</f>
        <v/>
      </c>
      <c r="K118" s="6" t="str">
        <f>INDEX(Sheet1!$BO:$BO,ROWS($A$5:$A118)+1)&amp;""</f>
        <v/>
      </c>
      <c r="L118" s="4" t="str">
        <f>INDEX(Sheet1!$BP:$BP,ROWS($A$5:$A118)+1)&amp;""</f>
        <v/>
      </c>
      <c r="M118" s="10" t="str">
        <f>INDEX(Sheet1!$CB:$CB,ROWS($A$5:$A118)+1)&amp;""</f>
        <v/>
      </c>
      <c r="N118" s="7" t="str">
        <f>IF(INDEX(Sheet1!$CC:$CC,ROWS($A$5:$A118)+1)="","",INDEX(Sheet1!$CC:$CC,ROWS($A$5:$A118)+1))</f>
        <v/>
      </c>
    </row>
    <row r="119" spans="1:14" ht="20.100000000000001" customHeight="1" x14ac:dyDescent="0.15">
      <c r="A119" s="4" t="str">
        <f>IF(B119="","",IF(SUBTOTAL(103,B119)=0,"",SUBTOTAL(103,$B$5:B119)))</f>
        <v/>
      </c>
      <c r="B119" s="4" t="str">
        <f>INDEX(Sheet1!$B:$B,ROWS($A$5:$A119)+1)&amp;""</f>
        <v/>
      </c>
      <c r="C119" s="8" t="str">
        <f>INDEX(Sheet1!$O:$O,ROWS($A$5:$A119)+1)&amp;""</f>
        <v/>
      </c>
      <c r="D119" s="5" t="str">
        <f>INDEX(Sheet1!$T:$T,ROWS($A$5:$A119)+1)&amp;""</f>
        <v/>
      </c>
      <c r="E119" s="4" t="str">
        <f>INDEX(Sheet1!$Y:$Y,ROWS($A$5:$A119)+1)&amp;""</f>
        <v/>
      </c>
      <c r="F119" s="9" t="str">
        <f>INDEX(Sheet1!$AC:$AC,ROWS($A$5:$A119)+1)&amp;""</f>
        <v/>
      </c>
      <c r="G119" s="4" t="str">
        <f>INDEX(Sheet1!$AM:$AM,ROWS($A$5:$A119)+1)&amp;""</f>
        <v/>
      </c>
      <c r="H119" s="4" t="str">
        <f>INDEX(Sheet1!$AN:$AN,ROWS($A$5:$A119)+1)&amp;""</f>
        <v/>
      </c>
      <c r="I119" s="6" t="str">
        <f>INDEX(Sheet1!$BA:$BA,ROWS($A$5:$A119)+1)&amp;""</f>
        <v/>
      </c>
      <c r="J119" s="4" t="str">
        <f>INDEX(Sheet1!$BB:$BB,ROWS($A$5:$A119)+1)&amp;""</f>
        <v/>
      </c>
      <c r="K119" s="6" t="str">
        <f>INDEX(Sheet1!$BO:$BO,ROWS($A$5:$A119)+1)&amp;""</f>
        <v/>
      </c>
      <c r="L119" s="4" t="str">
        <f>INDEX(Sheet1!$BP:$BP,ROWS($A$5:$A119)+1)&amp;""</f>
        <v/>
      </c>
      <c r="M119" s="10" t="str">
        <f>INDEX(Sheet1!$CB:$CB,ROWS($A$5:$A119)+1)&amp;""</f>
        <v/>
      </c>
      <c r="N119" s="7" t="str">
        <f>IF(INDEX(Sheet1!$CC:$CC,ROWS($A$5:$A119)+1)="","",INDEX(Sheet1!$CC:$CC,ROWS($A$5:$A119)+1))</f>
        <v/>
      </c>
    </row>
    <row r="120" spans="1:14" ht="20.100000000000001" customHeight="1" x14ac:dyDescent="0.15">
      <c r="A120" s="4" t="str">
        <f>IF(B120="","",IF(SUBTOTAL(103,B120)=0,"",SUBTOTAL(103,$B$5:B120)))</f>
        <v/>
      </c>
      <c r="B120" s="4" t="str">
        <f>INDEX(Sheet1!$B:$B,ROWS($A$5:$A120)+1)&amp;""</f>
        <v/>
      </c>
      <c r="C120" s="8" t="str">
        <f>INDEX(Sheet1!$O:$O,ROWS($A$5:$A120)+1)&amp;""</f>
        <v/>
      </c>
      <c r="D120" s="5" t="str">
        <f>INDEX(Sheet1!$T:$T,ROWS($A$5:$A120)+1)&amp;""</f>
        <v/>
      </c>
      <c r="E120" s="4" t="str">
        <f>INDEX(Sheet1!$Y:$Y,ROWS($A$5:$A120)+1)&amp;""</f>
        <v/>
      </c>
      <c r="F120" s="9" t="str">
        <f>INDEX(Sheet1!$AC:$AC,ROWS($A$5:$A120)+1)&amp;""</f>
        <v/>
      </c>
      <c r="G120" s="4" t="str">
        <f>INDEX(Sheet1!$AM:$AM,ROWS($A$5:$A120)+1)&amp;""</f>
        <v/>
      </c>
      <c r="H120" s="4" t="str">
        <f>INDEX(Sheet1!$AN:$AN,ROWS($A$5:$A120)+1)&amp;""</f>
        <v/>
      </c>
      <c r="I120" s="6" t="str">
        <f>INDEX(Sheet1!$BA:$BA,ROWS($A$5:$A120)+1)&amp;""</f>
        <v/>
      </c>
      <c r="J120" s="4" t="str">
        <f>INDEX(Sheet1!$BB:$BB,ROWS($A$5:$A120)+1)&amp;""</f>
        <v/>
      </c>
      <c r="K120" s="6" t="str">
        <f>INDEX(Sheet1!$BO:$BO,ROWS($A$5:$A120)+1)&amp;""</f>
        <v/>
      </c>
      <c r="L120" s="4" t="str">
        <f>INDEX(Sheet1!$BP:$BP,ROWS($A$5:$A120)+1)&amp;""</f>
        <v/>
      </c>
      <c r="M120" s="10" t="str">
        <f>INDEX(Sheet1!$CB:$CB,ROWS($A$5:$A120)+1)&amp;""</f>
        <v/>
      </c>
      <c r="N120" s="7" t="str">
        <f>IF(INDEX(Sheet1!$CC:$CC,ROWS($A$5:$A120)+1)="","",INDEX(Sheet1!$CC:$CC,ROWS($A$5:$A120)+1))</f>
        <v/>
      </c>
    </row>
    <row r="121" spans="1:14" ht="20.100000000000001" customHeight="1" x14ac:dyDescent="0.15">
      <c r="A121" s="4" t="str">
        <f>IF(B121="","",IF(SUBTOTAL(103,B121)=0,"",SUBTOTAL(103,$B$5:B121)))</f>
        <v/>
      </c>
      <c r="B121" s="4" t="str">
        <f>INDEX(Sheet1!$B:$B,ROWS($A$5:$A121)+1)&amp;""</f>
        <v/>
      </c>
      <c r="C121" s="8" t="str">
        <f>INDEX(Sheet1!$O:$O,ROWS($A$5:$A121)+1)&amp;""</f>
        <v/>
      </c>
      <c r="D121" s="5" t="str">
        <f>INDEX(Sheet1!$T:$T,ROWS($A$5:$A121)+1)&amp;""</f>
        <v/>
      </c>
      <c r="E121" s="4" t="str">
        <f>INDEX(Sheet1!$Y:$Y,ROWS($A$5:$A121)+1)&amp;""</f>
        <v/>
      </c>
      <c r="F121" s="9" t="str">
        <f>INDEX(Sheet1!$AC:$AC,ROWS($A$5:$A121)+1)&amp;""</f>
        <v/>
      </c>
      <c r="G121" s="4" t="str">
        <f>INDEX(Sheet1!$AM:$AM,ROWS($A$5:$A121)+1)&amp;""</f>
        <v/>
      </c>
      <c r="H121" s="4" t="str">
        <f>INDEX(Sheet1!$AN:$AN,ROWS($A$5:$A121)+1)&amp;""</f>
        <v/>
      </c>
      <c r="I121" s="6" t="str">
        <f>INDEX(Sheet1!$BA:$BA,ROWS($A$5:$A121)+1)&amp;""</f>
        <v/>
      </c>
      <c r="J121" s="4" t="str">
        <f>INDEX(Sheet1!$BB:$BB,ROWS($A$5:$A121)+1)&amp;""</f>
        <v/>
      </c>
      <c r="K121" s="6" t="str">
        <f>INDEX(Sheet1!$BO:$BO,ROWS($A$5:$A121)+1)&amp;""</f>
        <v/>
      </c>
      <c r="L121" s="4" t="str">
        <f>INDEX(Sheet1!$BP:$BP,ROWS($A$5:$A121)+1)&amp;""</f>
        <v/>
      </c>
      <c r="M121" s="10" t="str">
        <f>INDEX(Sheet1!$CB:$CB,ROWS($A$5:$A121)+1)&amp;""</f>
        <v/>
      </c>
      <c r="N121" s="7" t="str">
        <f>IF(INDEX(Sheet1!$CC:$CC,ROWS($A$5:$A121)+1)="","",INDEX(Sheet1!$CC:$CC,ROWS($A$5:$A121)+1))</f>
        <v/>
      </c>
    </row>
    <row r="122" spans="1:14" ht="20.100000000000001" customHeight="1" x14ac:dyDescent="0.15">
      <c r="A122" s="4" t="str">
        <f>IF(B122="","",IF(SUBTOTAL(103,B122)=0,"",SUBTOTAL(103,$B$5:B122)))</f>
        <v/>
      </c>
      <c r="B122" s="4" t="str">
        <f>INDEX(Sheet1!$B:$B,ROWS($A$5:$A122)+1)&amp;""</f>
        <v/>
      </c>
      <c r="C122" s="8" t="str">
        <f>INDEX(Sheet1!$O:$O,ROWS($A$5:$A122)+1)&amp;""</f>
        <v/>
      </c>
      <c r="D122" s="5" t="str">
        <f>INDEX(Sheet1!$T:$T,ROWS($A$5:$A122)+1)&amp;""</f>
        <v/>
      </c>
      <c r="E122" s="4" t="str">
        <f>INDEX(Sheet1!$Y:$Y,ROWS($A$5:$A122)+1)&amp;""</f>
        <v/>
      </c>
      <c r="F122" s="9" t="str">
        <f>INDEX(Sheet1!$AC:$AC,ROWS($A$5:$A122)+1)&amp;""</f>
        <v/>
      </c>
      <c r="G122" s="4" t="str">
        <f>INDEX(Sheet1!$AM:$AM,ROWS($A$5:$A122)+1)&amp;""</f>
        <v/>
      </c>
      <c r="H122" s="4" t="str">
        <f>INDEX(Sheet1!$AN:$AN,ROWS($A$5:$A122)+1)&amp;""</f>
        <v/>
      </c>
      <c r="I122" s="6" t="str">
        <f>INDEX(Sheet1!$BA:$BA,ROWS($A$5:$A122)+1)&amp;""</f>
        <v/>
      </c>
      <c r="J122" s="4" t="str">
        <f>INDEX(Sheet1!$BB:$BB,ROWS($A$5:$A122)+1)&amp;""</f>
        <v/>
      </c>
      <c r="K122" s="6" t="str">
        <f>INDEX(Sheet1!$BO:$BO,ROWS($A$5:$A122)+1)&amp;""</f>
        <v/>
      </c>
      <c r="L122" s="4" t="str">
        <f>INDEX(Sheet1!$BP:$BP,ROWS($A$5:$A122)+1)&amp;""</f>
        <v/>
      </c>
      <c r="M122" s="10" t="str">
        <f>INDEX(Sheet1!$CB:$CB,ROWS($A$5:$A122)+1)&amp;""</f>
        <v/>
      </c>
      <c r="N122" s="7" t="str">
        <f>IF(INDEX(Sheet1!$CC:$CC,ROWS($A$5:$A122)+1)="","",INDEX(Sheet1!$CC:$CC,ROWS($A$5:$A122)+1))</f>
        <v/>
      </c>
    </row>
    <row r="123" spans="1:14" ht="20.100000000000001" customHeight="1" x14ac:dyDescent="0.15">
      <c r="A123" s="4" t="str">
        <f>IF(B123="","",IF(SUBTOTAL(103,B123)=0,"",SUBTOTAL(103,$B$5:B123)))</f>
        <v/>
      </c>
      <c r="B123" s="4" t="str">
        <f>INDEX(Sheet1!$B:$B,ROWS($A$5:$A123)+1)&amp;""</f>
        <v/>
      </c>
      <c r="C123" s="8" t="str">
        <f>INDEX(Sheet1!$O:$O,ROWS($A$5:$A123)+1)&amp;""</f>
        <v/>
      </c>
      <c r="D123" s="5" t="str">
        <f>INDEX(Sheet1!$T:$T,ROWS($A$5:$A123)+1)&amp;""</f>
        <v/>
      </c>
      <c r="E123" s="4" t="str">
        <f>INDEX(Sheet1!$Y:$Y,ROWS($A$5:$A123)+1)&amp;""</f>
        <v/>
      </c>
      <c r="F123" s="9" t="str">
        <f>INDEX(Sheet1!$AC:$AC,ROWS($A$5:$A123)+1)&amp;""</f>
        <v/>
      </c>
      <c r="G123" s="4" t="str">
        <f>INDEX(Sheet1!$AM:$AM,ROWS($A$5:$A123)+1)&amp;""</f>
        <v/>
      </c>
      <c r="H123" s="4" t="str">
        <f>INDEX(Sheet1!$AN:$AN,ROWS($A$5:$A123)+1)&amp;""</f>
        <v/>
      </c>
      <c r="I123" s="6" t="str">
        <f>INDEX(Sheet1!$BA:$BA,ROWS($A$5:$A123)+1)&amp;""</f>
        <v/>
      </c>
      <c r="J123" s="4" t="str">
        <f>INDEX(Sheet1!$BB:$BB,ROWS($A$5:$A123)+1)&amp;""</f>
        <v/>
      </c>
      <c r="K123" s="6" t="str">
        <f>INDEX(Sheet1!$BO:$BO,ROWS($A$5:$A123)+1)&amp;""</f>
        <v/>
      </c>
      <c r="L123" s="4" t="str">
        <f>INDEX(Sheet1!$BP:$BP,ROWS($A$5:$A123)+1)&amp;""</f>
        <v/>
      </c>
      <c r="M123" s="10" t="str">
        <f>INDEX(Sheet1!$CB:$CB,ROWS($A$5:$A123)+1)&amp;""</f>
        <v/>
      </c>
      <c r="N123" s="7" t="str">
        <f>IF(INDEX(Sheet1!$CC:$CC,ROWS($A$5:$A123)+1)="","",INDEX(Sheet1!$CC:$CC,ROWS($A$5:$A123)+1))</f>
        <v/>
      </c>
    </row>
    <row r="124" spans="1:14" ht="20.100000000000001" customHeight="1" x14ac:dyDescent="0.15">
      <c r="A124" s="4" t="str">
        <f>IF(B124="","",IF(SUBTOTAL(103,B124)=0,"",SUBTOTAL(103,$B$5:B124)))</f>
        <v/>
      </c>
      <c r="B124" s="4" t="str">
        <f>INDEX(Sheet1!$B:$B,ROWS($A$5:$A124)+1)&amp;""</f>
        <v/>
      </c>
      <c r="C124" s="8" t="str">
        <f>INDEX(Sheet1!$O:$O,ROWS($A$5:$A124)+1)&amp;""</f>
        <v/>
      </c>
      <c r="D124" s="5" t="str">
        <f>INDEX(Sheet1!$T:$T,ROWS($A$5:$A124)+1)&amp;""</f>
        <v/>
      </c>
      <c r="E124" s="4" t="str">
        <f>INDEX(Sheet1!$Y:$Y,ROWS($A$5:$A124)+1)&amp;""</f>
        <v/>
      </c>
      <c r="F124" s="9" t="str">
        <f>INDEX(Sheet1!$AC:$AC,ROWS($A$5:$A124)+1)&amp;""</f>
        <v/>
      </c>
      <c r="G124" s="4" t="str">
        <f>INDEX(Sheet1!$AM:$AM,ROWS($A$5:$A124)+1)&amp;""</f>
        <v/>
      </c>
      <c r="H124" s="4" t="str">
        <f>INDEX(Sheet1!$AN:$AN,ROWS($A$5:$A124)+1)&amp;""</f>
        <v/>
      </c>
      <c r="I124" s="6" t="str">
        <f>INDEX(Sheet1!$BA:$BA,ROWS($A$5:$A124)+1)&amp;""</f>
        <v/>
      </c>
      <c r="J124" s="4" t="str">
        <f>INDEX(Sheet1!$BB:$BB,ROWS($A$5:$A124)+1)&amp;""</f>
        <v/>
      </c>
      <c r="K124" s="6" t="str">
        <f>INDEX(Sheet1!$BO:$BO,ROWS($A$5:$A124)+1)&amp;""</f>
        <v/>
      </c>
      <c r="L124" s="4" t="str">
        <f>INDEX(Sheet1!$BP:$BP,ROWS($A$5:$A124)+1)&amp;""</f>
        <v/>
      </c>
      <c r="M124" s="10" t="str">
        <f>INDEX(Sheet1!$CB:$CB,ROWS($A$5:$A124)+1)&amp;""</f>
        <v/>
      </c>
      <c r="N124" s="7" t="str">
        <f>IF(INDEX(Sheet1!$CC:$CC,ROWS($A$5:$A124)+1)="","",INDEX(Sheet1!$CC:$CC,ROWS($A$5:$A124)+1))</f>
        <v/>
      </c>
    </row>
    <row r="125" spans="1:14" ht="20.100000000000001" customHeight="1" x14ac:dyDescent="0.15">
      <c r="A125" s="4" t="str">
        <f>IF(B125="","",IF(SUBTOTAL(103,B125)=0,"",SUBTOTAL(103,$B$5:B125)))</f>
        <v/>
      </c>
      <c r="B125" s="4" t="str">
        <f>INDEX(Sheet1!$B:$B,ROWS($A$5:$A125)+1)&amp;""</f>
        <v/>
      </c>
      <c r="C125" s="8" t="str">
        <f>INDEX(Sheet1!$O:$O,ROWS($A$5:$A125)+1)&amp;""</f>
        <v/>
      </c>
      <c r="D125" s="5" t="str">
        <f>INDEX(Sheet1!$T:$T,ROWS($A$5:$A125)+1)&amp;""</f>
        <v/>
      </c>
      <c r="E125" s="4" t="str">
        <f>INDEX(Sheet1!$Y:$Y,ROWS($A$5:$A125)+1)&amp;""</f>
        <v/>
      </c>
      <c r="F125" s="9" t="str">
        <f>INDEX(Sheet1!$AC:$AC,ROWS($A$5:$A125)+1)&amp;""</f>
        <v/>
      </c>
      <c r="G125" s="4" t="str">
        <f>INDEX(Sheet1!$AM:$AM,ROWS($A$5:$A125)+1)&amp;""</f>
        <v/>
      </c>
      <c r="H125" s="4" t="str">
        <f>INDEX(Sheet1!$AN:$AN,ROWS($A$5:$A125)+1)&amp;""</f>
        <v/>
      </c>
      <c r="I125" s="6" t="str">
        <f>INDEX(Sheet1!$BA:$BA,ROWS($A$5:$A125)+1)&amp;""</f>
        <v/>
      </c>
      <c r="J125" s="4" t="str">
        <f>INDEX(Sheet1!$BB:$BB,ROWS($A$5:$A125)+1)&amp;""</f>
        <v/>
      </c>
      <c r="K125" s="6" t="str">
        <f>INDEX(Sheet1!$BO:$BO,ROWS($A$5:$A125)+1)&amp;""</f>
        <v/>
      </c>
      <c r="L125" s="4" t="str">
        <f>INDEX(Sheet1!$BP:$BP,ROWS($A$5:$A125)+1)&amp;""</f>
        <v/>
      </c>
      <c r="M125" s="10" t="str">
        <f>INDEX(Sheet1!$CB:$CB,ROWS($A$5:$A125)+1)&amp;""</f>
        <v/>
      </c>
      <c r="N125" s="7" t="str">
        <f>IF(INDEX(Sheet1!$CC:$CC,ROWS($A$5:$A125)+1)="","",INDEX(Sheet1!$CC:$CC,ROWS($A$5:$A125)+1))</f>
        <v/>
      </c>
    </row>
    <row r="126" spans="1:14" ht="20.100000000000001" customHeight="1" x14ac:dyDescent="0.15">
      <c r="A126" s="4" t="str">
        <f>IF(B126="","",IF(SUBTOTAL(103,B126)=0,"",SUBTOTAL(103,$B$5:B126)))</f>
        <v/>
      </c>
      <c r="B126" s="4" t="str">
        <f>INDEX(Sheet1!$B:$B,ROWS($A$5:$A126)+1)&amp;""</f>
        <v/>
      </c>
      <c r="C126" s="8" t="str">
        <f>INDEX(Sheet1!$O:$O,ROWS($A$5:$A126)+1)&amp;""</f>
        <v/>
      </c>
      <c r="D126" s="5" t="str">
        <f>INDEX(Sheet1!$T:$T,ROWS($A$5:$A126)+1)&amp;""</f>
        <v/>
      </c>
      <c r="E126" s="4" t="str">
        <f>INDEX(Sheet1!$Y:$Y,ROWS($A$5:$A126)+1)&amp;""</f>
        <v/>
      </c>
      <c r="F126" s="9" t="str">
        <f>INDEX(Sheet1!$AC:$AC,ROWS($A$5:$A126)+1)&amp;""</f>
        <v/>
      </c>
      <c r="G126" s="4" t="str">
        <f>INDEX(Sheet1!$AM:$AM,ROWS($A$5:$A126)+1)&amp;""</f>
        <v/>
      </c>
      <c r="H126" s="4" t="str">
        <f>INDEX(Sheet1!$AN:$AN,ROWS($A$5:$A126)+1)&amp;""</f>
        <v/>
      </c>
      <c r="I126" s="6" t="str">
        <f>INDEX(Sheet1!$BA:$BA,ROWS($A$5:$A126)+1)&amp;""</f>
        <v/>
      </c>
      <c r="J126" s="4" t="str">
        <f>INDEX(Sheet1!$BB:$BB,ROWS($A$5:$A126)+1)&amp;""</f>
        <v/>
      </c>
      <c r="K126" s="6" t="str">
        <f>INDEX(Sheet1!$BO:$BO,ROWS($A$5:$A126)+1)&amp;""</f>
        <v/>
      </c>
      <c r="L126" s="4" t="str">
        <f>INDEX(Sheet1!$BP:$BP,ROWS($A$5:$A126)+1)&amp;""</f>
        <v/>
      </c>
      <c r="M126" s="10" t="str">
        <f>INDEX(Sheet1!$CB:$CB,ROWS($A$5:$A126)+1)&amp;""</f>
        <v/>
      </c>
      <c r="N126" s="7" t="str">
        <f>IF(INDEX(Sheet1!$CC:$CC,ROWS($A$5:$A126)+1)="","",INDEX(Sheet1!$CC:$CC,ROWS($A$5:$A126)+1))</f>
        <v/>
      </c>
    </row>
    <row r="127" spans="1:14" ht="20.100000000000001" customHeight="1" x14ac:dyDescent="0.15">
      <c r="A127" s="4" t="str">
        <f>IF(B127="","",IF(SUBTOTAL(103,B127)=0,"",SUBTOTAL(103,$B$5:B127)))</f>
        <v/>
      </c>
      <c r="B127" s="4" t="str">
        <f>INDEX(Sheet1!$B:$B,ROWS($A$5:$A127)+1)&amp;""</f>
        <v/>
      </c>
      <c r="C127" s="8" t="str">
        <f>INDEX(Sheet1!$O:$O,ROWS($A$5:$A127)+1)&amp;""</f>
        <v/>
      </c>
      <c r="D127" s="5" t="str">
        <f>INDEX(Sheet1!$T:$T,ROWS($A$5:$A127)+1)&amp;""</f>
        <v/>
      </c>
      <c r="E127" s="4" t="str">
        <f>INDEX(Sheet1!$Y:$Y,ROWS($A$5:$A127)+1)&amp;""</f>
        <v/>
      </c>
      <c r="F127" s="9" t="str">
        <f>INDEX(Sheet1!$AC:$AC,ROWS($A$5:$A127)+1)&amp;""</f>
        <v/>
      </c>
      <c r="G127" s="4" t="str">
        <f>INDEX(Sheet1!$AM:$AM,ROWS($A$5:$A127)+1)&amp;""</f>
        <v/>
      </c>
      <c r="H127" s="4" t="str">
        <f>INDEX(Sheet1!$AN:$AN,ROWS($A$5:$A127)+1)&amp;""</f>
        <v/>
      </c>
      <c r="I127" s="6" t="str">
        <f>INDEX(Sheet1!$BA:$BA,ROWS($A$5:$A127)+1)&amp;""</f>
        <v/>
      </c>
      <c r="J127" s="4" t="str">
        <f>INDEX(Sheet1!$BB:$BB,ROWS($A$5:$A127)+1)&amp;""</f>
        <v/>
      </c>
      <c r="K127" s="6" t="str">
        <f>INDEX(Sheet1!$BO:$BO,ROWS($A$5:$A127)+1)&amp;""</f>
        <v/>
      </c>
      <c r="L127" s="4" t="str">
        <f>INDEX(Sheet1!$BP:$BP,ROWS($A$5:$A127)+1)&amp;""</f>
        <v/>
      </c>
      <c r="M127" s="10" t="str">
        <f>INDEX(Sheet1!$CB:$CB,ROWS($A$5:$A127)+1)&amp;""</f>
        <v/>
      </c>
      <c r="N127" s="7" t="str">
        <f>IF(INDEX(Sheet1!$CC:$CC,ROWS($A$5:$A127)+1)="","",INDEX(Sheet1!$CC:$CC,ROWS($A$5:$A127)+1))</f>
        <v/>
      </c>
    </row>
    <row r="128" spans="1:14" ht="20.100000000000001" customHeight="1" x14ac:dyDescent="0.15">
      <c r="A128" s="4" t="str">
        <f>IF(B128="","",IF(SUBTOTAL(103,B128)=0,"",SUBTOTAL(103,$B$5:B128)))</f>
        <v/>
      </c>
      <c r="B128" s="4" t="str">
        <f>INDEX(Sheet1!$B:$B,ROWS($A$5:$A128)+1)&amp;""</f>
        <v/>
      </c>
      <c r="C128" s="8" t="str">
        <f>INDEX(Sheet1!$O:$O,ROWS($A$5:$A128)+1)&amp;""</f>
        <v/>
      </c>
      <c r="D128" s="5" t="str">
        <f>INDEX(Sheet1!$T:$T,ROWS($A$5:$A128)+1)&amp;""</f>
        <v/>
      </c>
      <c r="E128" s="4" t="str">
        <f>INDEX(Sheet1!$Y:$Y,ROWS($A$5:$A128)+1)&amp;""</f>
        <v/>
      </c>
      <c r="F128" s="9" t="str">
        <f>INDEX(Sheet1!$AC:$AC,ROWS($A$5:$A128)+1)&amp;""</f>
        <v/>
      </c>
      <c r="G128" s="4" t="str">
        <f>INDEX(Sheet1!$AM:$AM,ROWS($A$5:$A128)+1)&amp;""</f>
        <v/>
      </c>
      <c r="H128" s="4" t="str">
        <f>INDEX(Sheet1!$AN:$AN,ROWS($A$5:$A128)+1)&amp;""</f>
        <v/>
      </c>
      <c r="I128" s="6" t="str">
        <f>INDEX(Sheet1!$BA:$BA,ROWS($A$5:$A128)+1)&amp;""</f>
        <v/>
      </c>
      <c r="J128" s="4" t="str">
        <f>INDEX(Sheet1!$BB:$BB,ROWS($A$5:$A128)+1)&amp;""</f>
        <v/>
      </c>
      <c r="K128" s="6" t="str">
        <f>INDEX(Sheet1!$BO:$BO,ROWS($A$5:$A128)+1)&amp;""</f>
        <v/>
      </c>
      <c r="L128" s="4" t="str">
        <f>INDEX(Sheet1!$BP:$BP,ROWS($A$5:$A128)+1)&amp;""</f>
        <v/>
      </c>
      <c r="M128" s="10" t="str">
        <f>INDEX(Sheet1!$CB:$CB,ROWS($A$5:$A128)+1)&amp;""</f>
        <v/>
      </c>
      <c r="N128" s="7" t="str">
        <f>IF(INDEX(Sheet1!$CC:$CC,ROWS($A$5:$A128)+1)="","",INDEX(Sheet1!$CC:$CC,ROWS($A$5:$A128)+1))</f>
        <v/>
      </c>
    </row>
    <row r="129" spans="1:14" ht="20.100000000000001" customHeight="1" x14ac:dyDescent="0.15">
      <c r="A129" s="4" t="str">
        <f>IF(B129="","",IF(SUBTOTAL(103,B129)=0,"",SUBTOTAL(103,$B$5:B129)))</f>
        <v/>
      </c>
      <c r="B129" s="4" t="str">
        <f>INDEX(Sheet1!$B:$B,ROWS($A$5:$A129)+1)&amp;""</f>
        <v/>
      </c>
      <c r="C129" s="8" t="str">
        <f>INDEX(Sheet1!$O:$O,ROWS($A$5:$A129)+1)&amp;""</f>
        <v/>
      </c>
      <c r="D129" s="5" t="str">
        <f>INDEX(Sheet1!$T:$T,ROWS($A$5:$A129)+1)&amp;""</f>
        <v/>
      </c>
      <c r="E129" s="4" t="str">
        <f>INDEX(Sheet1!$Y:$Y,ROWS($A$5:$A129)+1)&amp;""</f>
        <v/>
      </c>
      <c r="F129" s="9" t="str">
        <f>INDEX(Sheet1!$AC:$AC,ROWS($A$5:$A129)+1)&amp;""</f>
        <v/>
      </c>
      <c r="G129" s="4" t="str">
        <f>INDEX(Sheet1!$AM:$AM,ROWS($A$5:$A129)+1)&amp;""</f>
        <v/>
      </c>
      <c r="H129" s="4" t="str">
        <f>INDEX(Sheet1!$AN:$AN,ROWS($A$5:$A129)+1)&amp;""</f>
        <v/>
      </c>
      <c r="I129" s="6" t="str">
        <f>INDEX(Sheet1!$BA:$BA,ROWS($A$5:$A129)+1)&amp;""</f>
        <v/>
      </c>
      <c r="J129" s="4" t="str">
        <f>INDEX(Sheet1!$BB:$BB,ROWS($A$5:$A129)+1)&amp;""</f>
        <v/>
      </c>
      <c r="K129" s="6" t="str">
        <f>INDEX(Sheet1!$BO:$BO,ROWS($A$5:$A129)+1)&amp;""</f>
        <v/>
      </c>
      <c r="L129" s="4" t="str">
        <f>INDEX(Sheet1!$BP:$BP,ROWS($A$5:$A129)+1)&amp;""</f>
        <v/>
      </c>
      <c r="M129" s="10" t="str">
        <f>INDEX(Sheet1!$CB:$CB,ROWS($A$5:$A129)+1)&amp;""</f>
        <v/>
      </c>
      <c r="N129" s="7" t="str">
        <f>IF(INDEX(Sheet1!$CC:$CC,ROWS($A$5:$A129)+1)="","",INDEX(Sheet1!$CC:$CC,ROWS($A$5:$A129)+1))</f>
        <v/>
      </c>
    </row>
    <row r="130" spans="1:14" ht="20.100000000000001" customHeight="1" x14ac:dyDescent="0.15">
      <c r="A130" s="4" t="str">
        <f>IF(B130="","",IF(SUBTOTAL(103,B130)=0,"",SUBTOTAL(103,$B$5:B130)))</f>
        <v/>
      </c>
      <c r="B130" s="4" t="str">
        <f>INDEX(Sheet1!$B:$B,ROWS($A$5:$A130)+1)&amp;""</f>
        <v/>
      </c>
      <c r="C130" s="8" t="str">
        <f>INDEX(Sheet1!$O:$O,ROWS($A$5:$A130)+1)&amp;""</f>
        <v/>
      </c>
      <c r="D130" s="5" t="str">
        <f>INDEX(Sheet1!$T:$T,ROWS($A$5:$A130)+1)&amp;""</f>
        <v/>
      </c>
      <c r="E130" s="4" t="str">
        <f>INDEX(Sheet1!$Y:$Y,ROWS($A$5:$A130)+1)&amp;""</f>
        <v/>
      </c>
      <c r="F130" s="9" t="str">
        <f>INDEX(Sheet1!$AC:$AC,ROWS($A$5:$A130)+1)&amp;""</f>
        <v/>
      </c>
      <c r="G130" s="4" t="str">
        <f>INDEX(Sheet1!$AM:$AM,ROWS($A$5:$A130)+1)&amp;""</f>
        <v/>
      </c>
      <c r="H130" s="4" t="str">
        <f>INDEX(Sheet1!$AN:$AN,ROWS($A$5:$A130)+1)&amp;""</f>
        <v/>
      </c>
      <c r="I130" s="6" t="str">
        <f>INDEX(Sheet1!$BA:$BA,ROWS($A$5:$A130)+1)&amp;""</f>
        <v/>
      </c>
      <c r="J130" s="4" t="str">
        <f>INDEX(Sheet1!$BB:$BB,ROWS($A$5:$A130)+1)&amp;""</f>
        <v/>
      </c>
      <c r="K130" s="6" t="str">
        <f>INDEX(Sheet1!$BO:$BO,ROWS($A$5:$A130)+1)&amp;""</f>
        <v/>
      </c>
      <c r="L130" s="4" t="str">
        <f>INDEX(Sheet1!$BP:$BP,ROWS($A$5:$A130)+1)&amp;""</f>
        <v/>
      </c>
      <c r="M130" s="10" t="str">
        <f>INDEX(Sheet1!$CB:$CB,ROWS($A$5:$A130)+1)&amp;""</f>
        <v/>
      </c>
      <c r="N130" s="7" t="str">
        <f>IF(INDEX(Sheet1!$CC:$CC,ROWS($A$5:$A130)+1)="","",INDEX(Sheet1!$CC:$CC,ROWS($A$5:$A130)+1))</f>
        <v/>
      </c>
    </row>
    <row r="131" spans="1:14" ht="20.100000000000001" customHeight="1" x14ac:dyDescent="0.15">
      <c r="A131" s="4" t="str">
        <f>IF(B131="","",IF(SUBTOTAL(103,B131)=0,"",SUBTOTAL(103,$B$5:B131)))</f>
        <v/>
      </c>
      <c r="B131" s="4" t="str">
        <f>INDEX(Sheet1!$B:$B,ROWS($A$5:$A131)+1)&amp;""</f>
        <v/>
      </c>
      <c r="C131" s="8" t="str">
        <f>INDEX(Sheet1!$O:$O,ROWS($A$5:$A131)+1)&amp;""</f>
        <v/>
      </c>
      <c r="D131" s="5" t="str">
        <f>INDEX(Sheet1!$T:$T,ROWS($A$5:$A131)+1)&amp;""</f>
        <v/>
      </c>
      <c r="E131" s="4" t="str">
        <f>INDEX(Sheet1!$Y:$Y,ROWS($A$5:$A131)+1)&amp;""</f>
        <v/>
      </c>
      <c r="F131" s="9" t="str">
        <f>INDEX(Sheet1!$AC:$AC,ROWS($A$5:$A131)+1)&amp;""</f>
        <v/>
      </c>
      <c r="G131" s="4" t="str">
        <f>INDEX(Sheet1!$AM:$AM,ROWS($A$5:$A131)+1)&amp;""</f>
        <v/>
      </c>
      <c r="H131" s="4" t="str">
        <f>INDEX(Sheet1!$AN:$AN,ROWS($A$5:$A131)+1)&amp;""</f>
        <v/>
      </c>
      <c r="I131" s="6" t="str">
        <f>INDEX(Sheet1!$BA:$BA,ROWS($A$5:$A131)+1)&amp;""</f>
        <v/>
      </c>
      <c r="J131" s="4" t="str">
        <f>INDEX(Sheet1!$BB:$BB,ROWS($A$5:$A131)+1)&amp;""</f>
        <v/>
      </c>
      <c r="K131" s="6" t="str">
        <f>INDEX(Sheet1!$BO:$BO,ROWS($A$5:$A131)+1)&amp;""</f>
        <v/>
      </c>
      <c r="L131" s="4" t="str">
        <f>INDEX(Sheet1!$BP:$BP,ROWS($A$5:$A131)+1)&amp;""</f>
        <v/>
      </c>
      <c r="M131" s="10" t="str">
        <f>INDEX(Sheet1!$CB:$CB,ROWS($A$5:$A131)+1)&amp;""</f>
        <v/>
      </c>
      <c r="N131" s="7" t="str">
        <f>IF(INDEX(Sheet1!$CC:$CC,ROWS($A$5:$A131)+1)="","",INDEX(Sheet1!$CC:$CC,ROWS($A$5:$A131)+1))</f>
        <v/>
      </c>
    </row>
    <row r="132" spans="1:14" ht="20.100000000000001" customHeight="1" x14ac:dyDescent="0.15">
      <c r="A132" s="4" t="str">
        <f>IF(B132="","",IF(SUBTOTAL(103,B132)=0,"",SUBTOTAL(103,$B$5:B132)))</f>
        <v/>
      </c>
      <c r="B132" s="4" t="str">
        <f>INDEX(Sheet1!$B:$B,ROWS($A$5:$A132)+1)&amp;""</f>
        <v/>
      </c>
      <c r="C132" s="8" t="str">
        <f>INDEX(Sheet1!$O:$O,ROWS($A$5:$A132)+1)&amp;""</f>
        <v/>
      </c>
      <c r="D132" s="5" t="str">
        <f>INDEX(Sheet1!$T:$T,ROWS($A$5:$A132)+1)&amp;""</f>
        <v/>
      </c>
      <c r="E132" s="4" t="str">
        <f>INDEX(Sheet1!$Y:$Y,ROWS($A$5:$A132)+1)&amp;""</f>
        <v/>
      </c>
      <c r="F132" s="9" t="str">
        <f>INDEX(Sheet1!$AC:$AC,ROWS($A$5:$A132)+1)&amp;""</f>
        <v/>
      </c>
      <c r="G132" s="4" t="str">
        <f>INDEX(Sheet1!$AM:$AM,ROWS($A$5:$A132)+1)&amp;""</f>
        <v/>
      </c>
      <c r="H132" s="4" t="str">
        <f>INDEX(Sheet1!$AN:$AN,ROWS($A$5:$A132)+1)&amp;""</f>
        <v/>
      </c>
      <c r="I132" s="6" t="str">
        <f>INDEX(Sheet1!$BA:$BA,ROWS($A$5:$A132)+1)&amp;""</f>
        <v/>
      </c>
      <c r="J132" s="4" t="str">
        <f>INDEX(Sheet1!$BB:$BB,ROWS($A$5:$A132)+1)&amp;""</f>
        <v/>
      </c>
      <c r="K132" s="6" t="str">
        <f>INDEX(Sheet1!$BO:$BO,ROWS($A$5:$A132)+1)&amp;""</f>
        <v/>
      </c>
      <c r="L132" s="4" t="str">
        <f>INDEX(Sheet1!$BP:$BP,ROWS($A$5:$A132)+1)&amp;""</f>
        <v/>
      </c>
      <c r="M132" s="10" t="str">
        <f>INDEX(Sheet1!$CB:$CB,ROWS($A$5:$A132)+1)&amp;""</f>
        <v/>
      </c>
      <c r="N132" s="7" t="str">
        <f>IF(INDEX(Sheet1!$CC:$CC,ROWS($A$5:$A132)+1)="","",INDEX(Sheet1!$CC:$CC,ROWS($A$5:$A132)+1))</f>
        <v/>
      </c>
    </row>
    <row r="133" spans="1:14" ht="20.100000000000001" customHeight="1" x14ac:dyDescent="0.15">
      <c r="A133" s="4" t="str">
        <f>IF(B133="","",IF(SUBTOTAL(103,B133)=0,"",SUBTOTAL(103,$B$5:B133)))</f>
        <v/>
      </c>
      <c r="B133" s="4" t="str">
        <f>INDEX(Sheet1!$B:$B,ROWS($A$5:$A133)+1)&amp;""</f>
        <v/>
      </c>
      <c r="C133" s="8" t="str">
        <f>INDEX(Sheet1!$O:$O,ROWS($A$5:$A133)+1)&amp;""</f>
        <v/>
      </c>
      <c r="D133" s="5" t="str">
        <f>INDEX(Sheet1!$T:$T,ROWS($A$5:$A133)+1)&amp;""</f>
        <v/>
      </c>
      <c r="E133" s="4" t="str">
        <f>INDEX(Sheet1!$Y:$Y,ROWS($A$5:$A133)+1)&amp;""</f>
        <v/>
      </c>
      <c r="F133" s="9" t="str">
        <f>INDEX(Sheet1!$AC:$AC,ROWS($A$5:$A133)+1)&amp;""</f>
        <v/>
      </c>
      <c r="G133" s="4" t="str">
        <f>INDEX(Sheet1!$AM:$AM,ROWS($A$5:$A133)+1)&amp;""</f>
        <v/>
      </c>
      <c r="H133" s="4" t="str">
        <f>INDEX(Sheet1!$AN:$AN,ROWS($A$5:$A133)+1)&amp;""</f>
        <v/>
      </c>
      <c r="I133" s="6" t="str">
        <f>INDEX(Sheet1!$BA:$BA,ROWS($A$5:$A133)+1)&amp;""</f>
        <v/>
      </c>
      <c r="J133" s="4" t="str">
        <f>INDEX(Sheet1!$BB:$BB,ROWS($A$5:$A133)+1)&amp;""</f>
        <v/>
      </c>
      <c r="K133" s="6" t="str">
        <f>INDEX(Sheet1!$BO:$BO,ROWS($A$5:$A133)+1)&amp;""</f>
        <v/>
      </c>
      <c r="L133" s="4" t="str">
        <f>INDEX(Sheet1!$BP:$BP,ROWS($A$5:$A133)+1)&amp;""</f>
        <v/>
      </c>
      <c r="M133" s="10" t="str">
        <f>INDEX(Sheet1!$CB:$CB,ROWS($A$5:$A133)+1)&amp;""</f>
        <v/>
      </c>
      <c r="N133" s="7" t="str">
        <f>IF(INDEX(Sheet1!$CC:$CC,ROWS($A$5:$A133)+1)="","",INDEX(Sheet1!$CC:$CC,ROWS($A$5:$A133)+1))</f>
        <v/>
      </c>
    </row>
    <row r="134" spans="1:14" ht="20.100000000000001" customHeight="1" x14ac:dyDescent="0.15">
      <c r="A134" s="4" t="str">
        <f>IF(B134="","",IF(SUBTOTAL(103,B134)=0,"",SUBTOTAL(103,$B$5:B134)))</f>
        <v/>
      </c>
      <c r="B134" s="4" t="str">
        <f>INDEX(Sheet1!$B:$B,ROWS($A$5:$A134)+1)&amp;""</f>
        <v/>
      </c>
      <c r="C134" s="8" t="str">
        <f>INDEX(Sheet1!$O:$O,ROWS($A$5:$A134)+1)&amp;""</f>
        <v/>
      </c>
      <c r="D134" s="5" t="str">
        <f>INDEX(Sheet1!$T:$T,ROWS($A$5:$A134)+1)&amp;""</f>
        <v/>
      </c>
      <c r="E134" s="4" t="str">
        <f>INDEX(Sheet1!$Y:$Y,ROWS($A$5:$A134)+1)&amp;""</f>
        <v/>
      </c>
      <c r="F134" s="9" t="str">
        <f>INDEX(Sheet1!$AC:$AC,ROWS($A$5:$A134)+1)&amp;""</f>
        <v/>
      </c>
      <c r="G134" s="4" t="str">
        <f>INDEX(Sheet1!$AM:$AM,ROWS($A$5:$A134)+1)&amp;""</f>
        <v/>
      </c>
      <c r="H134" s="4" t="str">
        <f>INDEX(Sheet1!$AN:$AN,ROWS($A$5:$A134)+1)&amp;""</f>
        <v/>
      </c>
      <c r="I134" s="6" t="str">
        <f>INDEX(Sheet1!$BA:$BA,ROWS($A$5:$A134)+1)&amp;""</f>
        <v/>
      </c>
      <c r="J134" s="4" t="str">
        <f>INDEX(Sheet1!$BB:$BB,ROWS($A$5:$A134)+1)&amp;""</f>
        <v/>
      </c>
      <c r="K134" s="6" t="str">
        <f>INDEX(Sheet1!$BO:$BO,ROWS($A$5:$A134)+1)&amp;""</f>
        <v/>
      </c>
      <c r="L134" s="4" t="str">
        <f>INDEX(Sheet1!$BP:$BP,ROWS($A$5:$A134)+1)&amp;""</f>
        <v/>
      </c>
      <c r="M134" s="10" t="str">
        <f>INDEX(Sheet1!$CB:$CB,ROWS($A$5:$A134)+1)&amp;""</f>
        <v/>
      </c>
      <c r="N134" s="7" t="str">
        <f>IF(INDEX(Sheet1!$CC:$CC,ROWS($A$5:$A134)+1)="","",INDEX(Sheet1!$CC:$CC,ROWS($A$5:$A134)+1))</f>
        <v/>
      </c>
    </row>
    <row r="135" spans="1:14" ht="20.100000000000001" customHeight="1" x14ac:dyDescent="0.15">
      <c r="A135" s="4" t="str">
        <f>IF(B135="","",IF(SUBTOTAL(103,B135)=0,"",SUBTOTAL(103,$B$5:B135)))</f>
        <v/>
      </c>
      <c r="B135" s="4" t="str">
        <f>INDEX(Sheet1!$B:$B,ROWS($A$5:$A135)+1)&amp;""</f>
        <v/>
      </c>
      <c r="C135" s="8" t="str">
        <f>INDEX(Sheet1!$O:$O,ROWS($A$5:$A135)+1)&amp;""</f>
        <v/>
      </c>
      <c r="D135" s="5" t="str">
        <f>INDEX(Sheet1!$T:$T,ROWS($A$5:$A135)+1)&amp;""</f>
        <v/>
      </c>
      <c r="E135" s="4" t="str">
        <f>INDEX(Sheet1!$Y:$Y,ROWS($A$5:$A135)+1)&amp;""</f>
        <v/>
      </c>
      <c r="F135" s="9" t="str">
        <f>INDEX(Sheet1!$AC:$AC,ROWS($A$5:$A135)+1)&amp;""</f>
        <v/>
      </c>
      <c r="G135" s="4" t="str">
        <f>INDEX(Sheet1!$AM:$AM,ROWS($A$5:$A135)+1)&amp;""</f>
        <v/>
      </c>
      <c r="H135" s="4" t="str">
        <f>INDEX(Sheet1!$AN:$AN,ROWS($A$5:$A135)+1)&amp;""</f>
        <v/>
      </c>
      <c r="I135" s="6" t="str">
        <f>INDEX(Sheet1!$BA:$BA,ROWS($A$5:$A135)+1)&amp;""</f>
        <v/>
      </c>
      <c r="J135" s="4" t="str">
        <f>INDEX(Sheet1!$BB:$BB,ROWS($A$5:$A135)+1)&amp;""</f>
        <v/>
      </c>
      <c r="K135" s="6" t="str">
        <f>INDEX(Sheet1!$BO:$BO,ROWS($A$5:$A135)+1)&amp;""</f>
        <v/>
      </c>
      <c r="L135" s="4" t="str">
        <f>INDEX(Sheet1!$BP:$BP,ROWS($A$5:$A135)+1)&amp;""</f>
        <v/>
      </c>
      <c r="M135" s="10" t="str">
        <f>INDEX(Sheet1!$CB:$CB,ROWS($A$5:$A135)+1)&amp;""</f>
        <v/>
      </c>
      <c r="N135" s="7" t="str">
        <f>IF(INDEX(Sheet1!$CC:$CC,ROWS($A$5:$A135)+1)="","",INDEX(Sheet1!$CC:$CC,ROWS($A$5:$A135)+1))</f>
        <v/>
      </c>
    </row>
    <row r="136" spans="1:14" ht="20.100000000000001" customHeight="1" x14ac:dyDescent="0.15">
      <c r="A136" s="4" t="str">
        <f>IF(B136="","",IF(SUBTOTAL(103,B136)=0,"",SUBTOTAL(103,$B$5:B136)))</f>
        <v/>
      </c>
      <c r="B136" s="4" t="str">
        <f>INDEX(Sheet1!$B:$B,ROWS($A$5:$A136)+1)&amp;""</f>
        <v/>
      </c>
      <c r="C136" s="8" t="str">
        <f>INDEX(Sheet1!$O:$O,ROWS($A$5:$A136)+1)&amp;""</f>
        <v/>
      </c>
      <c r="D136" s="5" t="str">
        <f>INDEX(Sheet1!$T:$T,ROWS($A$5:$A136)+1)&amp;""</f>
        <v/>
      </c>
      <c r="E136" s="4" t="str">
        <f>INDEX(Sheet1!$Y:$Y,ROWS($A$5:$A136)+1)&amp;""</f>
        <v/>
      </c>
      <c r="F136" s="9" t="str">
        <f>INDEX(Sheet1!$AC:$AC,ROWS($A$5:$A136)+1)&amp;""</f>
        <v/>
      </c>
      <c r="G136" s="4" t="str">
        <f>INDEX(Sheet1!$AM:$AM,ROWS($A$5:$A136)+1)&amp;""</f>
        <v/>
      </c>
      <c r="H136" s="4" t="str">
        <f>INDEX(Sheet1!$AN:$AN,ROWS($A$5:$A136)+1)&amp;""</f>
        <v/>
      </c>
      <c r="I136" s="6" t="str">
        <f>INDEX(Sheet1!$BA:$BA,ROWS($A$5:$A136)+1)&amp;""</f>
        <v/>
      </c>
      <c r="J136" s="4" t="str">
        <f>INDEX(Sheet1!$BB:$BB,ROWS($A$5:$A136)+1)&amp;""</f>
        <v/>
      </c>
      <c r="K136" s="6" t="str">
        <f>INDEX(Sheet1!$BO:$BO,ROWS($A$5:$A136)+1)&amp;""</f>
        <v/>
      </c>
      <c r="L136" s="4" t="str">
        <f>INDEX(Sheet1!$BP:$BP,ROWS($A$5:$A136)+1)&amp;""</f>
        <v/>
      </c>
      <c r="M136" s="10" t="str">
        <f>INDEX(Sheet1!$CB:$CB,ROWS($A$5:$A136)+1)&amp;""</f>
        <v/>
      </c>
      <c r="N136" s="7" t="str">
        <f>IF(INDEX(Sheet1!$CC:$CC,ROWS($A$5:$A136)+1)="","",INDEX(Sheet1!$CC:$CC,ROWS($A$5:$A136)+1))</f>
        <v/>
      </c>
    </row>
    <row r="137" spans="1:14" ht="20.100000000000001" customHeight="1" x14ac:dyDescent="0.15">
      <c r="A137" s="4" t="str">
        <f>IF(B137="","",IF(SUBTOTAL(103,B137)=0,"",SUBTOTAL(103,$B$5:B137)))</f>
        <v/>
      </c>
      <c r="B137" s="4" t="str">
        <f>INDEX(Sheet1!$B:$B,ROWS($A$5:$A137)+1)&amp;""</f>
        <v/>
      </c>
      <c r="C137" s="8" t="str">
        <f>INDEX(Sheet1!$O:$O,ROWS($A$5:$A137)+1)&amp;""</f>
        <v/>
      </c>
      <c r="D137" s="5" t="str">
        <f>INDEX(Sheet1!$T:$T,ROWS($A$5:$A137)+1)&amp;""</f>
        <v/>
      </c>
      <c r="E137" s="4" t="str">
        <f>INDEX(Sheet1!$Y:$Y,ROWS($A$5:$A137)+1)&amp;""</f>
        <v/>
      </c>
      <c r="F137" s="9" t="str">
        <f>INDEX(Sheet1!$AC:$AC,ROWS($A$5:$A137)+1)&amp;""</f>
        <v/>
      </c>
      <c r="G137" s="4" t="str">
        <f>INDEX(Sheet1!$AM:$AM,ROWS($A$5:$A137)+1)&amp;""</f>
        <v/>
      </c>
      <c r="H137" s="4" t="str">
        <f>INDEX(Sheet1!$AN:$AN,ROWS($A$5:$A137)+1)&amp;""</f>
        <v/>
      </c>
      <c r="I137" s="6" t="str">
        <f>INDEX(Sheet1!$BA:$BA,ROWS($A$5:$A137)+1)&amp;""</f>
        <v/>
      </c>
      <c r="J137" s="4" t="str">
        <f>INDEX(Sheet1!$BB:$BB,ROWS($A$5:$A137)+1)&amp;""</f>
        <v/>
      </c>
      <c r="K137" s="6" t="str">
        <f>INDEX(Sheet1!$BO:$BO,ROWS($A$5:$A137)+1)&amp;""</f>
        <v/>
      </c>
      <c r="L137" s="4" t="str">
        <f>INDEX(Sheet1!$BP:$BP,ROWS($A$5:$A137)+1)&amp;""</f>
        <v/>
      </c>
      <c r="M137" s="10" t="str">
        <f>INDEX(Sheet1!$CB:$CB,ROWS($A$5:$A137)+1)&amp;""</f>
        <v/>
      </c>
      <c r="N137" s="7" t="str">
        <f>IF(INDEX(Sheet1!$CC:$CC,ROWS($A$5:$A137)+1)="","",INDEX(Sheet1!$CC:$CC,ROWS($A$5:$A137)+1))</f>
        <v/>
      </c>
    </row>
    <row r="138" spans="1:14" ht="20.100000000000001" customHeight="1" x14ac:dyDescent="0.15">
      <c r="A138" s="4" t="str">
        <f>IF(B138="","",IF(SUBTOTAL(103,B138)=0,"",SUBTOTAL(103,$B$5:B138)))</f>
        <v/>
      </c>
      <c r="B138" s="4" t="str">
        <f>INDEX(Sheet1!$B:$B,ROWS($A$5:$A138)+1)&amp;""</f>
        <v/>
      </c>
      <c r="C138" s="8" t="str">
        <f>INDEX(Sheet1!$O:$O,ROWS($A$5:$A138)+1)&amp;""</f>
        <v/>
      </c>
      <c r="D138" s="5" t="str">
        <f>INDEX(Sheet1!$T:$T,ROWS($A$5:$A138)+1)&amp;""</f>
        <v/>
      </c>
      <c r="E138" s="4" t="str">
        <f>INDEX(Sheet1!$Y:$Y,ROWS($A$5:$A138)+1)&amp;""</f>
        <v/>
      </c>
      <c r="F138" s="9" t="str">
        <f>INDEX(Sheet1!$AC:$AC,ROWS($A$5:$A138)+1)&amp;""</f>
        <v/>
      </c>
      <c r="G138" s="4" t="str">
        <f>INDEX(Sheet1!$AM:$AM,ROWS($A$5:$A138)+1)&amp;""</f>
        <v/>
      </c>
      <c r="H138" s="4" t="str">
        <f>INDEX(Sheet1!$AN:$AN,ROWS($A$5:$A138)+1)&amp;""</f>
        <v/>
      </c>
      <c r="I138" s="6" t="str">
        <f>INDEX(Sheet1!$BA:$BA,ROWS($A$5:$A138)+1)&amp;""</f>
        <v/>
      </c>
      <c r="J138" s="4" t="str">
        <f>INDEX(Sheet1!$BB:$BB,ROWS($A$5:$A138)+1)&amp;""</f>
        <v/>
      </c>
      <c r="K138" s="6" t="str">
        <f>INDEX(Sheet1!$BO:$BO,ROWS($A$5:$A138)+1)&amp;""</f>
        <v/>
      </c>
      <c r="L138" s="4" t="str">
        <f>INDEX(Sheet1!$BP:$BP,ROWS($A$5:$A138)+1)&amp;""</f>
        <v/>
      </c>
      <c r="M138" s="10" t="str">
        <f>INDEX(Sheet1!$CB:$CB,ROWS($A$5:$A138)+1)&amp;""</f>
        <v/>
      </c>
      <c r="N138" s="7" t="str">
        <f>IF(INDEX(Sheet1!$CC:$CC,ROWS($A$5:$A138)+1)="","",INDEX(Sheet1!$CC:$CC,ROWS($A$5:$A138)+1))</f>
        <v/>
      </c>
    </row>
    <row r="139" spans="1:14" ht="20.100000000000001" customHeight="1" x14ac:dyDescent="0.15">
      <c r="A139" s="4" t="str">
        <f>IF(B139="","",IF(SUBTOTAL(103,B139)=0,"",SUBTOTAL(103,$B$5:B139)))</f>
        <v/>
      </c>
      <c r="B139" s="4" t="str">
        <f>INDEX(Sheet1!$B:$B,ROWS($A$5:$A139)+1)&amp;""</f>
        <v/>
      </c>
      <c r="C139" s="8" t="str">
        <f>INDEX(Sheet1!$O:$O,ROWS($A$5:$A139)+1)&amp;""</f>
        <v/>
      </c>
      <c r="D139" s="5" t="str">
        <f>INDEX(Sheet1!$T:$T,ROWS($A$5:$A139)+1)&amp;""</f>
        <v/>
      </c>
      <c r="E139" s="4" t="str">
        <f>INDEX(Sheet1!$Y:$Y,ROWS($A$5:$A139)+1)&amp;""</f>
        <v/>
      </c>
      <c r="F139" s="9" t="str">
        <f>INDEX(Sheet1!$AC:$AC,ROWS($A$5:$A139)+1)&amp;""</f>
        <v/>
      </c>
      <c r="G139" s="4" t="str">
        <f>INDEX(Sheet1!$AM:$AM,ROWS($A$5:$A139)+1)&amp;""</f>
        <v/>
      </c>
      <c r="H139" s="4" t="str">
        <f>INDEX(Sheet1!$AN:$AN,ROWS($A$5:$A139)+1)&amp;""</f>
        <v/>
      </c>
      <c r="I139" s="6" t="str">
        <f>INDEX(Sheet1!$BA:$BA,ROWS($A$5:$A139)+1)&amp;""</f>
        <v/>
      </c>
      <c r="J139" s="4" t="str">
        <f>INDEX(Sheet1!$BB:$BB,ROWS($A$5:$A139)+1)&amp;""</f>
        <v/>
      </c>
      <c r="K139" s="6" t="str">
        <f>INDEX(Sheet1!$BO:$BO,ROWS($A$5:$A139)+1)&amp;""</f>
        <v/>
      </c>
      <c r="L139" s="4" t="str">
        <f>INDEX(Sheet1!$BP:$BP,ROWS($A$5:$A139)+1)&amp;""</f>
        <v/>
      </c>
      <c r="M139" s="10" t="str">
        <f>INDEX(Sheet1!$CB:$CB,ROWS($A$5:$A139)+1)&amp;""</f>
        <v/>
      </c>
      <c r="N139" s="7" t="str">
        <f>IF(INDEX(Sheet1!$CC:$CC,ROWS($A$5:$A139)+1)="","",INDEX(Sheet1!$CC:$CC,ROWS($A$5:$A139)+1))</f>
        <v/>
      </c>
    </row>
    <row r="140" spans="1:14" ht="20.100000000000001" customHeight="1" x14ac:dyDescent="0.15">
      <c r="A140" s="4" t="str">
        <f>IF(B140="","",IF(SUBTOTAL(103,B140)=0,"",SUBTOTAL(103,$B$5:B140)))</f>
        <v/>
      </c>
      <c r="B140" s="4" t="str">
        <f>INDEX(Sheet1!$B:$B,ROWS($A$5:$A140)+1)&amp;""</f>
        <v/>
      </c>
      <c r="C140" s="8" t="str">
        <f>INDEX(Sheet1!$O:$O,ROWS($A$5:$A140)+1)&amp;""</f>
        <v/>
      </c>
      <c r="D140" s="5" t="str">
        <f>INDEX(Sheet1!$T:$T,ROWS($A$5:$A140)+1)&amp;""</f>
        <v/>
      </c>
      <c r="E140" s="4" t="str">
        <f>INDEX(Sheet1!$Y:$Y,ROWS($A$5:$A140)+1)&amp;""</f>
        <v/>
      </c>
      <c r="F140" s="9" t="str">
        <f>INDEX(Sheet1!$AC:$AC,ROWS($A$5:$A140)+1)&amp;""</f>
        <v/>
      </c>
      <c r="G140" s="4" t="str">
        <f>INDEX(Sheet1!$AM:$AM,ROWS($A$5:$A140)+1)&amp;""</f>
        <v/>
      </c>
      <c r="H140" s="4" t="str">
        <f>INDEX(Sheet1!$AN:$AN,ROWS($A$5:$A140)+1)&amp;""</f>
        <v/>
      </c>
      <c r="I140" s="6" t="str">
        <f>INDEX(Sheet1!$BA:$BA,ROWS($A$5:$A140)+1)&amp;""</f>
        <v/>
      </c>
      <c r="J140" s="4" t="str">
        <f>INDEX(Sheet1!$BB:$BB,ROWS($A$5:$A140)+1)&amp;""</f>
        <v/>
      </c>
      <c r="K140" s="6" t="str">
        <f>INDEX(Sheet1!$BO:$BO,ROWS($A$5:$A140)+1)&amp;""</f>
        <v/>
      </c>
      <c r="L140" s="4" t="str">
        <f>INDEX(Sheet1!$BP:$BP,ROWS($A$5:$A140)+1)&amp;""</f>
        <v/>
      </c>
      <c r="M140" s="10" t="str">
        <f>INDEX(Sheet1!$CB:$CB,ROWS($A$5:$A140)+1)&amp;""</f>
        <v/>
      </c>
      <c r="N140" s="7" t="str">
        <f>IF(INDEX(Sheet1!$CC:$CC,ROWS($A$5:$A140)+1)="","",INDEX(Sheet1!$CC:$CC,ROWS($A$5:$A140)+1))</f>
        <v/>
      </c>
    </row>
    <row r="141" spans="1:14" ht="20.100000000000001" customHeight="1" x14ac:dyDescent="0.15">
      <c r="A141" s="4" t="str">
        <f>IF(B141="","",IF(SUBTOTAL(103,B141)=0,"",SUBTOTAL(103,$B$5:B141)))</f>
        <v/>
      </c>
      <c r="B141" s="4" t="str">
        <f>INDEX(Sheet1!$B:$B,ROWS($A$5:$A141)+1)&amp;""</f>
        <v/>
      </c>
      <c r="C141" s="8" t="str">
        <f>INDEX(Sheet1!$O:$O,ROWS($A$5:$A141)+1)&amp;""</f>
        <v/>
      </c>
      <c r="D141" s="5" t="str">
        <f>INDEX(Sheet1!$T:$T,ROWS($A$5:$A141)+1)&amp;""</f>
        <v/>
      </c>
      <c r="E141" s="4" t="str">
        <f>INDEX(Sheet1!$Y:$Y,ROWS($A$5:$A141)+1)&amp;""</f>
        <v/>
      </c>
      <c r="F141" s="9" t="str">
        <f>INDEX(Sheet1!$AC:$AC,ROWS($A$5:$A141)+1)&amp;""</f>
        <v/>
      </c>
      <c r="G141" s="4" t="str">
        <f>INDEX(Sheet1!$AM:$AM,ROWS($A$5:$A141)+1)&amp;""</f>
        <v/>
      </c>
      <c r="H141" s="4" t="str">
        <f>INDEX(Sheet1!$AN:$AN,ROWS($A$5:$A141)+1)&amp;""</f>
        <v/>
      </c>
      <c r="I141" s="6" t="str">
        <f>INDEX(Sheet1!$BA:$BA,ROWS($A$5:$A141)+1)&amp;""</f>
        <v/>
      </c>
      <c r="J141" s="4" t="str">
        <f>INDEX(Sheet1!$BB:$BB,ROWS($A$5:$A141)+1)&amp;""</f>
        <v/>
      </c>
      <c r="K141" s="6" t="str">
        <f>INDEX(Sheet1!$BO:$BO,ROWS($A$5:$A141)+1)&amp;""</f>
        <v/>
      </c>
      <c r="L141" s="4" t="str">
        <f>INDEX(Sheet1!$BP:$BP,ROWS($A$5:$A141)+1)&amp;""</f>
        <v/>
      </c>
      <c r="M141" s="10" t="str">
        <f>INDEX(Sheet1!$CB:$CB,ROWS($A$5:$A141)+1)&amp;""</f>
        <v/>
      </c>
      <c r="N141" s="7" t="str">
        <f>IF(INDEX(Sheet1!$CC:$CC,ROWS($A$5:$A141)+1)="","",INDEX(Sheet1!$CC:$CC,ROWS($A$5:$A141)+1))</f>
        <v/>
      </c>
    </row>
    <row r="142" spans="1:14" ht="20.100000000000001" customHeight="1" x14ac:dyDescent="0.15">
      <c r="A142" s="4" t="str">
        <f>IF(B142="","",IF(SUBTOTAL(103,B142)=0,"",SUBTOTAL(103,$B$5:B142)))</f>
        <v/>
      </c>
      <c r="B142" s="4" t="str">
        <f>INDEX(Sheet1!$B:$B,ROWS($A$5:$A142)+1)&amp;""</f>
        <v/>
      </c>
      <c r="C142" s="8" t="str">
        <f>INDEX(Sheet1!$O:$O,ROWS($A$5:$A142)+1)&amp;""</f>
        <v/>
      </c>
      <c r="D142" s="5" t="str">
        <f>INDEX(Sheet1!$T:$T,ROWS($A$5:$A142)+1)&amp;""</f>
        <v/>
      </c>
      <c r="E142" s="4" t="str">
        <f>INDEX(Sheet1!$Y:$Y,ROWS($A$5:$A142)+1)&amp;""</f>
        <v/>
      </c>
      <c r="F142" s="9" t="str">
        <f>INDEX(Sheet1!$AC:$AC,ROWS($A$5:$A142)+1)&amp;""</f>
        <v/>
      </c>
      <c r="G142" s="4" t="str">
        <f>INDEX(Sheet1!$AM:$AM,ROWS($A$5:$A142)+1)&amp;""</f>
        <v/>
      </c>
      <c r="H142" s="4" t="str">
        <f>INDEX(Sheet1!$AN:$AN,ROWS($A$5:$A142)+1)&amp;""</f>
        <v/>
      </c>
      <c r="I142" s="6" t="str">
        <f>INDEX(Sheet1!$BA:$BA,ROWS($A$5:$A142)+1)&amp;""</f>
        <v/>
      </c>
      <c r="J142" s="4" t="str">
        <f>INDEX(Sheet1!$BB:$BB,ROWS($A$5:$A142)+1)&amp;""</f>
        <v/>
      </c>
      <c r="K142" s="6" t="str">
        <f>INDEX(Sheet1!$BO:$BO,ROWS($A$5:$A142)+1)&amp;""</f>
        <v/>
      </c>
      <c r="L142" s="4" t="str">
        <f>INDEX(Sheet1!$BP:$BP,ROWS($A$5:$A142)+1)&amp;""</f>
        <v/>
      </c>
      <c r="M142" s="10" t="str">
        <f>INDEX(Sheet1!$CB:$CB,ROWS($A$5:$A142)+1)&amp;""</f>
        <v/>
      </c>
      <c r="N142" s="7" t="str">
        <f>IF(INDEX(Sheet1!$CC:$CC,ROWS($A$5:$A142)+1)="","",INDEX(Sheet1!$CC:$CC,ROWS($A$5:$A142)+1))</f>
        <v/>
      </c>
    </row>
    <row r="143" spans="1:14" ht="20.100000000000001" customHeight="1" x14ac:dyDescent="0.15">
      <c r="A143" s="4" t="str">
        <f>IF(B143="","",IF(SUBTOTAL(103,B143)=0,"",SUBTOTAL(103,$B$5:B143)))</f>
        <v/>
      </c>
      <c r="B143" s="4" t="str">
        <f>INDEX(Sheet1!$B:$B,ROWS($A$5:$A143)+1)&amp;""</f>
        <v/>
      </c>
      <c r="C143" s="8" t="str">
        <f>INDEX(Sheet1!$O:$O,ROWS($A$5:$A143)+1)&amp;""</f>
        <v/>
      </c>
      <c r="D143" s="5" t="str">
        <f>INDEX(Sheet1!$T:$T,ROWS($A$5:$A143)+1)&amp;""</f>
        <v/>
      </c>
      <c r="E143" s="4" t="str">
        <f>INDEX(Sheet1!$Y:$Y,ROWS($A$5:$A143)+1)&amp;""</f>
        <v/>
      </c>
      <c r="F143" s="9" t="str">
        <f>INDEX(Sheet1!$AC:$AC,ROWS($A$5:$A143)+1)&amp;""</f>
        <v/>
      </c>
      <c r="G143" s="4" t="str">
        <f>INDEX(Sheet1!$AM:$AM,ROWS($A$5:$A143)+1)&amp;""</f>
        <v/>
      </c>
      <c r="H143" s="4" t="str">
        <f>INDEX(Sheet1!$AN:$AN,ROWS($A$5:$A143)+1)&amp;""</f>
        <v/>
      </c>
      <c r="I143" s="6" t="str">
        <f>INDEX(Sheet1!$BA:$BA,ROWS($A$5:$A143)+1)&amp;""</f>
        <v/>
      </c>
      <c r="J143" s="4" t="str">
        <f>INDEX(Sheet1!$BB:$BB,ROWS($A$5:$A143)+1)&amp;""</f>
        <v/>
      </c>
      <c r="K143" s="6" t="str">
        <f>INDEX(Sheet1!$BO:$BO,ROWS($A$5:$A143)+1)&amp;""</f>
        <v/>
      </c>
      <c r="L143" s="4" t="str">
        <f>INDEX(Sheet1!$BP:$BP,ROWS($A$5:$A143)+1)&amp;""</f>
        <v/>
      </c>
      <c r="M143" s="10" t="str">
        <f>INDEX(Sheet1!$CB:$CB,ROWS($A$5:$A143)+1)&amp;""</f>
        <v/>
      </c>
      <c r="N143" s="7" t="str">
        <f>IF(INDEX(Sheet1!$CC:$CC,ROWS($A$5:$A143)+1)="","",INDEX(Sheet1!$CC:$CC,ROWS($A$5:$A143)+1))</f>
        <v/>
      </c>
    </row>
    <row r="144" spans="1:14" ht="20.100000000000001" customHeight="1" x14ac:dyDescent="0.15">
      <c r="A144" s="4" t="str">
        <f>IF(B144="","",IF(SUBTOTAL(103,B144)=0,"",SUBTOTAL(103,$B$5:B144)))</f>
        <v/>
      </c>
      <c r="B144" s="4" t="str">
        <f>INDEX(Sheet1!$B:$B,ROWS($A$5:$A144)+1)&amp;""</f>
        <v/>
      </c>
      <c r="C144" s="8" t="str">
        <f>INDEX(Sheet1!$O:$O,ROWS($A$5:$A144)+1)&amp;""</f>
        <v/>
      </c>
      <c r="D144" s="5" t="str">
        <f>INDEX(Sheet1!$T:$T,ROWS($A$5:$A144)+1)&amp;""</f>
        <v/>
      </c>
      <c r="E144" s="4" t="str">
        <f>INDEX(Sheet1!$Y:$Y,ROWS($A$5:$A144)+1)&amp;""</f>
        <v/>
      </c>
      <c r="F144" s="9" t="str">
        <f>INDEX(Sheet1!$AC:$AC,ROWS($A$5:$A144)+1)&amp;""</f>
        <v/>
      </c>
      <c r="G144" s="4" t="str">
        <f>INDEX(Sheet1!$AM:$AM,ROWS($A$5:$A144)+1)&amp;""</f>
        <v/>
      </c>
      <c r="H144" s="4" t="str">
        <f>INDEX(Sheet1!$AN:$AN,ROWS($A$5:$A144)+1)&amp;""</f>
        <v/>
      </c>
      <c r="I144" s="6" t="str">
        <f>INDEX(Sheet1!$BA:$BA,ROWS($A$5:$A144)+1)&amp;""</f>
        <v/>
      </c>
      <c r="J144" s="4" t="str">
        <f>INDEX(Sheet1!$BB:$BB,ROWS($A$5:$A144)+1)&amp;""</f>
        <v/>
      </c>
      <c r="K144" s="6" t="str">
        <f>INDEX(Sheet1!$BO:$BO,ROWS($A$5:$A144)+1)&amp;""</f>
        <v/>
      </c>
      <c r="L144" s="4" t="str">
        <f>INDEX(Sheet1!$BP:$BP,ROWS($A$5:$A144)+1)&amp;""</f>
        <v/>
      </c>
      <c r="M144" s="10" t="str">
        <f>INDEX(Sheet1!$CB:$CB,ROWS($A$5:$A144)+1)&amp;""</f>
        <v/>
      </c>
      <c r="N144" s="7" t="str">
        <f>IF(INDEX(Sheet1!$CC:$CC,ROWS($A$5:$A144)+1)="","",INDEX(Sheet1!$CC:$CC,ROWS($A$5:$A144)+1))</f>
        <v/>
      </c>
    </row>
    <row r="145" spans="1:14" ht="20.100000000000001" customHeight="1" x14ac:dyDescent="0.15">
      <c r="A145" s="4" t="str">
        <f>IF(B145="","",IF(SUBTOTAL(103,B145)=0,"",SUBTOTAL(103,$B$5:B145)))</f>
        <v/>
      </c>
      <c r="B145" s="4" t="str">
        <f>INDEX(Sheet1!$B:$B,ROWS($A$5:$A145)+1)&amp;""</f>
        <v/>
      </c>
      <c r="C145" s="8" t="str">
        <f>INDEX(Sheet1!$O:$O,ROWS($A$5:$A145)+1)&amp;""</f>
        <v/>
      </c>
      <c r="D145" s="5" t="str">
        <f>INDEX(Sheet1!$T:$T,ROWS($A$5:$A145)+1)&amp;""</f>
        <v/>
      </c>
      <c r="E145" s="4" t="str">
        <f>INDEX(Sheet1!$Y:$Y,ROWS($A$5:$A145)+1)&amp;""</f>
        <v/>
      </c>
      <c r="F145" s="9" t="str">
        <f>INDEX(Sheet1!$AC:$AC,ROWS($A$5:$A145)+1)&amp;""</f>
        <v/>
      </c>
      <c r="G145" s="4" t="str">
        <f>INDEX(Sheet1!$AM:$AM,ROWS($A$5:$A145)+1)&amp;""</f>
        <v/>
      </c>
      <c r="H145" s="4" t="str">
        <f>INDEX(Sheet1!$AN:$AN,ROWS($A$5:$A145)+1)&amp;""</f>
        <v/>
      </c>
      <c r="I145" s="6" t="str">
        <f>INDEX(Sheet1!$BA:$BA,ROWS($A$5:$A145)+1)&amp;""</f>
        <v/>
      </c>
      <c r="J145" s="4" t="str">
        <f>INDEX(Sheet1!$BB:$BB,ROWS($A$5:$A145)+1)&amp;""</f>
        <v/>
      </c>
      <c r="K145" s="6" t="str">
        <f>INDEX(Sheet1!$BO:$BO,ROWS($A$5:$A145)+1)&amp;""</f>
        <v/>
      </c>
      <c r="L145" s="4" t="str">
        <f>INDEX(Sheet1!$BP:$BP,ROWS($A$5:$A145)+1)&amp;""</f>
        <v/>
      </c>
      <c r="M145" s="10" t="str">
        <f>INDEX(Sheet1!$CB:$CB,ROWS($A$5:$A145)+1)&amp;""</f>
        <v/>
      </c>
      <c r="N145" s="7" t="str">
        <f>IF(INDEX(Sheet1!$CC:$CC,ROWS($A$5:$A145)+1)="","",INDEX(Sheet1!$CC:$CC,ROWS($A$5:$A145)+1))</f>
        <v/>
      </c>
    </row>
    <row r="146" spans="1:14" ht="20.100000000000001" customHeight="1" x14ac:dyDescent="0.15">
      <c r="A146" s="4" t="str">
        <f>IF(B146="","",IF(SUBTOTAL(103,B146)=0,"",SUBTOTAL(103,$B$5:B146)))</f>
        <v/>
      </c>
      <c r="B146" s="4" t="str">
        <f>INDEX(Sheet1!$B:$B,ROWS($A$5:$A146)+1)&amp;""</f>
        <v/>
      </c>
      <c r="C146" s="8" t="str">
        <f>INDEX(Sheet1!$O:$O,ROWS($A$5:$A146)+1)&amp;""</f>
        <v/>
      </c>
      <c r="D146" s="5" t="str">
        <f>INDEX(Sheet1!$T:$T,ROWS($A$5:$A146)+1)&amp;""</f>
        <v/>
      </c>
      <c r="E146" s="4" t="str">
        <f>INDEX(Sheet1!$Y:$Y,ROWS($A$5:$A146)+1)&amp;""</f>
        <v/>
      </c>
      <c r="F146" s="9" t="str">
        <f>INDEX(Sheet1!$AC:$AC,ROWS($A$5:$A146)+1)&amp;""</f>
        <v/>
      </c>
      <c r="G146" s="4" t="str">
        <f>INDEX(Sheet1!$AM:$AM,ROWS($A$5:$A146)+1)&amp;""</f>
        <v/>
      </c>
      <c r="H146" s="4" t="str">
        <f>INDEX(Sheet1!$AN:$AN,ROWS($A$5:$A146)+1)&amp;""</f>
        <v/>
      </c>
      <c r="I146" s="6" t="str">
        <f>INDEX(Sheet1!$BA:$BA,ROWS($A$5:$A146)+1)&amp;""</f>
        <v/>
      </c>
      <c r="J146" s="4" t="str">
        <f>INDEX(Sheet1!$BB:$BB,ROWS($A$5:$A146)+1)&amp;""</f>
        <v/>
      </c>
      <c r="K146" s="6" t="str">
        <f>INDEX(Sheet1!$BO:$BO,ROWS($A$5:$A146)+1)&amp;""</f>
        <v/>
      </c>
      <c r="L146" s="4" t="str">
        <f>INDEX(Sheet1!$BP:$BP,ROWS($A$5:$A146)+1)&amp;""</f>
        <v/>
      </c>
      <c r="M146" s="10" t="str">
        <f>INDEX(Sheet1!$CB:$CB,ROWS($A$5:$A146)+1)&amp;""</f>
        <v/>
      </c>
      <c r="N146" s="7" t="str">
        <f>IF(INDEX(Sheet1!$CC:$CC,ROWS($A$5:$A146)+1)="","",INDEX(Sheet1!$CC:$CC,ROWS($A$5:$A146)+1))</f>
        <v/>
      </c>
    </row>
    <row r="147" spans="1:14" ht="20.100000000000001" customHeight="1" x14ac:dyDescent="0.15">
      <c r="A147" s="4" t="str">
        <f>IF(B147="","",IF(SUBTOTAL(103,B147)=0,"",SUBTOTAL(103,$B$5:B147)))</f>
        <v/>
      </c>
      <c r="B147" s="4" t="str">
        <f>INDEX(Sheet1!$B:$B,ROWS($A$5:$A147)+1)&amp;""</f>
        <v/>
      </c>
      <c r="C147" s="8" t="str">
        <f>INDEX(Sheet1!$O:$O,ROWS($A$5:$A147)+1)&amp;""</f>
        <v/>
      </c>
      <c r="D147" s="5" t="str">
        <f>INDEX(Sheet1!$T:$T,ROWS($A$5:$A147)+1)&amp;""</f>
        <v/>
      </c>
      <c r="E147" s="4" t="str">
        <f>INDEX(Sheet1!$Y:$Y,ROWS($A$5:$A147)+1)&amp;""</f>
        <v/>
      </c>
      <c r="F147" s="9" t="str">
        <f>INDEX(Sheet1!$AC:$AC,ROWS($A$5:$A147)+1)&amp;""</f>
        <v/>
      </c>
      <c r="G147" s="4" t="str">
        <f>INDEX(Sheet1!$AM:$AM,ROWS($A$5:$A147)+1)&amp;""</f>
        <v/>
      </c>
      <c r="H147" s="4" t="str">
        <f>INDEX(Sheet1!$AN:$AN,ROWS($A$5:$A147)+1)&amp;""</f>
        <v/>
      </c>
      <c r="I147" s="6" t="str">
        <f>INDEX(Sheet1!$BA:$BA,ROWS($A$5:$A147)+1)&amp;""</f>
        <v/>
      </c>
      <c r="J147" s="4" t="str">
        <f>INDEX(Sheet1!$BB:$BB,ROWS($A$5:$A147)+1)&amp;""</f>
        <v/>
      </c>
      <c r="K147" s="6" t="str">
        <f>INDEX(Sheet1!$BO:$BO,ROWS($A$5:$A147)+1)&amp;""</f>
        <v/>
      </c>
      <c r="L147" s="4" t="str">
        <f>INDEX(Sheet1!$BP:$BP,ROWS($A$5:$A147)+1)&amp;""</f>
        <v/>
      </c>
      <c r="M147" s="10" t="str">
        <f>INDEX(Sheet1!$CB:$CB,ROWS($A$5:$A147)+1)&amp;""</f>
        <v/>
      </c>
      <c r="N147" s="7" t="str">
        <f>IF(INDEX(Sheet1!$CC:$CC,ROWS($A$5:$A147)+1)="","",INDEX(Sheet1!$CC:$CC,ROWS($A$5:$A147)+1))</f>
        <v/>
      </c>
    </row>
    <row r="148" spans="1:14" ht="20.100000000000001" customHeight="1" x14ac:dyDescent="0.15">
      <c r="A148" s="4" t="str">
        <f>IF(B148="","",IF(SUBTOTAL(103,B148)=0,"",SUBTOTAL(103,$B$5:B148)))</f>
        <v/>
      </c>
      <c r="B148" s="4" t="str">
        <f>INDEX(Sheet1!$B:$B,ROWS($A$5:$A148)+1)&amp;""</f>
        <v/>
      </c>
      <c r="C148" s="8" t="str">
        <f>INDEX(Sheet1!$O:$O,ROWS($A$5:$A148)+1)&amp;""</f>
        <v/>
      </c>
      <c r="D148" s="5" t="str">
        <f>INDEX(Sheet1!$T:$T,ROWS($A$5:$A148)+1)&amp;""</f>
        <v/>
      </c>
      <c r="E148" s="4" t="str">
        <f>INDEX(Sheet1!$Y:$Y,ROWS($A$5:$A148)+1)&amp;""</f>
        <v/>
      </c>
      <c r="F148" s="9" t="str">
        <f>INDEX(Sheet1!$AC:$AC,ROWS($A$5:$A148)+1)&amp;""</f>
        <v/>
      </c>
      <c r="G148" s="4" t="str">
        <f>INDEX(Sheet1!$AM:$AM,ROWS($A$5:$A148)+1)&amp;""</f>
        <v/>
      </c>
      <c r="H148" s="4" t="str">
        <f>INDEX(Sheet1!$AN:$AN,ROWS($A$5:$A148)+1)&amp;""</f>
        <v/>
      </c>
      <c r="I148" s="6" t="str">
        <f>INDEX(Sheet1!$BA:$BA,ROWS($A$5:$A148)+1)&amp;""</f>
        <v/>
      </c>
      <c r="J148" s="4" t="str">
        <f>INDEX(Sheet1!$BB:$BB,ROWS($A$5:$A148)+1)&amp;""</f>
        <v/>
      </c>
      <c r="K148" s="6" t="str">
        <f>INDEX(Sheet1!$BO:$BO,ROWS($A$5:$A148)+1)&amp;""</f>
        <v/>
      </c>
      <c r="L148" s="4" t="str">
        <f>INDEX(Sheet1!$BP:$BP,ROWS($A$5:$A148)+1)&amp;""</f>
        <v/>
      </c>
      <c r="M148" s="10" t="str">
        <f>INDEX(Sheet1!$CB:$CB,ROWS($A$5:$A148)+1)&amp;""</f>
        <v/>
      </c>
      <c r="N148" s="7" t="str">
        <f>IF(INDEX(Sheet1!$CC:$CC,ROWS($A$5:$A148)+1)="","",INDEX(Sheet1!$CC:$CC,ROWS($A$5:$A148)+1))</f>
        <v/>
      </c>
    </row>
    <row r="149" spans="1:14" ht="20.100000000000001" customHeight="1" x14ac:dyDescent="0.15">
      <c r="A149" s="4" t="str">
        <f>IF(B149="","",IF(SUBTOTAL(103,B149)=0,"",SUBTOTAL(103,$B$5:B149)))</f>
        <v/>
      </c>
      <c r="B149" s="4" t="str">
        <f>INDEX(Sheet1!$B:$B,ROWS($A$5:$A149)+1)&amp;""</f>
        <v/>
      </c>
      <c r="C149" s="8" t="str">
        <f>INDEX(Sheet1!$O:$O,ROWS($A$5:$A149)+1)&amp;""</f>
        <v/>
      </c>
      <c r="D149" s="5" t="str">
        <f>INDEX(Sheet1!$T:$T,ROWS($A$5:$A149)+1)&amp;""</f>
        <v/>
      </c>
      <c r="E149" s="4" t="str">
        <f>INDEX(Sheet1!$Y:$Y,ROWS($A$5:$A149)+1)&amp;""</f>
        <v/>
      </c>
      <c r="F149" s="9" t="str">
        <f>INDEX(Sheet1!$AC:$AC,ROWS($A$5:$A149)+1)&amp;""</f>
        <v/>
      </c>
      <c r="G149" s="4" t="str">
        <f>INDEX(Sheet1!$AM:$AM,ROWS($A$5:$A149)+1)&amp;""</f>
        <v/>
      </c>
      <c r="H149" s="4" t="str">
        <f>INDEX(Sheet1!$AN:$AN,ROWS($A$5:$A149)+1)&amp;""</f>
        <v/>
      </c>
      <c r="I149" s="6" t="str">
        <f>INDEX(Sheet1!$BA:$BA,ROWS($A$5:$A149)+1)&amp;""</f>
        <v/>
      </c>
      <c r="J149" s="4" t="str">
        <f>INDEX(Sheet1!$BB:$BB,ROWS($A$5:$A149)+1)&amp;""</f>
        <v/>
      </c>
      <c r="K149" s="6" t="str">
        <f>INDEX(Sheet1!$BO:$BO,ROWS($A$5:$A149)+1)&amp;""</f>
        <v/>
      </c>
      <c r="L149" s="4" t="str">
        <f>INDEX(Sheet1!$BP:$BP,ROWS($A$5:$A149)+1)&amp;""</f>
        <v/>
      </c>
      <c r="M149" s="10" t="str">
        <f>INDEX(Sheet1!$CB:$CB,ROWS($A$5:$A149)+1)&amp;""</f>
        <v/>
      </c>
      <c r="N149" s="7" t="str">
        <f>IF(INDEX(Sheet1!$CC:$CC,ROWS($A$5:$A149)+1)="","",INDEX(Sheet1!$CC:$CC,ROWS($A$5:$A149)+1))</f>
        <v/>
      </c>
    </row>
    <row r="150" spans="1:14" ht="20.100000000000001" customHeight="1" x14ac:dyDescent="0.15">
      <c r="A150" s="4" t="str">
        <f>IF(B150="","",IF(SUBTOTAL(103,B150)=0,"",SUBTOTAL(103,$B$5:B150)))</f>
        <v/>
      </c>
      <c r="B150" s="4" t="str">
        <f>INDEX(Sheet1!$B:$B,ROWS($A$5:$A150)+1)&amp;""</f>
        <v/>
      </c>
      <c r="C150" s="8" t="str">
        <f>INDEX(Sheet1!$O:$O,ROWS($A$5:$A150)+1)&amp;""</f>
        <v/>
      </c>
      <c r="D150" s="5" t="str">
        <f>INDEX(Sheet1!$T:$T,ROWS($A$5:$A150)+1)&amp;""</f>
        <v/>
      </c>
      <c r="E150" s="4" t="str">
        <f>INDEX(Sheet1!$Y:$Y,ROWS($A$5:$A150)+1)&amp;""</f>
        <v/>
      </c>
      <c r="F150" s="9" t="str">
        <f>INDEX(Sheet1!$AC:$AC,ROWS($A$5:$A150)+1)&amp;""</f>
        <v/>
      </c>
      <c r="G150" s="4" t="str">
        <f>INDEX(Sheet1!$AM:$AM,ROWS($A$5:$A150)+1)&amp;""</f>
        <v/>
      </c>
      <c r="H150" s="4" t="str">
        <f>INDEX(Sheet1!$AN:$AN,ROWS($A$5:$A150)+1)&amp;""</f>
        <v/>
      </c>
      <c r="I150" s="6" t="str">
        <f>INDEX(Sheet1!$BA:$BA,ROWS($A$5:$A150)+1)&amp;""</f>
        <v/>
      </c>
      <c r="J150" s="4" t="str">
        <f>INDEX(Sheet1!$BB:$BB,ROWS($A$5:$A150)+1)&amp;""</f>
        <v/>
      </c>
      <c r="K150" s="6" t="str">
        <f>INDEX(Sheet1!$BO:$BO,ROWS($A$5:$A150)+1)&amp;""</f>
        <v/>
      </c>
      <c r="L150" s="4" t="str">
        <f>INDEX(Sheet1!$BP:$BP,ROWS($A$5:$A150)+1)&amp;""</f>
        <v/>
      </c>
      <c r="M150" s="10" t="str">
        <f>INDEX(Sheet1!$CB:$CB,ROWS($A$5:$A150)+1)&amp;""</f>
        <v/>
      </c>
      <c r="N150" s="7" t="str">
        <f>IF(INDEX(Sheet1!$CC:$CC,ROWS($A$5:$A150)+1)="","",INDEX(Sheet1!$CC:$CC,ROWS($A$5:$A150)+1))</f>
        <v/>
      </c>
    </row>
    <row r="151" spans="1:14" ht="20.100000000000001" customHeight="1" x14ac:dyDescent="0.15">
      <c r="A151" s="4" t="str">
        <f>IF(B151="","",IF(SUBTOTAL(103,B151)=0,"",SUBTOTAL(103,$B$5:B151)))</f>
        <v/>
      </c>
      <c r="B151" s="4" t="str">
        <f>INDEX(Sheet1!$B:$B,ROWS($A$5:$A151)+1)&amp;""</f>
        <v/>
      </c>
      <c r="C151" s="8" t="str">
        <f>INDEX(Sheet1!$O:$O,ROWS($A$5:$A151)+1)&amp;""</f>
        <v/>
      </c>
      <c r="D151" s="5" t="str">
        <f>INDEX(Sheet1!$T:$T,ROWS($A$5:$A151)+1)&amp;""</f>
        <v/>
      </c>
      <c r="E151" s="4" t="str">
        <f>INDEX(Sheet1!$Y:$Y,ROWS($A$5:$A151)+1)&amp;""</f>
        <v/>
      </c>
      <c r="F151" s="9" t="str">
        <f>INDEX(Sheet1!$AC:$AC,ROWS($A$5:$A151)+1)&amp;""</f>
        <v/>
      </c>
      <c r="G151" s="4" t="str">
        <f>INDEX(Sheet1!$AM:$AM,ROWS($A$5:$A151)+1)&amp;""</f>
        <v/>
      </c>
      <c r="H151" s="4" t="str">
        <f>INDEX(Sheet1!$AN:$AN,ROWS($A$5:$A151)+1)&amp;""</f>
        <v/>
      </c>
      <c r="I151" s="6" t="str">
        <f>INDEX(Sheet1!$BA:$BA,ROWS($A$5:$A151)+1)&amp;""</f>
        <v/>
      </c>
      <c r="J151" s="4" t="str">
        <f>INDEX(Sheet1!$BB:$BB,ROWS($A$5:$A151)+1)&amp;""</f>
        <v/>
      </c>
      <c r="K151" s="6" t="str">
        <f>INDEX(Sheet1!$BO:$BO,ROWS($A$5:$A151)+1)&amp;""</f>
        <v/>
      </c>
      <c r="L151" s="4" t="str">
        <f>INDEX(Sheet1!$BP:$BP,ROWS($A$5:$A151)+1)&amp;""</f>
        <v/>
      </c>
      <c r="M151" s="10" t="str">
        <f>INDEX(Sheet1!$CB:$CB,ROWS($A$5:$A151)+1)&amp;""</f>
        <v/>
      </c>
      <c r="N151" s="7" t="str">
        <f>IF(INDEX(Sheet1!$CC:$CC,ROWS($A$5:$A151)+1)="","",INDEX(Sheet1!$CC:$CC,ROWS($A$5:$A151)+1))</f>
        <v/>
      </c>
    </row>
    <row r="152" spans="1:14" ht="20.100000000000001" customHeight="1" x14ac:dyDescent="0.15">
      <c r="A152" s="4" t="str">
        <f>IF(B152="","",IF(SUBTOTAL(103,B152)=0,"",SUBTOTAL(103,$B$5:B152)))</f>
        <v/>
      </c>
      <c r="B152" s="4" t="str">
        <f>INDEX(Sheet1!$B:$B,ROWS($A$5:$A152)+1)&amp;""</f>
        <v/>
      </c>
      <c r="C152" s="8" t="str">
        <f>INDEX(Sheet1!$O:$O,ROWS($A$5:$A152)+1)&amp;""</f>
        <v/>
      </c>
      <c r="D152" s="5" t="str">
        <f>INDEX(Sheet1!$T:$T,ROWS($A$5:$A152)+1)&amp;""</f>
        <v/>
      </c>
      <c r="E152" s="4" t="str">
        <f>INDEX(Sheet1!$Y:$Y,ROWS($A$5:$A152)+1)&amp;""</f>
        <v/>
      </c>
      <c r="F152" s="9" t="str">
        <f>INDEX(Sheet1!$AC:$AC,ROWS($A$5:$A152)+1)&amp;""</f>
        <v/>
      </c>
      <c r="G152" s="4" t="str">
        <f>INDEX(Sheet1!$AM:$AM,ROWS($A$5:$A152)+1)&amp;""</f>
        <v/>
      </c>
      <c r="H152" s="4" t="str">
        <f>INDEX(Sheet1!$AN:$AN,ROWS($A$5:$A152)+1)&amp;""</f>
        <v/>
      </c>
      <c r="I152" s="6" t="str">
        <f>INDEX(Sheet1!$BA:$BA,ROWS($A$5:$A152)+1)&amp;""</f>
        <v/>
      </c>
      <c r="J152" s="4" t="str">
        <f>INDEX(Sheet1!$BB:$BB,ROWS($A$5:$A152)+1)&amp;""</f>
        <v/>
      </c>
      <c r="K152" s="6" t="str">
        <f>INDEX(Sheet1!$BO:$BO,ROWS($A$5:$A152)+1)&amp;""</f>
        <v/>
      </c>
      <c r="L152" s="4" t="str">
        <f>INDEX(Sheet1!$BP:$BP,ROWS($A$5:$A152)+1)&amp;""</f>
        <v/>
      </c>
      <c r="M152" s="10" t="str">
        <f>INDEX(Sheet1!$CB:$CB,ROWS($A$5:$A152)+1)&amp;""</f>
        <v/>
      </c>
      <c r="N152" s="7" t="str">
        <f>IF(INDEX(Sheet1!$CC:$CC,ROWS($A$5:$A152)+1)="","",INDEX(Sheet1!$CC:$CC,ROWS($A$5:$A152)+1))</f>
        <v/>
      </c>
    </row>
    <row r="153" spans="1:14" ht="20.100000000000001" customHeight="1" x14ac:dyDescent="0.15">
      <c r="A153" s="4" t="str">
        <f>IF(B153="","",IF(SUBTOTAL(103,B153)=0,"",SUBTOTAL(103,$B$5:B153)))</f>
        <v/>
      </c>
      <c r="B153" s="4" t="str">
        <f>INDEX(Sheet1!$B:$B,ROWS($A$5:$A153)+1)&amp;""</f>
        <v/>
      </c>
      <c r="C153" s="8" t="str">
        <f>INDEX(Sheet1!$O:$O,ROWS($A$5:$A153)+1)&amp;""</f>
        <v/>
      </c>
      <c r="D153" s="5" t="str">
        <f>INDEX(Sheet1!$T:$T,ROWS($A$5:$A153)+1)&amp;""</f>
        <v/>
      </c>
      <c r="E153" s="4" t="str">
        <f>INDEX(Sheet1!$Y:$Y,ROWS($A$5:$A153)+1)&amp;""</f>
        <v/>
      </c>
      <c r="F153" s="9" t="str">
        <f>INDEX(Sheet1!$AC:$AC,ROWS($A$5:$A153)+1)&amp;""</f>
        <v/>
      </c>
      <c r="G153" s="4" t="str">
        <f>INDEX(Sheet1!$AM:$AM,ROWS($A$5:$A153)+1)&amp;""</f>
        <v/>
      </c>
      <c r="H153" s="4" t="str">
        <f>INDEX(Sheet1!$AN:$AN,ROWS($A$5:$A153)+1)&amp;""</f>
        <v/>
      </c>
      <c r="I153" s="6" t="str">
        <f>INDEX(Sheet1!$BA:$BA,ROWS($A$5:$A153)+1)&amp;""</f>
        <v/>
      </c>
      <c r="J153" s="4" t="str">
        <f>INDEX(Sheet1!$BB:$BB,ROWS($A$5:$A153)+1)&amp;""</f>
        <v/>
      </c>
      <c r="K153" s="6" t="str">
        <f>INDEX(Sheet1!$BO:$BO,ROWS($A$5:$A153)+1)&amp;""</f>
        <v/>
      </c>
      <c r="L153" s="4" t="str">
        <f>INDEX(Sheet1!$BP:$BP,ROWS($A$5:$A153)+1)&amp;""</f>
        <v/>
      </c>
      <c r="M153" s="10" t="str">
        <f>INDEX(Sheet1!$CB:$CB,ROWS($A$5:$A153)+1)&amp;""</f>
        <v/>
      </c>
      <c r="N153" s="7" t="str">
        <f>IF(INDEX(Sheet1!$CC:$CC,ROWS($A$5:$A153)+1)="","",INDEX(Sheet1!$CC:$CC,ROWS($A$5:$A153)+1))</f>
        <v/>
      </c>
    </row>
    <row r="154" spans="1:14" ht="20.100000000000001" customHeight="1" x14ac:dyDescent="0.15">
      <c r="A154" s="4" t="str">
        <f>IF(B154="","",IF(SUBTOTAL(103,B154)=0,"",SUBTOTAL(103,$B$5:B154)))</f>
        <v/>
      </c>
      <c r="B154" s="4" t="str">
        <f>INDEX(Sheet1!$B:$B,ROWS($A$5:$A154)+1)&amp;""</f>
        <v/>
      </c>
      <c r="C154" s="8" t="str">
        <f>INDEX(Sheet1!$O:$O,ROWS($A$5:$A154)+1)&amp;""</f>
        <v/>
      </c>
      <c r="D154" s="5" t="str">
        <f>INDEX(Sheet1!$T:$T,ROWS($A$5:$A154)+1)&amp;""</f>
        <v/>
      </c>
      <c r="E154" s="4" t="str">
        <f>INDEX(Sheet1!$Y:$Y,ROWS($A$5:$A154)+1)&amp;""</f>
        <v/>
      </c>
      <c r="F154" s="9" t="str">
        <f>INDEX(Sheet1!$AC:$AC,ROWS($A$5:$A154)+1)&amp;""</f>
        <v/>
      </c>
      <c r="G154" s="4" t="str">
        <f>INDEX(Sheet1!$AM:$AM,ROWS($A$5:$A154)+1)&amp;""</f>
        <v/>
      </c>
      <c r="H154" s="4" t="str">
        <f>INDEX(Sheet1!$AN:$AN,ROWS($A$5:$A154)+1)&amp;""</f>
        <v/>
      </c>
      <c r="I154" s="6" t="str">
        <f>INDEX(Sheet1!$BA:$BA,ROWS($A$5:$A154)+1)&amp;""</f>
        <v/>
      </c>
      <c r="J154" s="4" t="str">
        <f>INDEX(Sheet1!$BB:$BB,ROWS($A$5:$A154)+1)&amp;""</f>
        <v/>
      </c>
      <c r="K154" s="6" t="str">
        <f>INDEX(Sheet1!$BO:$BO,ROWS($A$5:$A154)+1)&amp;""</f>
        <v/>
      </c>
      <c r="L154" s="4" t="str">
        <f>INDEX(Sheet1!$BP:$BP,ROWS($A$5:$A154)+1)&amp;""</f>
        <v/>
      </c>
      <c r="M154" s="10" t="str">
        <f>INDEX(Sheet1!$CB:$CB,ROWS($A$5:$A154)+1)&amp;""</f>
        <v/>
      </c>
      <c r="N154" s="7" t="str">
        <f>IF(INDEX(Sheet1!$CC:$CC,ROWS($A$5:$A154)+1)="","",INDEX(Sheet1!$CC:$CC,ROWS($A$5:$A154)+1))</f>
        <v/>
      </c>
    </row>
    <row r="155" spans="1:14" ht="21.75" customHeight="1" x14ac:dyDescent="0.15"/>
    <row r="157" spans="1:14" ht="21.75" customHeight="1" x14ac:dyDescent="0.15"/>
    <row r="158" spans="1:14" ht="21.75" customHeight="1" x14ac:dyDescent="0.15"/>
    <row r="159" spans="1:14" ht="21.75" customHeight="1" x14ac:dyDescent="0.15"/>
    <row r="160" spans="1:14" ht="21.75" customHeight="1" x14ac:dyDescent="0.15"/>
    <row r="161" ht="21.75" customHeight="1" x14ac:dyDescent="0.15"/>
    <row r="162" ht="21.75" customHeight="1" x14ac:dyDescent="0.15"/>
    <row r="163" ht="21.75" customHeight="1" x14ac:dyDescent="0.15"/>
    <row r="164" ht="21.75" customHeight="1" x14ac:dyDescent="0.15"/>
    <row r="166" ht="21.75" customHeight="1" x14ac:dyDescent="0.15"/>
    <row r="168" ht="21.75" customHeight="1" x14ac:dyDescent="0.15"/>
    <row r="169" ht="21.75" customHeight="1" x14ac:dyDescent="0.15"/>
    <row r="170" ht="21.75" customHeight="1" x14ac:dyDescent="0.15"/>
    <row r="171" ht="21.75" customHeight="1" x14ac:dyDescent="0.15"/>
    <row r="172" ht="21.75" customHeight="1" x14ac:dyDescent="0.15"/>
    <row r="173" ht="21.75" customHeight="1" x14ac:dyDescent="0.15"/>
    <row r="174" ht="21.75" customHeight="1" x14ac:dyDescent="0.15"/>
  </sheetData>
  <sheetProtection sheet="1" objects="1" scenarios="1" formatColumns="0" formatRows="0"/>
  <phoneticPr fontId="32" alignment="center"/>
  <conditionalFormatting sqref="A5:N154">
    <cfRule type="expression" dxfId="5" priority="1">
      <formula>MOD(ROW(),2)=0</formula>
    </cfRule>
  </conditionalFormatting>
  <printOptions horizontalCentered="1" verticalCentered="1"/>
  <pageMargins left="0" right="0" top="0" bottom="0" header="0" footer="0"/>
  <pageSetup paperSize="9"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63"/>
  <sheetViews>
    <sheetView zoomScaleNormal="100" zoomScaleSheetLayoutView="100" workbookViewId="0">
      <selection activeCell="V8" sqref="V8"/>
    </sheetView>
  </sheetViews>
  <sheetFormatPr defaultColWidth="9" defaultRowHeight="18" customHeight="1" x14ac:dyDescent="0.15"/>
  <cols>
    <col min="1" max="24" width="5.625" style="42" customWidth="1"/>
    <col min="25" max="27" width="5.125" style="42" customWidth="1"/>
    <col min="28" max="29" width="9" style="42" customWidth="1"/>
    <col min="30" max="16384" width="9" style="42"/>
  </cols>
  <sheetData>
    <row r="1" spans="1:24" ht="20.100000000000001" customHeight="1" x14ac:dyDescent="0.15">
      <c r="A1" s="220" t="str">
        <f ca="1">TEXT(EDATE(TODAY(),-3),"ggge")&amp;"年度会費および登録費用等"</f>
        <v>令和8年度会費および登録費用等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spans="1:24" ht="20.100000000000001" customHeight="1" thickBot="1" x14ac:dyDescent="0.2">
      <c r="A2" s="195" t="s">
        <v>76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</row>
    <row r="3" spans="1:24" ht="20.100000000000001" customHeight="1" thickBot="1" x14ac:dyDescent="0.2">
      <c r="A3" s="257"/>
      <c r="B3" s="236"/>
      <c r="C3" s="236"/>
      <c r="D3" s="236"/>
      <c r="E3" s="236"/>
      <c r="F3" s="237"/>
      <c r="G3" s="235" t="s">
        <v>77</v>
      </c>
      <c r="H3" s="236"/>
      <c r="I3" s="236"/>
      <c r="J3" s="236"/>
      <c r="K3" s="237"/>
      <c r="L3" s="254" t="s">
        <v>191</v>
      </c>
      <c r="M3" s="255"/>
      <c r="N3" s="255"/>
      <c r="O3" s="255"/>
      <c r="P3" s="256"/>
      <c r="Q3" s="257" t="s">
        <v>78</v>
      </c>
      <c r="R3" s="236"/>
      <c r="S3" s="237"/>
    </row>
    <row r="4" spans="1:24" ht="20.100000000000001" customHeight="1" x14ac:dyDescent="0.15">
      <c r="A4" s="198" t="s">
        <v>79</v>
      </c>
      <c r="B4" s="199"/>
      <c r="C4" s="199"/>
      <c r="D4" s="199"/>
      <c r="E4" s="199"/>
      <c r="F4" s="200"/>
      <c r="G4" s="204">
        <f>各種設定金額!B5</f>
        <v>2300</v>
      </c>
      <c r="H4" s="199"/>
      <c r="I4" s="199"/>
      <c r="J4" s="199"/>
      <c r="K4" s="200"/>
      <c r="L4" s="204">
        <f>各種設定金額!C2</f>
        <v>6000</v>
      </c>
      <c r="M4" s="199"/>
      <c r="N4" s="199"/>
      <c r="O4" s="199"/>
      <c r="P4" s="200"/>
      <c r="Q4" s="268">
        <f>SUM(G4:P4)</f>
        <v>8300</v>
      </c>
      <c r="R4" s="199"/>
      <c r="S4" s="200"/>
    </row>
    <row r="5" spans="1:24" ht="20.100000000000001" customHeight="1" x14ac:dyDescent="0.15">
      <c r="A5" s="173" t="s">
        <v>80</v>
      </c>
      <c r="B5" s="171"/>
      <c r="C5" s="171"/>
      <c r="D5" s="171"/>
      <c r="E5" s="171"/>
      <c r="F5" s="172"/>
      <c r="G5" s="185">
        <f>各種設定金額!B4</f>
        <v>2300</v>
      </c>
      <c r="H5" s="171"/>
      <c r="I5" s="171"/>
      <c r="J5" s="171"/>
      <c r="K5" s="172"/>
      <c r="L5" s="185">
        <f>各種設定金額!C2</f>
        <v>6000</v>
      </c>
      <c r="M5" s="171"/>
      <c r="N5" s="171"/>
      <c r="O5" s="171"/>
      <c r="P5" s="172"/>
      <c r="Q5" s="194">
        <f>SUM(G5:P5)</f>
        <v>8300</v>
      </c>
      <c r="R5" s="171"/>
      <c r="S5" s="172"/>
    </row>
    <row r="6" spans="1:24" ht="20.100000000000001" customHeight="1" x14ac:dyDescent="0.15">
      <c r="A6" s="173" t="s">
        <v>81</v>
      </c>
      <c r="B6" s="171"/>
      <c r="C6" s="171"/>
      <c r="D6" s="171"/>
      <c r="E6" s="171"/>
      <c r="F6" s="172"/>
      <c r="G6" s="185">
        <f>各種設定金額!B2</f>
        <v>4800</v>
      </c>
      <c r="H6" s="171"/>
      <c r="I6" s="171"/>
      <c r="J6" s="171"/>
      <c r="K6" s="172"/>
      <c r="L6" s="185">
        <f>各種設定金額!C2</f>
        <v>6000</v>
      </c>
      <c r="M6" s="171"/>
      <c r="N6" s="171"/>
      <c r="O6" s="171"/>
      <c r="P6" s="172"/>
      <c r="Q6" s="194">
        <f>SUM(G6:P6)</f>
        <v>10800</v>
      </c>
      <c r="R6" s="171"/>
      <c r="S6" s="172"/>
    </row>
    <row r="7" spans="1:24" ht="20.100000000000001" customHeight="1" thickBot="1" x14ac:dyDescent="0.2">
      <c r="A7" s="265" t="s">
        <v>82</v>
      </c>
      <c r="B7" s="215"/>
      <c r="C7" s="215"/>
      <c r="D7" s="215"/>
      <c r="E7" s="215"/>
      <c r="F7" s="216"/>
      <c r="G7" s="219">
        <f>各種設定金額!B3</f>
        <v>3300</v>
      </c>
      <c r="H7" s="215"/>
      <c r="I7" s="215"/>
      <c r="J7" s="215"/>
      <c r="K7" s="216"/>
      <c r="L7" s="219">
        <f>各種設定金額!C2</f>
        <v>6000</v>
      </c>
      <c r="M7" s="215"/>
      <c r="N7" s="215"/>
      <c r="O7" s="215"/>
      <c r="P7" s="216"/>
      <c r="Q7" s="214">
        <f>SUM(G7:P7)</f>
        <v>9300</v>
      </c>
      <c r="R7" s="215"/>
      <c r="S7" s="216"/>
    </row>
    <row r="8" spans="1:24" ht="20.100000000000001" customHeight="1" x14ac:dyDescent="0.15">
      <c r="A8" s="227" t="s">
        <v>221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</row>
    <row r="9" spans="1:24" ht="9.9499999999999993" customHeight="1" x14ac:dyDescent="0.1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4" ht="20.100000000000001" customHeight="1" x14ac:dyDescent="0.15">
      <c r="A10" s="195" t="s">
        <v>83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</row>
    <row r="11" spans="1:24" ht="20.100000000000001" customHeight="1" thickBot="1" x14ac:dyDescent="0.2">
      <c r="A11" s="168" t="s">
        <v>192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</row>
    <row r="12" spans="1:24" ht="20.100000000000001" customHeight="1" x14ac:dyDescent="0.15">
      <c r="A12" s="176" t="s">
        <v>84</v>
      </c>
      <c r="B12" s="166"/>
      <c r="C12" s="166"/>
      <c r="D12" s="166"/>
      <c r="E12" s="166"/>
      <c r="F12" s="167"/>
      <c r="G12" s="196"/>
      <c r="H12" s="197"/>
      <c r="I12" s="197"/>
      <c r="J12" s="201" t="s">
        <v>85</v>
      </c>
      <c r="K12" s="166"/>
      <c r="L12" s="202"/>
      <c r="M12" s="206" t="s">
        <v>86</v>
      </c>
      <c r="N12" s="197"/>
      <c r="O12" s="207"/>
      <c r="P12" s="206" t="s">
        <v>87</v>
      </c>
      <c r="Q12" s="197"/>
      <c r="R12" s="207"/>
      <c r="S12" s="266" t="s">
        <v>78</v>
      </c>
      <c r="T12" s="197"/>
      <c r="U12" s="207"/>
    </row>
    <row r="13" spans="1:24" ht="20.100000000000001" customHeight="1" thickBot="1" x14ac:dyDescent="0.2">
      <c r="A13" s="177"/>
      <c r="B13" s="178"/>
      <c r="C13" s="178"/>
      <c r="D13" s="178"/>
      <c r="E13" s="178"/>
      <c r="F13" s="179"/>
      <c r="G13" s="246" t="s">
        <v>88</v>
      </c>
      <c r="H13" s="181"/>
      <c r="I13" s="181"/>
      <c r="J13" s="229"/>
      <c r="K13" s="181"/>
      <c r="L13" s="230"/>
      <c r="M13" s="208"/>
      <c r="N13" s="199"/>
      <c r="O13" s="200"/>
      <c r="P13" s="208"/>
      <c r="Q13" s="199"/>
      <c r="R13" s="200"/>
      <c r="S13" s="267"/>
      <c r="T13" s="199"/>
      <c r="U13" s="200"/>
    </row>
    <row r="14" spans="1:24" ht="20.100000000000001" customHeight="1" x14ac:dyDescent="0.15">
      <c r="A14" s="177"/>
      <c r="B14" s="178"/>
      <c r="C14" s="178"/>
      <c r="D14" s="178"/>
      <c r="E14" s="178"/>
      <c r="F14" s="179"/>
      <c r="G14" s="231" t="s">
        <v>79</v>
      </c>
      <c r="H14" s="199"/>
      <c r="I14" s="199"/>
      <c r="J14" s="199"/>
      <c r="K14" s="199"/>
      <c r="L14" s="200"/>
      <c r="M14" s="204">
        <f>各種設定金額!K3</f>
        <v>4100</v>
      </c>
      <c r="N14" s="199"/>
      <c r="O14" s="200"/>
      <c r="P14" s="204">
        <f>各種設定金額!M2</f>
        <v>1800</v>
      </c>
      <c r="Q14" s="199"/>
      <c r="R14" s="200"/>
      <c r="S14" s="268">
        <f t="shared" ref="S14:S19" si="0">SUM(M14:R14)</f>
        <v>5900</v>
      </c>
      <c r="T14" s="199"/>
      <c r="U14" s="200"/>
    </row>
    <row r="15" spans="1:24" ht="20.100000000000001" customHeight="1" x14ac:dyDescent="0.15">
      <c r="A15" s="177"/>
      <c r="B15" s="178"/>
      <c r="C15" s="178"/>
      <c r="D15" s="178"/>
      <c r="E15" s="178"/>
      <c r="F15" s="179"/>
      <c r="G15" s="170" t="s">
        <v>80</v>
      </c>
      <c r="H15" s="171"/>
      <c r="I15" s="171"/>
      <c r="J15" s="171"/>
      <c r="K15" s="171"/>
      <c r="L15" s="172"/>
      <c r="M15" s="185">
        <f>各種設定金額!J3</f>
        <v>4100</v>
      </c>
      <c r="N15" s="171"/>
      <c r="O15" s="172"/>
      <c r="P15" s="185">
        <f>各種設定金額!M2</f>
        <v>1800</v>
      </c>
      <c r="Q15" s="171"/>
      <c r="R15" s="172"/>
      <c r="S15" s="194">
        <f t="shared" si="0"/>
        <v>5900</v>
      </c>
      <c r="T15" s="171"/>
      <c r="U15" s="172"/>
    </row>
    <row r="16" spans="1:24" ht="20.100000000000001" customHeight="1" x14ac:dyDescent="0.15">
      <c r="A16" s="177"/>
      <c r="B16" s="178"/>
      <c r="C16" s="178"/>
      <c r="D16" s="178"/>
      <c r="E16" s="178"/>
      <c r="F16" s="179"/>
      <c r="G16" s="170" t="s">
        <v>89</v>
      </c>
      <c r="H16" s="171"/>
      <c r="I16" s="171"/>
      <c r="J16" s="171"/>
      <c r="K16" s="171"/>
      <c r="L16" s="172"/>
      <c r="M16" s="185">
        <f>各種設定金額!J4</f>
        <v>2700</v>
      </c>
      <c r="N16" s="171"/>
      <c r="O16" s="172"/>
      <c r="P16" s="185">
        <f>各種設定金額!M2</f>
        <v>1800</v>
      </c>
      <c r="Q16" s="171"/>
      <c r="R16" s="172"/>
      <c r="S16" s="194">
        <f t="shared" si="0"/>
        <v>4500</v>
      </c>
      <c r="T16" s="171"/>
      <c r="U16" s="172"/>
    </row>
    <row r="17" spans="1:21" ht="20.100000000000001" customHeight="1" x14ac:dyDescent="0.15">
      <c r="A17" s="177"/>
      <c r="B17" s="178"/>
      <c r="C17" s="178"/>
      <c r="D17" s="178"/>
      <c r="E17" s="178"/>
      <c r="F17" s="179"/>
      <c r="G17" s="170" t="s">
        <v>81</v>
      </c>
      <c r="H17" s="171"/>
      <c r="I17" s="171"/>
      <c r="J17" s="171"/>
      <c r="K17" s="171"/>
      <c r="L17" s="172"/>
      <c r="M17" s="185">
        <f>各種設定金額!H3</f>
        <v>8200</v>
      </c>
      <c r="N17" s="171"/>
      <c r="O17" s="172"/>
      <c r="P17" s="185">
        <f>各種設定金額!M2</f>
        <v>1800</v>
      </c>
      <c r="Q17" s="171"/>
      <c r="R17" s="172"/>
      <c r="S17" s="194">
        <f t="shared" si="0"/>
        <v>10000</v>
      </c>
      <c r="T17" s="171"/>
      <c r="U17" s="172"/>
    </row>
    <row r="18" spans="1:21" ht="20.100000000000001" customHeight="1" x14ac:dyDescent="0.15">
      <c r="A18" s="177"/>
      <c r="B18" s="178"/>
      <c r="C18" s="178"/>
      <c r="D18" s="178"/>
      <c r="E18" s="178"/>
      <c r="F18" s="179"/>
      <c r="G18" s="170" t="s">
        <v>89</v>
      </c>
      <c r="H18" s="171"/>
      <c r="I18" s="171"/>
      <c r="J18" s="171"/>
      <c r="K18" s="171"/>
      <c r="L18" s="172"/>
      <c r="M18" s="185">
        <f>各種設定金額!H4</f>
        <v>5500</v>
      </c>
      <c r="N18" s="171"/>
      <c r="O18" s="172"/>
      <c r="P18" s="185">
        <f>各種設定金額!M2</f>
        <v>1800</v>
      </c>
      <c r="Q18" s="171"/>
      <c r="R18" s="172"/>
      <c r="S18" s="194">
        <f t="shared" si="0"/>
        <v>7300</v>
      </c>
      <c r="T18" s="171"/>
      <c r="U18" s="172"/>
    </row>
    <row r="19" spans="1:21" ht="20.100000000000001" customHeight="1" thickBot="1" x14ac:dyDescent="0.2">
      <c r="A19" s="180"/>
      <c r="B19" s="181"/>
      <c r="C19" s="181"/>
      <c r="D19" s="181"/>
      <c r="E19" s="181"/>
      <c r="F19" s="182"/>
      <c r="G19" s="251" t="s">
        <v>82</v>
      </c>
      <c r="H19" s="215"/>
      <c r="I19" s="215"/>
      <c r="J19" s="215"/>
      <c r="K19" s="215"/>
      <c r="L19" s="216"/>
      <c r="M19" s="219">
        <f>各種設定金額!I3</f>
        <v>2700</v>
      </c>
      <c r="N19" s="215"/>
      <c r="O19" s="216"/>
      <c r="P19" s="219">
        <f>各種設定金額!M2</f>
        <v>1800</v>
      </c>
      <c r="Q19" s="215"/>
      <c r="R19" s="216"/>
      <c r="S19" s="214">
        <f t="shared" si="0"/>
        <v>4500</v>
      </c>
      <c r="T19" s="215"/>
      <c r="U19" s="216"/>
    </row>
    <row r="20" spans="1:21" ht="9.9499999999999993" customHeight="1" x14ac:dyDescent="0.15">
      <c r="A20" s="53"/>
      <c r="B20" s="53"/>
      <c r="C20" s="53"/>
      <c r="D20" s="53"/>
      <c r="E20" s="53"/>
      <c r="F20" s="53"/>
      <c r="G20" s="44"/>
      <c r="H20" s="45"/>
      <c r="I20" s="45"/>
      <c r="J20" s="43"/>
      <c r="K20" s="43"/>
      <c r="L20" s="43"/>
      <c r="M20" s="43"/>
      <c r="N20" s="43"/>
      <c r="O20" s="43"/>
      <c r="P20" s="46"/>
      <c r="Q20" s="47"/>
      <c r="R20" s="47"/>
      <c r="S20" s="47"/>
      <c r="T20" s="47"/>
      <c r="U20" s="47"/>
    </row>
    <row r="21" spans="1:21" ht="20.100000000000001" customHeight="1" thickBot="1" x14ac:dyDescent="0.2">
      <c r="A21" s="249" t="s">
        <v>192</v>
      </c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</row>
    <row r="22" spans="1:21" ht="20.100000000000001" customHeight="1" x14ac:dyDescent="0.15">
      <c r="A22" s="176" t="s">
        <v>90</v>
      </c>
      <c r="B22" s="166"/>
      <c r="C22" s="166"/>
      <c r="D22" s="166"/>
      <c r="E22" s="166"/>
      <c r="F22" s="167"/>
      <c r="G22" s="196"/>
      <c r="H22" s="197"/>
      <c r="I22" s="197"/>
      <c r="J22" s="184" t="s">
        <v>85</v>
      </c>
      <c r="K22" s="166"/>
      <c r="L22" s="166"/>
      <c r="M22" s="206" t="s">
        <v>86</v>
      </c>
      <c r="N22" s="197"/>
      <c r="O22" s="207"/>
      <c r="P22" s="206" t="s">
        <v>87</v>
      </c>
      <c r="Q22" s="197"/>
      <c r="R22" s="207"/>
      <c r="S22" s="266" t="s">
        <v>78</v>
      </c>
      <c r="T22" s="197"/>
      <c r="U22" s="207"/>
    </row>
    <row r="23" spans="1:21" ht="20.100000000000001" customHeight="1" thickBot="1" x14ac:dyDescent="0.2">
      <c r="A23" s="177"/>
      <c r="B23" s="178"/>
      <c r="C23" s="178"/>
      <c r="D23" s="178"/>
      <c r="E23" s="178"/>
      <c r="F23" s="179"/>
      <c r="G23" s="246" t="s">
        <v>88</v>
      </c>
      <c r="H23" s="181"/>
      <c r="I23" s="181"/>
      <c r="J23" s="205"/>
      <c r="K23" s="181"/>
      <c r="L23" s="181"/>
      <c r="M23" s="208"/>
      <c r="N23" s="199"/>
      <c r="O23" s="200"/>
      <c r="P23" s="208"/>
      <c r="Q23" s="199"/>
      <c r="R23" s="200"/>
      <c r="S23" s="267"/>
      <c r="T23" s="199"/>
      <c r="U23" s="200"/>
    </row>
    <row r="24" spans="1:21" ht="20.100000000000001" customHeight="1" x14ac:dyDescent="0.15">
      <c r="A24" s="177"/>
      <c r="B24" s="178"/>
      <c r="C24" s="178"/>
      <c r="D24" s="178"/>
      <c r="E24" s="178"/>
      <c r="F24" s="179"/>
      <c r="G24" s="231" t="s">
        <v>79</v>
      </c>
      <c r="H24" s="199"/>
      <c r="I24" s="199"/>
      <c r="J24" s="199"/>
      <c r="K24" s="199"/>
      <c r="L24" s="200"/>
      <c r="M24" s="204">
        <f>各種設定金額!K2</f>
        <v>8200</v>
      </c>
      <c r="N24" s="199"/>
      <c r="O24" s="200"/>
      <c r="P24" s="204">
        <f>各種設定金額!M2</f>
        <v>1800</v>
      </c>
      <c r="Q24" s="199"/>
      <c r="R24" s="200"/>
      <c r="S24" s="268">
        <f t="shared" ref="S24:S29" si="1">SUM(M24:R24)</f>
        <v>10000</v>
      </c>
      <c r="T24" s="199"/>
      <c r="U24" s="200"/>
    </row>
    <row r="25" spans="1:21" ht="20.100000000000001" customHeight="1" x14ac:dyDescent="0.15">
      <c r="A25" s="177"/>
      <c r="B25" s="178"/>
      <c r="C25" s="178"/>
      <c r="D25" s="178"/>
      <c r="E25" s="178"/>
      <c r="F25" s="179"/>
      <c r="G25" s="170" t="s">
        <v>80</v>
      </c>
      <c r="H25" s="171"/>
      <c r="I25" s="171"/>
      <c r="J25" s="171"/>
      <c r="K25" s="171"/>
      <c r="L25" s="172"/>
      <c r="M25" s="185">
        <f>各種設定金額!J2</f>
        <v>8200</v>
      </c>
      <c r="N25" s="171"/>
      <c r="O25" s="172"/>
      <c r="P25" s="185">
        <f>各種設定金額!M2</f>
        <v>1800</v>
      </c>
      <c r="Q25" s="171"/>
      <c r="R25" s="172"/>
      <c r="S25" s="194">
        <f t="shared" si="1"/>
        <v>10000</v>
      </c>
      <c r="T25" s="171"/>
      <c r="U25" s="172"/>
    </row>
    <row r="26" spans="1:21" ht="20.100000000000001" customHeight="1" x14ac:dyDescent="0.15">
      <c r="A26" s="177"/>
      <c r="B26" s="178"/>
      <c r="C26" s="178"/>
      <c r="D26" s="178"/>
      <c r="E26" s="178"/>
      <c r="F26" s="179"/>
      <c r="G26" s="170" t="s">
        <v>89</v>
      </c>
      <c r="H26" s="171"/>
      <c r="I26" s="171"/>
      <c r="J26" s="171"/>
      <c r="K26" s="171"/>
      <c r="L26" s="172"/>
      <c r="M26" s="185">
        <f>各種設定金額!J5</f>
        <v>5500</v>
      </c>
      <c r="N26" s="171"/>
      <c r="O26" s="172"/>
      <c r="P26" s="185">
        <f>各種設定金額!M2</f>
        <v>1800</v>
      </c>
      <c r="Q26" s="171"/>
      <c r="R26" s="172"/>
      <c r="S26" s="194">
        <f t="shared" si="1"/>
        <v>7300</v>
      </c>
      <c r="T26" s="171"/>
      <c r="U26" s="172"/>
    </row>
    <row r="27" spans="1:21" ht="20.100000000000001" customHeight="1" x14ac:dyDescent="0.15">
      <c r="A27" s="177"/>
      <c r="B27" s="178"/>
      <c r="C27" s="178"/>
      <c r="D27" s="178"/>
      <c r="E27" s="178"/>
      <c r="F27" s="179"/>
      <c r="G27" s="170" t="s">
        <v>81</v>
      </c>
      <c r="H27" s="171"/>
      <c r="I27" s="171"/>
      <c r="J27" s="171"/>
      <c r="K27" s="171"/>
      <c r="L27" s="172"/>
      <c r="M27" s="185">
        <f>各種設定金額!H2</f>
        <v>16500</v>
      </c>
      <c r="N27" s="171"/>
      <c r="O27" s="172"/>
      <c r="P27" s="185">
        <f>各種設定金額!M2</f>
        <v>1800</v>
      </c>
      <c r="Q27" s="171"/>
      <c r="R27" s="172"/>
      <c r="S27" s="194">
        <f t="shared" si="1"/>
        <v>18300</v>
      </c>
      <c r="T27" s="171"/>
      <c r="U27" s="172"/>
    </row>
    <row r="28" spans="1:21" ht="20.100000000000001" customHeight="1" x14ac:dyDescent="0.15">
      <c r="A28" s="177"/>
      <c r="B28" s="178"/>
      <c r="C28" s="178"/>
      <c r="D28" s="178"/>
      <c r="E28" s="178"/>
      <c r="F28" s="179"/>
      <c r="G28" s="170" t="s">
        <v>89</v>
      </c>
      <c r="H28" s="171"/>
      <c r="I28" s="171"/>
      <c r="J28" s="171"/>
      <c r="K28" s="171"/>
      <c r="L28" s="172"/>
      <c r="M28" s="185">
        <f>各種設定金額!H5</f>
        <v>11000</v>
      </c>
      <c r="N28" s="171"/>
      <c r="O28" s="172"/>
      <c r="P28" s="185">
        <f>各種設定金額!M2</f>
        <v>1800</v>
      </c>
      <c r="Q28" s="171"/>
      <c r="R28" s="172"/>
      <c r="S28" s="194">
        <f t="shared" si="1"/>
        <v>12800</v>
      </c>
      <c r="T28" s="171"/>
      <c r="U28" s="172"/>
    </row>
    <row r="29" spans="1:21" ht="20.100000000000001" customHeight="1" thickBot="1" x14ac:dyDescent="0.2">
      <c r="A29" s="180"/>
      <c r="B29" s="181"/>
      <c r="C29" s="181"/>
      <c r="D29" s="181"/>
      <c r="E29" s="181"/>
      <c r="F29" s="182"/>
      <c r="G29" s="251" t="s">
        <v>82</v>
      </c>
      <c r="H29" s="215"/>
      <c r="I29" s="215"/>
      <c r="J29" s="215"/>
      <c r="K29" s="215"/>
      <c r="L29" s="216"/>
      <c r="M29" s="219">
        <f>各種設定金額!I2</f>
        <v>5500</v>
      </c>
      <c r="N29" s="215"/>
      <c r="O29" s="216"/>
      <c r="P29" s="219">
        <f>各種設定金額!M2</f>
        <v>1800</v>
      </c>
      <c r="Q29" s="215"/>
      <c r="R29" s="216"/>
      <c r="S29" s="214">
        <f t="shared" si="1"/>
        <v>7300</v>
      </c>
      <c r="T29" s="215"/>
      <c r="U29" s="216"/>
    </row>
    <row r="30" spans="1:21" ht="9.9499999999999993" customHeight="1" x14ac:dyDescent="0.15">
      <c r="A30" s="43"/>
      <c r="B30" s="43"/>
      <c r="C30" s="43"/>
      <c r="D30" s="43"/>
      <c r="E30" s="43"/>
      <c r="F30" s="43"/>
      <c r="G30" s="44"/>
      <c r="H30" s="45"/>
      <c r="I30" s="45"/>
      <c r="J30" s="43"/>
      <c r="K30" s="43"/>
      <c r="L30" s="43"/>
      <c r="M30" s="43"/>
      <c r="N30" s="43"/>
      <c r="O30" s="43"/>
      <c r="P30" s="46"/>
      <c r="Q30" s="47"/>
      <c r="R30" s="47"/>
      <c r="S30" s="47"/>
      <c r="T30" s="47"/>
      <c r="U30" s="47"/>
    </row>
    <row r="31" spans="1:21" ht="20.100000000000001" customHeight="1" thickBot="1" x14ac:dyDescent="0.2">
      <c r="A31" s="240" t="s">
        <v>91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</row>
    <row r="32" spans="1:21" ht="20.100000000000001" customHeight="1" x14ac:dyDescent="0.15">
      <c r="A32" s="176" t="s">
        <v>92</v>
      </c>
      <c r="B32" s="166"/>
      <c r="C32" s="166"/>
      <c r="D32" s="166"/>
      <c r="E32" s="167"/>
      <c r="F32" s="196"/>
      <c r="G32" s="197"/>
      <c r="H32" s="197"/>
      <c r="I32" s="201" t="s">
        <v>85</v>
      </c>
      <c r="J32" s="166"/>
      <c r="K32" s="202"/>
      <c r="L32" s="210" t="s">
        <v>86</v>
      </c>
      <c r="M32" s="166"/>
      <c r="N32" s="210" t="s">
        <v>87</v>
      </c>
      <c r="O32" s="166"/>
      <c r="P32" s="272" t="s">
        <v>93</v>
      </c>
      <c r="Q32" s="166"/>
      <c r="R32" s="272" t="s">
        <v>94</v>
      </c>
      <c r="S32" s="166"/>
      <c r="T32" s="271" t="s">
        <v>78</v>
      </c>
      <c r="U32" s="167"/>
    </row>
    <row r="33" spans="1:24" ht="20.100000000000001" customHeight="1" thickBot="1" x14ac:dyDescent="0.2">
      <c r="A33" s="177"/>
      <c r="B33" s="178"/>
      <c r="C33" s="178"/>
      <c r="D33" s="178"/>
      <c r="E33" s="179"/>
      <c r="F33" s="246" t="s">
        <v>88</v>
      </c>
      <c r="G33" s="181"/>
      <c r="H33" s="181"/>
      <c r="I33" s="229"/>
      <c r="J33" s="181"/>
      <c r="K33" s="230"/>
      <c r="L33" s="211"/>
      <c r="M33" s="181"/>
      <c r="N33" s="211"/>
      <c r="O33" s="181"/>
      <c r="P33" s="263" t="s">
        <v>95</v>
      </c>
      <c r="Q33" s="181"/>
      <c r="R33" s="263" t="s">
        <v>96</v>
      </c>
      <c r="S33" s="181"/>
      <c r="T33" s="180"/>
      <c r="U33" s="182"/>
    </row>
    <row r="34" spans="1:24" ht="20.100000000000001" customHeight="1" thickBot="1" x14ac:dyDescent="0.2">
      <c r="A34" s="177"/>
      <c r="B34" s="178"/>
      <c r="C34" s="178"/>
      <c r="D34" s="178"/>
      <c r="E34" s="179"/>
      <c r="F34" s="192" t="s">
        <v>79</v>
      </c>
      <c r="G34" s="164"/>
      <c r="H34" s="164"/>
      <c r="I34" s="164"/>
      <c r="J34" s="164"/>
      <c r="K34" s="193"/>
      <c r="L34" s="163">
        <f>各種設定金額!K2</f>
        <v>8200</v>
      </c>
      <c r="M34" s="164"/>
      <c r="N34" s="163">
        <f>各種設定金額!M2</f>
        <v>1800</v>
      </c>
      <c r="O34" s="164"/>
      <c r="P34" s="163">
        <v>1000</v>
      </c>
      <c r="Q34" s="164"/>
      <c r="R34" s="163">
        <v>1000</v>
      </c>
      <c r="S34" s="164"/>
      <c r="T34" s="174">
        <f t="shared" ref="T34:T39" si="2">SUM(L34:S34)</f>
        <v>12000</v>
      </c>
      <c r="U34" s="175"/>
    </row>
    <row r="35" spans="1:24" ht="20.100000000000001" customHeight="1" thickBot="1" x14ac:dyDescent="0.2">
      <c r="A35" s="177"/>
      <c r="B35" s="178"/>
      <c r="C35" s="178"/>
      <c r="D35" s="178"/>
      <c r="E35" s="179"/>
      <c r="F35" s="192" t="s">
        <v>80</v>
      </c>
      <c r="G35" s="164"/>
      <c r="H35" s="164"/>
      <c r="I35" s="164"/>
      <c r="J35" s="164"/>
      <c r="K35" s="193"/>
      <c r="L35" s="163">
        <f>各種設定金額!J2</f>
        <v>8200</v>
      </c>
      <c r="M35" s="164"/>
      <c r="N35" s="163">
        <f>各種設定金額!M2</f>
        <v>1800</v>
      </c>
      <c r="O35" s="164"/>
      <c r="P35" s="163">
        <v>1000</v>
      </c>
      <c r="Q35" s="164"/>
      <c r="R35" s="163">
        <v>1000</v>
      </c>
      <c r="S35" s="164"/>
      <c r="T35" s="174">
        <f t="shared" si="2"/>
        <v>12000</v>
      </c>
      <c r="U35" s="175"/>
    </row>
    <row r="36" spans="1:24" ht="20.100000000000001" customHeight="1" thickBot="1" x14ac:dyDescent="0.2">
      <c r="A36" s="177"/>
      <c r="B36" s="178"/>
      <c r="C36" s="178"/>
      <c r="D36" s="178"/>
      <c r="E36" s="179"/>
      <c r="F36" s="192" t="s">
        <v>89</v>
      </c>
      <c r="G36" s="164"/>
      <c r="H36" s="164"/>
      <c r="I36" s="164"/>
      <c r="J36" s="164"/>
      <c r="K36" s="193"/>
      <c r="L36" s="163">
        <f>各種設定金額!J5</f>
        <v>5500</v>
      </c>
      <c r="M36" s="164"/>
      <c r="N36" s="163">
        <f>各種設定金額!M2</f>
        <v>1800</v>
      </c>
      <c r="O36" s="164"/>
      <c r="P36" s="163">
        <v>1000</v>
      </c>
      <c r="Q36" s="164"/>
      <c r="R36" s="163">
        <v>1000</v>
      </c>
      <c r="S36" s="164"/>
      <c r="T36" s="174">
        <f t="shared" si="2"/>
        <v>9300</v>
      </c>
      <c r="U36" s="175"/>
    </row>
    <row r="37" spans="1:24" ht="20.100000000000001" customHeight="1" thickBot="1" x14ac:dyDescent="0.2">
      <c r="A37" s="177"/>
      <c r="B37" s="178"/>
      <c r="C37" s="178"/>
      <c r="D37" s="178"/>
      <c r="E37" s="179"/>
      <c r="F37" s="192" t="s">
        <v>81</v>
      </c>
      <c r="G37" s="164"/>
      <c r="H37" s="164"/>
      <c r="I37" s="164"/>
      <c r="J37" s="164"/>
      <c r="K37" s="193"/>
      <c r="L37" s="163">
        <f>各種設定金額!H2</f>
        <v>16500</v>
      </c>
      <c r="M37" s="164"/>
      <c r="N37" s="163">
        <f>各種設定金額!M2</f>
        <v>1800</v>
      </c>
      <c r="O37" s="164"/>
      <c r="P37" s="163">
        <v>1000</v>
      </c>
      <c r="Q37" s="164"/>
      <c r="R37" s="163">
        <v>1000</v>
      </c>
      <c r="S37" s="164"/>
      <c r="T37" s="174">
        <f t="shared" si="2"/>
        <v>20300</v>
      </c>
      <c r="U37" s="175"/>
    </row>
    <row r="38" spans="1:24" ht="20.100000000000001" customHeight="1" thickBot="1" x14ac:dyDescent="0.2">
      <c r="A38" s="177"/>
      <c r="B38" s="178"/>
      <c r="C38" s="178"/>
      <c r="D38" s="178"/>
      <c r="E38" s="179"/>
      <c r="F38" s="192" t="s">
        <v>89</v>
      </c>
      <c r="G38" s="164"/>
      <c r="H38" s="164"/>
      <c r="I38" s="164"/>
      <c r="J38" s="164"/>
      <c r="K38" s="193"/>
      <c r="L38" s="163">
        <f>各種設定金額!H5</f>
        <v>11000</v>
      </c>
      <c r="M38" s="164"/>
      <c r="N38" s="163">
        <f>各種設定金額!M2</f>
        <v>1800</v>
      </c>
      <c r="O38" s="164"/>
      <c r="P38" s="163">
        <v>1000</v>
      </c>
      <c r="Q38" s="164"/>
      <c r="R38" s="163">
        <v>1000</v>
      </c>
      <c r="S38" s="164"/>
      <c r="T38" s="174">
        <f t="shared" si="2"/>
        <v>14800</v>
      </c>
      <c r="U38" s="175"/>
    </row>
    <row r="39" spans="1:24" ht="20.100000000000001" customHeight="1" thickBot="1" x14ac:dyDescent="0.2">
      <c r="A39" s="180"/>
      <c r="B39" s="181"/>
      <c r="C39" s="181"/>
      <c r="D39" s="181"/>
      <c r="E39" s="182"/>
      <c r="F39" s="192" t="s">
        <v>82</v>
      </c>
      <c r="G39" s="164"/>
      <c r="H39" s="164"/>
      <c r="I39" s="164"/>
      <c r="J39" s="164"/>
      <c r="K39" s="193"/>
      <c r="L39" s="163">
        <f>各種設定金額!I2</f>
        <v>5500</v>
      </c>
      <c r="M39" s="164"/>
      <c r="N39" s="163">
        <f>各種設定金額!M2</f>
        <v>1800</v>
      </c>
      <c r="O39" s="164"/>
      <c r="P39" s="163">
        <v>1000</v>
      </c>
      <c r="Q39" s="164"/>
      <c r="R39" s="163">
        <v>1000</v>
      </c>
      <c r="S39" s="164"/>
      <c r="T39" s="174">
        <f t="shared" si="2"/>
        <v>9300</v>
      </c>
      <c r="U39" s="175"/>
    </row>
    <row r="40" spans="1:24" ht="9.9499999999999993" customHeight="1" x14ac:dyDescent="0.1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4" ht="20.100000000000001" customHeight="1" thickBot="1" x14ac:dyDescent="0.2">
      <c r="A41" s="243" t="s">
        <v>97</v>
      </c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</row>
    <row r="42" spans="1:24" ht="20.100000000000001" customHeight="1" x14ac:dyDescent="0.15">
      <c r="A42" s="238" t="s">
        <v>98</v>
      </c>
      <c r="B42" s="225"/>
      <c r="C42" s="225"/>
      <c r="D42" s="225"/>
      <c r="E42" s="261" t="s">
        <v>99</v>
      </c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62"/>
      <c r="Q42" s="233">
        <f>各種設定金額!P2</f>
        <v>7290</v>
      </c>
      <c r="R42" s="166"/>
      <c r="S42" s="167"/>
    </row>
    <row r="43" spans="1:24" ht="20.100000000000001" customHeight="1" x14ac:dyDescent="0.15">
      <c r="A43" s="188"/>
      <c r="B43" s="189"/>
      <c r="C43" s="189"/>
      <c r="D43" s="189"/>
      <c r="E43" s="217" t="s">
        <v>100</v>
      </c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218"/>
      <c r="Q43" s="199"/>
      <c r="R43" s="199"/>
      <c r="S43" s="234"/>
    </row>
    <row r="44" spans="1:24" ht="20.100000000000001" customHeight="1" x14ac:dyDescent="0.15">
      <c r="A44" s="242" t="s">
        <v>101</v>
      </c>
      <c r="B44" s="187"/>
      <c r="C44" s="187"/>
      <c r="D44" s="187"/>
      <c r="E44" s="264" t="s">
        <v>99</v>
      </c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248"/>
      <c r="Q44" s="239">
        <f>各種設定金額!P3</f>
        <v>5960</v>
      </c>
      <c r="R44" s="222"/>
      <c r="S44" s="223"/>
    </row>
    <row r="45" spans="1:24" ht="20.100000000000001" customHeight="1" x14ac:dyDescent="0.15">
      <c r="A45" s="188"/>
      <c r="B45" s="189"/>
      <c r="C45" s="189"/>
      <c r="D45" s="189"/>
      <c r="E45" s="245" t="s">
        <v>102</v>
      </c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218"/>
      <c r="Q45" s="208"/>
      <c r="R45" s="199"/>
      <c r="S45" s="234"/>
    </row>
    <row r="46" spans="1:24" ht="20.100000000000001" customHeight="1" x14ac:dyDescent="0.15">
      <c r="A46" s="186" t="s">
        <v>103</v>
      </c>
      <c r="B46" s="187"/>
      <c r="C46" s="187"/>
      <c r="D46" s="187"/>
      <c r="E46" s="247" t="s">
        <v>99</v>
      </c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248"/>
      <c r="Q46" s="221">
        <f>各種設定金額!P4</f>
        <v>4650</v>
      </c>
      <c r="R46" s="222"/>
      <c r="S46" s="223"/>
    </row>
    <row r="47" spans="1:24" ht="20.100000000000001" customHeight="1" thickBot="1" x14ac:dyDescent="0.2">
      <c r="A47" s="188"/>
      <c r="B47" s="189"/>
      <c r="C47" s="189"/>
      <c r="D47" s="189"/>
      <c r="E47" s="212" t="s">
        <v>104</v>
      </c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213"/>
      <c r="Q47" s="211"/>
      <c r="R47" s="181"/>
      <c r="S47" s="182"/>
    </row>
    <row r="48" spans="1:24" ht="20.100000000000001" customHeight="1" x14ac:dyDescent="0.15">
      <c r="A48" s="224" t="s">
        <v>105</v>
      </c>
      <c r="B48" s="225"/>
      <c r="C48" s="225"/>
      <c r="D48" s="225"/>
      <c r="E48" s="269" t="s">
        <v>106</v>
      </c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62"/>
      <c r="Q48" s="228">
        <f>各種設定金額!Q2</f>
        <v>1200</v>
      </c>
      <c r="R48" s="166"/>
      <c r="S48" s="167"/>
    </row>
    <row r="49" spans="1:29" ht="20.100000000000001" customHeight="1" thickBot="1" x14ac:dyDescent="0.2">
      <c r="A49" s="226"/>
      <c r="B49" s="169"/>
      <c r="C49" s="169"/>
      <c r="D49" s="169"/>
      <c r="E49" s="270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213"/>
      <c r="Q49" s="211"/>
      <c r="R49" s="181"/>
      <c r="S49" s="182"/>
    </row>
    <row r="50" spans="1:29" ht="9.9499999999999993" customHeight="1" x14ac:dyDescent="0.15">
      <c r="A50" s="43"/>
      <c r="B50" s="43"/>
      <c r="C50" s="43"/>
      <c r="D50" s="43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7"/>
      <c r="R50" s="47"/>
      <c r="S50" s="47"/>
    </row>
    <row r="51" spans="1:29" ht="20.100000000000001" customHeight="1" thickBot="1" x14ac:dyDescent="0.2">
      <c r="A51" s="195" t="s">
        <v>107</v>
      </c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</row>
    <row r="52" spans="1:29" ht="30" customHeight="1" x14ac:dyDescent="0.15">
      <c r="A52" s="203" t="s">
        <v>108</v>
      </c>
      <c r="B52" s="166"/>
      <c r="C52" s="166"/>
      <c r="D52" s="166"/>
      <c r="E52" s="166"/>
      <c r="F52" s="166"/>
      <c r="G52" s="165" t="s">
        <v>109</v>
      </c>
      <c r="H52" s="166"/>
      <c r="I52" s="166"/>
      <c r="J52" s="166"/>
      <c r="K52" s="166"/>
      <c r="L52" s="167"/>
      <c r="M52" s="165" t="s">
        <v>110</v>
      </c>
      <c r="N52" s="166"/>
      <c r="O52" s="166"/>
      <c r="P52" s="166"/>
      <c r="Q52" s="166"/>
      <c r="R52" s="167"/>
      <c r="S52" s="49"/>
      <c r="T52" s="50"/>
      <c r="U52" s="50"/>
      <c r="V52" s="50"/>
      <c r="W52" s="50"/>
      <c r="X52" s="50"/>
      <c r="Y52" s="51"/>
      <c r="Z52" s="51"/>
      <c r="AA52" s="51"/>
    </row>
    <row r="53" spans="1:29" ht="30" customHeight="1" thickBot="1" x14ac:dyDescent="0.2">
      <c r="A53" s="209" t="s">
        <v>111</v>
      </c>
      <c r="B53" s="181"/>
      <c r="C53" s="181"/>
      <c r="D53" s="181"/>
      <c r="E53" s="181"/>
      <c r="F53" s="182"/>
      <c r="G53" s="209" t="s">
        <v>111</v>
      </c>
      <c r="H53" s="181"/>
      <c r="I53" s="181"/>
      <c r="J53" s="181"/>
      <c r="K53" s="181"/>
      <c r="L53" s="182"/>
      <c r="M53" s="209" t="s">
        <v>111</v>
      </c>
      <c r="N53" s="181"/>
      <c r="O53" s="181"/>
      <c r="P53" s="181"/>
      <c r="Q53" s="181"/>
      <c r="R53" s="182"/>
      <c r="S53" s="259" t="s">
        <v>112</v>
      </c>
      <c r="T53" s="181"/>
      <c r="U53" s="181"/>
      <c r="V53" s="181"/>
      <c r="W53" s="181"/>
      <c r="X53" s="181"/>
      <c r="Y53" s="51"/>
      <c r="Z53" s="51"/>
      <c r="AA53" s="51"/>
    </row>
    <row r="54" spans="1:29" ht="30" customHeight="1" x14ac:dyDescent="0.15">
      <c r="A54" s="165" t="s">
        <v>113</v>
      </c>
      <c r="B54" s="166"/>
      <c r="C54" s="167"/>
      <c r="D54" s="232" t="s">
        <v>193</v>
      </c>
      <c r="E54" s="225"/>
      <c r="F54" s="225"/>
      <c r="G54" s="165" t="s">
        <v>114</v>
      </c>
      <c r="H54" s="166"/>
      <c r="I54" s="166"/>
      <c r="J54" s="166"/>
      <c r="K54" s="166"/>
      <c r="L54" s="167"/>
      <c r="M54" s="165" t="s">
        <v>105</v>
      </c>
      <c r="N54" s="166"/>
      <c r="O54" s="166"/>
      <c r="P54" s="166"/>
      <c r="Q54" s="166"/>
      <c r="R54" s="167"/>
      <c r="S54" s="190"/>
      <c r="T54" s="166"/>
      <c r="U54" s="258"/>
      <c r="V54" s="166"/>
      <c r="W54" s="166"/>
      <c r="X54" s="167"/>
    </row>
    <row r="55" spans="1:29" ht="30" customHeight="1" thickBot="1" x14ac:dyDescent="0.2">
      <c r="A55" s="209" t="s">
        <v>111</v>
      </c>
      <c r="B55" s="181"/>
      <c r="C55" s="182"/>
      <c r="D55" s="252">
        <f>各種設定金額!D2</f>
        <v>5000</v>
      </c>
      <c r="E55" s="253"/>
      <c r="F55" s="253"/>
      <c r="G55" s="250" t="s">
        <v>115</v>
      </c>
      <c r="H55" s="181"/>
      <c r="I55" s="181"/>
      <c r="J55" s="191" t="s">
        <v>111</v>
      </c>
      <c r="K55" s="181"/>
      <c r="L55" s="182"/>
      <c r="M55" s="209" t="s">
        <v>111</v>
      </c>
      <c r="N55" s="181"/>
      <c r="O55" s="181"/>
      <c r="P55" s="181"/>
      <c r="Q55" s="181"/>
      <c r="R55" s="182"/>
      <c r="S55" s="241" t="s">
        <v>78</v>
      </c>
      <c r="T55" s="181"/>
      <c r="U55" s="191" t="s">
        <v>111</v>
      </c>
      <c r="V55" s="181"/>
      <c r="W55" s="181"/>
      <c r="X55" s="182"/>
    </row>
    <row r="56" spans="1:29" ht="20.100000000000001" customHeight="1" x14ac:dyDescent="0.15">
      <c r="A56" s="244" t="s">
        <v>116</v>
      </c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</row>
    <row r="57" spans="1:29" ht="20.100000000000001" customHeight="1" x14ac:dyDescent="0.15">
      <c r="A57" s="183" t="s">
        <v>117</v>
      </c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</row>
    <row r="58" spans="1:29" ht="20.100000000000001" customHeight="1" x14ac:dyDescent="0.15">
      <c r="A58" s="260" t="s">
        <v>118</v>
      </c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</row>
    <row r="59" spans="1:29" ht="8.1" customHeight="1" x14ac:dyDescent="0.15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</row>
    <row r="60" spans="1:29" ht="20.100000000000001" customHeight="1" x14ac:dyDescent="0.15">
      <c r="A60" s="162" t="s">
        <v>119</v>
      </c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1"/>
      <c r="U60" s="161"/>
      <c r="V60" s="161"/>
      <c r="W60" s="161"/>
      <c r="X60" s="161"/>
    </row>
    <row r="61" spans="1:29" ht="8.1" customHeight="1" x14ac:dyDescent="0.15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</row>
    <row r="62" spans="1:29" ht="20.100000000000001" customHeight="1" x14ac:dyDescent="0.15">
      <c r="A62" s="162" t="s">
        <v>120</v>
      </c>
      <c r="B62" s="162"/>
      <c r="C62" s="162"/>
      <c r="D62" s="162"/>
      <c r="E62" s="162"/>
      <c r="F62" s="162" t="s">
        <v>121</v>
      </c>
      <c r="G62" s="162"/>
      <c r="H62" s="162"/>
      <c r="I62" s="162"/>
      <c r="J62" s="162"/>
      <c r="K62" s="162"/>
      <c r="L62" s="162"/>
      <c r="M62" s="162"/>
      <c r="N62" s="162"/>
      <c r="O62" s="162"/>
      <c r="P62" s="161"/>
      <c r="Q62" s="161"/>
      <c r="R62" s="161"/>
      <c r="S62" s="160"/>
      <c r="T62" s="160"/>
      <c r="U62" s="160"/>
      <c r="V62" s="160"/>
      <c r="W62" s="160"/>
      <c r="X62" s="160"/>
      <c r="Y62" s="52"/>
      <c r="Z62" s="52"/>
      <c r="AA62" s="52"/>
      <c r="AB62" s="52"/>
      <c r="AC62" s="52"/>
    </row>
    <row r="63" spans="1:29" ht="20.100000000000001" customHeight="1" x14ac:dyDescent="0.15">
      <c r="A63" s="161"/>
      <c r="B63" s="161"/>
      <c r="C63" s="161"/>
      <c r="D63" s="161"/>
      <c r="E63" s="161"/>
      <c r="F63" s="162" t="s">
        <v>122</v>
      </c>
      <c r="G63" s="162"/>
      <c r="H63" s="162"/>
      <c r="I63" s="162"/>
      <c r="J63" s="162"/>
      <c r="K63" s="162"/>
      <c r="L63" s="162"/>
      <c r="M63" s="162"/>
      <c r="N63" s="162"/>
      <c r="O63" s="162"/>
      <c r="P63" s="161"/>
      <c r="Q63" s="161"/>
      <c r="R63" s="161"/>
      <c r="S63" s="161"/>
      <c r="T63" s="161"/>
      <c r="U63" s="161"/>
      <c r="V63" s="161"/>
      <c r="W63" s="161"/>
      <c r="X63" s="161"/>
    </row>
  </sheetData>
  <sheetProtection sheet="1" objects="1" scenarios="1"/>
  <mergeCells count="183">
    <mergeCell ref="Q4:S4"/>
    <mergeCell ref="N32:O33"/>
    <mergeCell ref="S25:U25"/>
    <mergeCell ref="Q5:S5"/>
    <mergeCell ref="S12:U13"/>
    <mergeCell ref="A5:F5"/>
    <mergeCell ref="P22:R23"/>
    <mergeCell ref="E48:P49"/>
    <mergeCell ref="L39:M39"/>
    <mergeCell ref="N39:O39"/>
    <mergeCell ref="M24:O24"/>
    <mergeCell ref="P39:Q39"/>
    <mergeCell ref="T32:U33"/>
    <mergeCell ref="L38:M38"/>
    <mergeCell ref="N38:O38"/>
    <mergeCell ref="P14:R14"/>
    <mergeCell ref="P32:Q32"/>
    <mergeCell ref="R32:S32"/>
    <mergeCell ref="I32:K32"/>
    <mergeCell ref="S14:U14"/>
    <mergeCell ref="G19:L19"/>
    <mergeCell ref="P27:R27"/>
    <mergeCell ref="F33:H33"/>
    <mergeCell ref="G28:L28"/>
    <mergeCell ref="A58:X58"/>
    <mergeCell ref="E42:P42"/>
    <mergeCell ref="S27:U27"/>
    <mergeCell ref="J13:L13"/>
    <mergeCell ref="L6:P6"/>
    <mergeCell ref="P33:Q33"/>
    <mergeCell ref="R33:S33"/>
    <mergeCell ref="S17:U17"/>
    <mergeCell ref="E44:P44"/>
    <mergeCell ref="A7:F7"/>
    <mergeCell ref="M54:R54"/>
    <mergeCell ref="N35:O35"/>
    <mergeCell ref="P35:Q35"/>
    <mergeCell ref="S28:U28"/>
    <mergeCell ref="G53:L53"/>
    <mergeCell ref="G18:L18"/>
    <mergeCell ref="S22:U23"/>
    <mergeCell ref="A55:C55"/>
    <mergeCell ref="T35:U35"/>
    <mergeCell ref="P34:Q34"/>
    <mergeCell ref="M28:O28"/>
    <mergeCell ref="M15:O15"/>
    <mergeCell ref="S24:U24"/>
    <mergeCell ref="G14:L14"/>
    <mergeCell ref="A2:X2"/>
    <mergeCell ref="G55:I55"/>
    <mergeCell ref="P18:R18"/>
    <mergeCell ref="P36:Q36"/>
    <mergeCell ref="R36:S36"/>
    <mergeCell ref="M26:O26"/>
    <mergeCell ref="G29:L29"/>
    <mergeCell ref="D55:F55"/>
    <mergeCell ref="F37:K37"/>
    <mergeCell ref="M14:O14"/>
    <mergeCell ref="G4:K4"/>
    <mergeCell ref="L3:P3"/>
    <mergeCell ref="A22:F29"/>
    <mergeCell ref="Q3:S3"/>
    <mergeCell ref="U54:X54"/>
    <mergeCell ref="F35:K35"/>
    <mergeCell ref="P17:R17"/>
    <mergeCell ref="A3:F3"/>
    <mergeCell ref="Q6:S6"/>
    <mergeCell ref="S15:U15"/>
    <mergeCell ref="P19:R19"/>
    <mergeCell ref="S53:X53"/>
    <mergeCell ref="G13:I13"/>
    <mergeCell ref="L7:P7"/>
    <mergeCell ref="T38:U38"/>
    <mergeCell ref="A41:X41"/>
    <mergeCell ref="J55:L55"/>
    <mergeCell ref="M25:O25"/>
    <mergeCell ref="A56:X56"/>
    <mergeCell ref="E45:P45"/>
    <mergeCell ref="M17:O17"/>
    <mergeCell ref="G23:I23"/>
    <mergeCell ref="T34:U34"/>
    <mergeCell ref="F38:K38"/>
    <mergeCell ref="E46:P46"/>
    <mergeCell ref="A21:U21"/>
    <mergeCell ref="P28:R28"/>
    <mergeCell ref="R34:S34"/>
    <mergeCell ref="P25:R25"/>
    <mergeCell ref="P16:R16"/>
    <mergeCell ref="F63:O63"/>
    <mergeCell ref="A53:F53"/>
    <mergeCell ref="A32:E39"/>
    <mergeCell ref="G6:K6"/>
    <mergeCell ref="R35:S35"/>
    <mergeCell ref="Q42:S43"/>
    <mergeCell ref="G3:K3"/>
    <mergeCell ref="S29:U29"/>
    <mergeCell ref="G25:L25"/>
    <mergeCell ref="L4:P4"/>
    <mergeCell ref="L35:M35"/>
    <mergeCell ref="M19:O19"/>
    <mergeCell ref="G22:I22"/>
    <mergeCell ref="A42:D43"/>
    <mergeCell ref="A10:X10"/>
    <mergeCell ref="Q44:S45"/>
    <mergeCell ref="G5:K5"/>
    <mergeCell ref="G12:I12"/>
    <mergeCell ref="A31:U31"/>
    <mergeCell ref="M12:O13"/>
    <mergeCell ref="S55:T55"/>
    <mergeCell ref="M55:R55"/>
    <mergeCell ref="A44:D45"/>
    <mergeCell ref="A1:X1"/>
    <mergeCell ref="P12:R13"/>
    <mergeCell ref="A54:C54"/>
    <mergeCell ref="R39:S39"/>
    <mergeCell ref="Q46:S47"/>
    <mergeCell ref="A48:D49"/>
    <mergeCell ref="T39:U39"/>
    <mergeCell ref="F36:K36"/>
    <mergeCell ref="P38:Q38"/>
    <mergeCell ref="A8:S8"/>
    <mergeCell ref="R38:S38"/>
    <mergeCell ref="Q48:S49"/>
    <mergeCell ref="L37:M37"/>
    <mergeCell ref="M16:O16"/>
    <mergeCell ref="N37:O37"/>
    <mergeCell ref="I33:K33"/>
    <mergeCell ref="G15:L15"/>
    <mergeCell ref="S19:U19"/>
    <mergeCell ref="G24:L24"/>
    <mergeCell ref="M27:O27"/>
    <mergeCell ref="G7:K7"/>
    <mergeCell ref="M29:O29"/>
    <mergeCell ref="D54:F54"/>
    <mergeCell ref="S26:U26"/>
    <mergeCell ref="A4:F4"/>
    <mergeCell ref="J12:L12"/>
    <mergeCell ref="G26:L26"/>
    <mergeCell ref="L5:P5"/>
    <mergeCell ref="G54:L54"/>
    <mergeCell ref="F39:K39"/>
    <mergeCell ref="A52:F52"/>
    <mergeCell ref="P15:R15"/>
    <mergeCell ref="G16:L16"/>
    <mergeCell ref="P24:R24"/>
    <mergeCell ref="J23:L23"/>
    <mergeCell ref="M22:O23"/>
    <mergeCell ref="M53:R53"/>
    <mergeCell ref="P26:R26"/>
    <mergeCell ref="G52:L52"/>
    <mergeCell ref="L32:M33"/>
    <mergeCell ref="L34:M34"/>
    <mergeCell ref="G27:L27"/>
    <mergeCell ref="E47:P47"/>
    <mergeCell ref="Q7:S7"/>
    <mergeCell ref="P37:Q37"/>
    <mergeCell ref="S16:U16"/>
    <mergeCell ref="E43:P43"/>
    <mergeCell ref="P29:R29"/>
    <mergeCell ref="A62:E62"/>
    <mergeCell ref="N34:O34"/>
    <mergeCell ref="M52:R52"/>
    <mergeCell ref="A11:U11"/>
    <mergeCell ref="G17:L17"/>
    <mergeCell ref="A6:F6"/>
    <mergeCell ref="T36:U36"/>
    <mergeCell ref="L36:M36"/>
    <mergeCell ref="A12:F19"/>
    <mergeCell ref="N36:O36"/>
    <mergeCell ref="A57:X57"/>
    <mergeCell ref="J22:L22"/>
    <mergeCell ref="M18:O18"/>
    <mergeCell ref="A46:D47"/>
    <mergeCell ref="R37:S37"/>
    <mergeCell ref="F62:O62"/>
    <mergeCell ref="S54:T54"/>
    <mergeCell ref="U55:X55"/>
    <mergeCell ref="A60:S60"/>
    <mergeCell ref="F34:K34"/>
    <mergeCell ref="T37:U37"/>
    <mergeCell ref="S18:U18"/>
    <mergeCell ref="A51:X51"/>
    <mergeCell ref="F32:H32"/>
  </mergeCells>
  <phoneticPr fontId="5"/>
  <conditionalFormatting sqref="A4:S7">
    <cfRule type="expression" dxfId="4" priority="4">
      <formula>MOD(ROW(),2)=0</formula>
    </cfRule>
  </conditionalFormatting>
  <conditionalFormatting sqref="F34:U39">
    <cfRule type="expression" dxfId="3" priority="1">
      <formula>MOD(ROW(),2)=0</formula>
    </cfRule>
  </conditionalFormatting>
  <conditionalFormatting sqref="G14:U19">
    <cfRule type="expression" dxfId="2" priority="3">
      <formula>MOD(ROW(),2)=0</formula>
    </cfRule>
  </conditionalFormatting>
  <conditionalFormatting sqref="G24:U29">
    <cfRule type="expression" dxfId="1" priority="2">
      <formula>MOD(ROW(),2)=0</formula>
    </cfRule>
  </conditionalFormatting>
  <printOptions horizontalCentered="1" verticalCentered="1"/>
  <pageMargins left="0" right="0" top="0" bottom="0" header="0" footer="0"/>
  <pageSetup paperSize="9"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69"/>
  <sheetViews>
    <sheetView zoomScaleNormal="100" workbookViewId="0">
      <pane ySplit="1" topLeftCell="A2" activePane="bottomLeft" state="frozen"/>
      <selection pane="bottomLeft" activeCell="S159" sqref="S159"/>
    </sheetView>
  </sheetViews>
  <sheetFormatPr defaultColWidth="9" defaultRowHeight="14.25" x14ac:dyDescent="0.15"/>
  <cols>
    <col min="1" max="1" width="3.75" style="36" customWidth="1"/>
    <col min="2" max="2" width="13.625" style="36" customWidth="1"/>
    <col min="3" max="8" width="3.125" style="34" customWidth="1"/>
    <col min="9" max="21" width="8.625" style="34" customWidth="1"/>
    <col min="22" max="23" width="9" style="34" customWidth="1"/>
    <col min="24" max="16384" width="9" style="34"/>
  </cols>
  <sheetData>
    <row r="1" spans="1:21" ht="54" customHeight="1" x14ac:dyDescent="0.15">
      <c r="A1" s="31" t="s">
        <v>13</v>
      </c>
      <c r="B1" s="31" t="s">
        <v>1</v>
      </c>
      <c r="C1" s="32" t="s">
        <v>65</v>
      </c>
      <c r="D1" s="32" t="s">
        <v>123</v>
      </c>
      <c r="E1" s="32" t="s">
        <v>66</v>
      </c>
      <c r="F1" s="32" t="s">
        <v>208</v>
      </c>
      <c r="G1" s="32" t="s">
        <v>124</v>
      </c>
      <c r="H1" s="32" t="s">
        <v>125</v>
      </c>
      <c r="I1" s="32" t="s">
        <v>126</v>
      </c>
      <c r="J1" s="32" t="s">
        <v>194</v>
      </c>
      <c r="K1" s="32" t="s">
        <v>127</v>
      </c>
      <c r="L1" s="32" t="s">
        <v>128</v>
      </c>
      <c r="M1" s="32" t="s">
        <v>129</v>
      </c>
      <c r="N1" s="32" t="s">
        <v>130</v>
      </c>
      <c r="O1" s="32" t="s">
        <v>209</v>
      </c>
      <c r="P1" s="32" t="s">
        <v>210</v>
      </c>
      <c r="Q1" s="32" t="s">
        <v>131</v>
      </c>
      <c r="R1" s="32" t="s">
        <v>132</v>
      </c>
      <c r="S1" s="32" t="s">
        <v>133</v>
      </c>
      <c r="T1" s="32" t="s">
        <v>134</v>
      </c>
      <c r="U1" s="33" t="s">
        <v>135</v>
      </c>
    </row>
    <row r="2" spans="1:21" ht="20.100000000000001" customHeight="1" x14ac:dyDescent="0.15">
      <c r="A2" s="31">
        <f>IF(B2="","",IF(SUBTOTAL(103,B2)=0,"",SUBTOTAL(103,$B$2:B2)))</f>
        <v>1</v>
      </c>
      <c r="B2" s="31" t="str">
        <f>INDEX(Sheet1!$B:$B,ROWS($A$2:$A2)+1)&amp;""</f>
        <v>見本　太郎</v>
      </c>
      <c r="C2" s="82" t="s">
        <v>62</v>
      </c>
      <c r="D2" s="82" t="s">
        <v>138</v>
      </c>
      <c r="E2" s="82" t="s">
        <v>62</v>
      </c>
      <c r="F2" s="82"/>
      <c r="G2" s="82"/>
      <c r="H2" s="82"/>
      <c r="I2" s="35">
        <f>IF(OR(C2="✔",AND(C2="",D2&lt;&gt;"")),各種設定金額!$B$2,IF(C2="2️⃣",各種設定金額!$B$3,IF(AND(C2="",E2="✔"),各種設定金額!$B$4,IF(AND(C2="",E2="",F2="✔"),各種設定金額!$B$5,""))))</f>
        <v>4800</v>
      </c>
      <c r="J2" s="35">
        <f>IF(B2&lt;&gt;"",各種設定金額!$C$2,0)</f>
        <v>6000</v>
      </c>
      <c r="K2" s="35">
        <f>IF(INDEX(Sheet1!$CF:$CF,ROWS($A$2:$A2)+1)&lt;&gt;"",0,IF(C2="✔",IF(H2="◯",IF(G2="◯",各種設定金額!$H$4,各種設定金額!$H$5),IF(G2="◯",各種設定金額!$H$3,各種設定金額!$H$2)),IF(C2="2️⃣",IF(G2="◯",各種設定金額!$I$3,各種設定金額!$I$2),0)))</f>
        <v>16500</v>
      </c>
      <c r="L2" s="35">
        <f>IF(OR(C2="✔",C2="2️⃣"),各種設定金額!$M$2,0)</f>
        <v>1800</v>
      </c>
      <c r="M2" s="35">
        <f>IF(INDEX(Sheet1!$CF:$CF,ROWS($A$2:$A2)+1)&lt;&gt;"",0,IF(E2="✔",IF(H2="◯",IF(G2="◯",各種設定金額!$J$4,各種設定金額!$J$5),IF(G2="◯",各種設定金額!$J$3,各種設定金額!$J$2)),0))</f>
        <v>8200</v>
      </c>
      <c r="N2" s="35">
        <f>IF(E2="✔",各種設定金額!$M$2,0)</f>
        <v>1800</v>
      </c>
      <c r="O2" s="35">
        <f>IF(INDEX(Sheet1!$CF:$CF,ROWS($A$2:$A2)+1)&lt;&gt;"",0,IF(F2="✔",IF(H2="◯",IF(G2="◯",各種設定金額!$K$4,各種設定金額!$K$5),IF(G2="◯",各種設定金額!$K$3,各種設定金額!$K$2)),0))</f>
        <v>0</v>
      </c>
      <c r="P2" s="35">
        <f>IF(F2="✔",各種設定金額!$M$2,0)</f>
        <v>0</v>
      </c>
      <c r="Q2" s="35">
        <f>IF(B2&lt;&gt;"",各種設定金額!$D$2,0)</f>
        <v>5000</v>
      </c>
      <c r="R2" s="84"/>
      <c r="S2" s="35">
        <f>IF(D2="A",各種設定金額!$P$2,IF(D2="B",各種設定金額!$P$3,IF(D2="C",各種設定金額!$P$4,0)))</f>
        <v>7290</v>
      </c>
      <c r="T2" s="35">
        <f>IF(E2="✔",各種設定金額!$Q$2,0)</f>
        <v>1200</v>
      </c>
      <c r="U2" s="35">
        <f t="shared" ref="U2:U151" si="0">SUM(I2:T2)</f>
        <v>52590</v>
      </c>
    </row>
    <row r="3" spans="1:21" ht="20.100000000000001" customHeight="1" x14ac:dyDescent="0.15">
      <c r="A3" s="31">
        <f>IF(B3="","",IF(SUBTOTAL(103,B3)=0,"",SUBTOTAL(103,$B$2:B3)))</f>
        <v>2</v>
      </c>
      <c r="B3" s="31" t="str">
        <f>INDEX(Sheet1!$B:$B,ROWS($A$2:$A3)+1)&amp;""</f>
        <v>例示　花子</v>
      </c>
      <c r="C3" s="82"/>
      <c r="D3" s="82"/>
      <c r="E3" s="82" t="s">
        <v>62</v>
      </c>
      <c r="F3" s="82"/>
      <c r="G3" s="82" t="s">
        <v>137</v>
      </c>
      <c r="H3" s="82"/>
      <c r="I3" s="35">
        <f>IF(OR(C3="✔",AND(C3="",D3&lt;&gt;"")),各種設定金額!$B$2,IF(C3="2️⃣",各種設定金額!$B$3,IF(AND(C3="",E3="✔"),各種設定金額!$B$4,IF(AND(C3="",E3="",F3="✔"),各種設定金額!$B$5,""))))</f>
        <v>2300</v>
      </c>
      <c r="J3" s="35">
        <f>IF(B3&lt;&gt;"",各種設定金額!$C$2,0)</f>
        <v>6000</v>
      </c>
      <c r="K3" s="35">
        <f>IF(INDEX(Sheet1!$CF:$CF,ROWS($A$2:$A3)+1)&lt;&gt;"",0,IF(C3="✔",IF(H3="◯",IF(G3="◯",各種設定金額!$H$4,各種設定金額!$H$5),IF(G3="◯",各種設定金額!$H$3,各種設定金額!$H$2)),IF(C3="2️⃣",IF(G3="◯",各種設定金額!$I$3,各種設定金額!$I$2),0)))</f>
        <v>0</v>
      </c>
      <c r="L3" s="35">
        <f>IF(OR(C3="✔",C3="2️⃣"),各種設定金額!$M$2,0)</f>
        <v>0</v>
      </c>
      <c r="M3" s="35">
        <f>IF(INDEX(Sheet1!$CF:$CF,ROWS($A$2:$A3)+1)&lt;&gt;"",0,IF(E3="✔",IF(H3="◯",IF(G3="◯",各種設定金額!$J$4,各種設定金額!$J$5),IF(G3="◯",各種設定金額!$J$3,各種設定金額!$J$2)),0))</f>
        <v>4100</v>
      </c>
      <c r="N3" s="35">
        <f>IF(E3="✔",各種設定金額!$M$2,0)</f>
        <v>1800</v>
      </c>
      <c r="O3" s="35">
        <f>IF(INDEX(Sheet1!$CF:$CF,ROWS($A$2:$A3)+1)&lt;&gt;"",0,IF(F3="✔",IF(H3="◯",IF(G3="◯",各種設定金額!$K$4,各種設定金額!$K$5),IF(G3="◯",各種設定金額!$K$3,各種設定金額!$K$2)),0))</f>
        <v>0</v>
      </c>
      <c r="P3" s="35">
        <f>IF(F3="✔",各種設定金額!$M$2,0)</f>
        <v>0</v>
      </c>
      <c r="Q3" s="35">
        <f>IF(B3&lt;&gt;"",各種設定金額!$D$2,0)</f>
        <v>5000</v>
      </c>
      <c r="R3" s="84"/>
      <c r="S3" s="35">
        <f>IF(D3="A",各種設定金額!$P$2,IF(D3="B",各種設定金額!$P$3,IF(D3="C",各種設定金額!$P$4,0)))</f>
        <v>0</v>
      </c>
      <c r="T3" s="35">
        <f>IF(E3="✔",各種設定金額!$Q$2,0)</f>
        <v>1200</v>
      </c>
      <c r="U3" s="35">
        <f t="shared" si="0"/>
        <v>20400</v>
      </c>
    </row>
    <row r="4" spans="1:21" ht="20.100000000000001" customHeight="1" x14ac:dyDescent="0.15">
      <c r="A4" s="31">
        <f>IF(B4="","",IF(SUBTOTAL(103,B4)=0,"",SUBTOTAL(103,$B$2:B4)))</f>
        <v>3</v>
      </c>
      <c r="B4" s="31" t="str">
        <f>INDEX(Sheet1!$B:$B,ROWS($A$2:$A4)+1)&amp;""</f>
        <v>記入　次郎</v>
      </c>
      <c r="C4" s="83" t="s">
        <v>64</v>
      </c>
      <c r="D4" s="82" t="s">
        <v>136</v>
      </c>
      <c r="E4" s="82"/>
      <c r="F4" s="82" t="s">
        <v>62</v>
      </c>
      <c r="G4" s="82"/>
      <c r="H4" s="82"/>
      <c r="I4" s="35">
        <f>IF(OR(C4="✔",AND(C4="",D4&lt;&gt;"")),各種設定金額!$B$2,IF(C4="2️⃣",各種設定金額!$B$3,IF(AND(C4="",E4="✔"),各種設定金額!$B$4,IF(AND(C4="",E4="",F4="✔"),各種設定金額!$B$5,""))))</f>
        <v>3300</v>
      </c>
      <c r="J4" s="35">
        <f>IF(B4&lt;&gt;"",各種設定金額!$C$2,0)</f>
        <v>6000</v>
      </c>
      <c r="K4" s="35">
        <f>IF(INDEX(Sheet1!$CF:$CF,ROWS($A$2:$A4)+1)&lt;&gt;"",0,IF(C4="✔",IF(H4="◯",IF(G4="◯",各種設定金額!$H$4,各種設定金額!$H$5),IF(G4="◯",各種設定金額!$H$3,各種設定金額!$H$2)),IF(C4="2️⃣",IF(G4="◯",各種設定金額!$I$3,各種設定金額!$I$2),0)))</f>
        <v>0</v>
      </c>
      <c r="L4" s="35">
        <f>IF(OR(C4="✔",C4="2️⃣"),各種設定金額!$M$2,0)</f>
        <v>1800</v>
      </c>
      <c r="M4" s="35">
        <f>IF(INDEX(Sheet1!$CF:$CF,ROWS($A$2:$A4)+1)&lt;&gt;"",0,IF(E4="✔",IF(H4="◯",IF(G4="◯",各種設定金額!$J$4,各種設定金額!$J$5),IF(G4="◯",各種設定金額!$J$3,各種設定金額!$J$2)),0))</f>
        <v>0</v>
      </c>
      <c r="N4" s="35">
        <f>IF(E4="✔",各種設定金額!$M$2,0)</f>
        <v>0</v>
      </c>
      <c r="O4" s="35">
        <f>IF(INDEX(Sheet1!$CF:$CF,ROWS($A$2:$A4)+1)&lt;&gt;"",0,IF(F4="✔",IF(H4="◯",IF(G4="◯",各種設定金額!$K$4,各種設定金額!$K$5),IF(G4="◯",各種設定金額!$K$3,各種設定金額!$K$2)),0))</f>
        <v>0</v>
      </c>
      <c r="P4" s="35">
        <f>IF(F4="✔",各種設定金額!$M$2,0)</f>
        <v>1800</v>
      </c>
      <c r="Q4" s="35">
        <f>IF(B4&lt;&gt;"",各種設定金額!$D$2,0)</f>
        <v>5000</v>
      </c>
      <c r="R4" s="84">
        <v>10000</v>
      </c>
      <c r="S4" s="35">
        <f>IF(D4="A",各種設定金額!$P$2,IF(D4="B",各種設定金額!$P$3,IF(D4="C",各種設定金額!$P$4,0)))</f>
        <v>4650</v>
      </c>
      <c r="T4" s="35">
        <f>IF(E4="✔",各種設定金額!$Q$2,0)</f>
        <v>0</v>
      </c>
      <c r="U4" s="35">
        <f t="shared" si="0"/>
        <v>32550</v>
      </c>
    </row>
    <row r="5" spans="1:21" ht="20.100000000000001" customHeight="1" x14ac:dyDescent="0.15">
      <c r="A5" s="31">
        <f>IF(B5="","",IF(SUBTOTAL(103,B5)=0,"",SUBTOTAL(103,$B$2:B5)))</f>
        <v>4</v>
      </c>
      <c r="B5" s="31" t="str">
        <f>INDEX(Sheet1!$B:$B,ROWS($A$2:$A5)+1)&amp;""</f>
        <v>試験　三郎</v>
      </c>
      <c r="C5" s="82" t="s">
        <v>62</v>
      </c>
      <c r="D5" s="82" t="s">
        <v>148</v>
      </c>
      <c r="E5" s="82"/>
      <c r="F5" s="82"/>
      <c r="G5" s="82" t="s">
        <v>137</v>
      </c>
      <c r="H5" s="82" t="s">
        <v>137</v>
      </c>
      <c r="I5" s="35">
        <f>IF(OR(C5="✔",AND(C5="",D5&lt;&gt;"")),各種設定金額!$B$2,IF(C5="2️⃣",各種設定金額!$B$3,IF(AND(C5="",E5="✔"),各種設定金額!$B$4,IF(AND(C5="",E5="",F5="✔"),各種設定金額!$B$5,""))))</f>
        <v>4800</v>
      </c>
      <c r="J5" s="35">
        <f>IF(B5&lt;&gt;"",各種設定金額!$C$2,0)</f>
        <v>6000</v>
      </c>
      <c r="K5" s="35">
        <f>IF(INDEX(Sheet1!$CF:$CF,ROWS($A$2:$A5)+1)&lt;&gt;"",0,IF(C5="✔",IF(H5="◯",IF(G5="◯",各種設定金額!$H$4,各種設定金額!$H$5),IF(G5="◯",各種設定金額!$H$3,各種設定金額!$H$2)),IF(C5="2️⃣",IF(G5="◯",各種設定金額!$I$3,各種設定金額!$I$2),0)))</f>
        <v>5500</v>
      </c>
      <c r="L5" s="35">
        <f>IF(OR(C5="✔",C5="2️⃣"),各種設定金額!$M$2,0)</f>
        <v>1800</v>
      </c>
      <c r="M5" s="35">
        <f>IF(INDEX(Sheet1!$CF:$CF,ROWS($A$2:$A5)+1)&lt;&gt;"",0,IF(E5="✔",IF(H5="◯",IF(G5="◯",各種設定金額!$J$4,各種設定金額!$J$5),IF(G5="◯",各種設定金額!$J$3,各種設定金額!$J$2)),0))</f>
        <v>0</v>
      </c>
      <c r="N5" s="35">
        <f>IF(E5="✔",各種設定金額!$M$2,0)</f>
        <v>0</v>
      </c>
      <c r="O5" s="35">
        <f>IF(INDEX(Sheet1!$CF:$CF,ROWS($A$2:$A5)+1)&lt;&gt;"",0,IF(F5="✔",IF(H5="◯",IF(G5="◯",各種設定金額!$K$4,各種設定金額!$K$5),IF(G5="◯",各種設定金額!$K$3,各種設定金額!$K$2)),0))</f>
        <v>0</v>
      </c>
      <c r="P5" s="35">
        <f>IF(F5="✔",各種設定金額!$M$2,0)</f>
        <v>0</v>
      </c>
      <c r="Q5" s="35">
        <f>IF(B5&lt;&gt;"",各種設定金額!$D$2,0)</f>
        <v>5000</v>
      </c>
      <c r="R5" s="84"/>
      <c r="S5" s="35">
        <f>IF(D5="A",各種設定金額!$P$2,IF(D5="B",各種設定金額!$P$3,IF(D5="C",各種設定金額!$P$4,0)))</f>
        <v>5960</v>
      </c>
      <c r="T5" s="35">
        <f>IF(E5="✔",各種設定金額!$Q$2,0)</f>
        <v>0</v>
      </c>
      <c r="U5" s="35">
        <f t="shared" si="0"/>
        <v>29060</v>
      </c>
    </row>
    <row r="6" spans="1:21" ht="20.100000000000001" customHeight="1" x14ac:dyDescent="0.15">
      <c r="A6" s="31">
        <f>IF(B6="","",IF(SUBTOTAL(103,B6)=0,"",SUBTOTAL(103,$B$2:B6)))</f>
        <v>5</v>
      </c>
      <c r="B6" s="31" t="str">
        <f>INDEX(Sheet1!$B:$B,ROWS($A$2:$A6)+1)&amp;""</f>
        <v>架空　良子</v>
      </c>
      <c r="C6" s="82"/>
      <c r="D6" s="82"/>
      <c r="E6" s="82" t="s">
        <v>62</v>
      </c>
      <c r="F6" s="82" t="s">
        <v>62</v>
      </c>
      <c r="G6" s="82"/>
      <c r="H6" s="82" t="s">
        <v>137</v>
      </c>
      <c r="I6" s="35">
        <f>IF(OR(C6="✔",AND(C6="",D6&lt;&gt;"")),各種設定金額!$B$2,IF(C6="2️⃣",各種設定金額!$B$3,IF(AND(C6="",E6="✔"),各種設定金額!$B$4,IF(AND(C6="",E6="",F6="✔"),各種設定金額!$B$5,""))))</f>
        <v>2300</v>
      </c>
      <c r="J6" s="35">
        <f>IF(B6&lt;&gt;"",各種設定金額!$C$2,0)</f>
        <v>6000</v>
      </c>
      <c r="K6" s="35">
        <f>IF(INDEX(Sheet1!$CF:$CF,ROWS($A$2:$A6)+1)&lt;&gt;"",0,IF(C6="✔",IF(H6="◯",IF(G6="◯",各種設定金額!$H$4,各種設定金額!$H$5),IF(G6="◯",各種設定金額!$H$3,各種設定金額!$H$2)),IF(C6="2️⃣",IF(G6="◯",各種設定金額!$I$3,各種設定金額!$I$2),0)))</f>
        <v>0</v>
      </c>
      <c r="L6" s="35">
        <f>IF(OR(C6="✔",C6="2️⃣"),各種設定金額!$M$2,0)</f>
        <v>0</v>
      </c>
      <c r="M6" s="35">
        <f>IF(INDEX(Sheet1!$CF:$CF,ROWS($A$2:$A6)+1)&lt;&gt;"",0,IF(E6="✔",IF(H6="◯",IF(G6="◯",各種設定金額!$J$4,各種設定金額!$J$5),IF(G6="◯",各種設定金額!$J$3,各種設定金額!$J$2)),0))</f>
        <v>5500</v>
      </c>
      <c r="N6" s="35">
        <f>IF(E6="✔",各種設定金額!$M$2,0)</f>
        <v>1800</v>
      </c>
      <c r="O6" s="35">
        <f>IF(INDEX(Sheet1!$CF:$CF,ROWS($A$2:$A6)+1)&lt;&gt;"",0,IF(F6="✔",IF(H6="◯",IF(G6="◯",各種設定金額!$K$4,各種設定金額!$K$5),IF(G6="◯",各種設定金額!$K$3,各種設定金額!$K$2)),0))</f>
        <v>5500</v>
      </c>
      <c r="P6" s="35">
        <f>IF(F6="✔",各種設定金額!$M$2,0)</f>
        <v>1800</v>
      </c>
      <c r="Q6" s="35">
        <f>IF(B6&lt;&gt;"",各種設定金額!$D$2,0)</f>
        <v>5000</v>
      </c>
      <c r="R6" s="84"/>
      <c r="S6" s="35">
        <f>IF(D6="A",各種設定金額!$P$2,IF(D6="B",各種設定金額!$P$3,IF(D6="C",各種設定金額!$P$4,0)))</f>
        <v>0</v>
      </c>
      <c r="T6" s="35">
        <f>IF(E6="✔",各種設定金額!$Q$2,0)</f>
        <v>1200</v>
      </c>
      <c r="U6" s="35">
        <f t="shared" si="0"/>
        <v>29100</v>
      </c>
    </row>
    <row r="7" spans="1:21" ht="20.100000000000001" customHeight="1" x14ac:dyDescent="0.15">
      <c r="A7" s="31" t="str">
        <f>IF(B7="","",IF(SUBTOTAL(103,B7)=0,"",SUBTOTAL(103,$B$2:B7)))</f>
        <v/>
      </c>
      <c r="B7" s="31" t="str">
        <f>INDEX(Sheet1!$B:$B,ROWS($A$2:$A7)+1)&amp;""</f>
        <v/>
      </c>
      <c r="C7" s="82"/>
      <c r="D7" s="82"/>
      <c r="E7" s="82"/>
      <c r="F7" s="82"/>
      <c r="G7" s="82"/>
      <c r="H7" s="82"/>
      <c r="I7" s="35" t="str">
        <f>IF(OR(C7="✔",AND(C7="",D7&lt;&gt;"")),各種設定金額!$B$2,IF(C7="2️⃣",各種設定金額!$B$3,IF(AND(C7="",E7="✔"),各種設定金額!$B$4,IF(AND(C7="",E7="",F7="✔"),各種設定金額!$B$5,""))))</f>
        <v/>
      </c>
      <c r="J7" s="35">
        <f>IF(B7&lt;&gt;"",各種設定金額!$C$2,0)</f>
        <v>0</v>
      </c>
      <c r="K7" s="35">
        <f>IF(INDEX(Sheet1!$CF:$CF,ROWS($A$2:$A7)+1)&lt;&gt;"",0,IF(C7="✔",IF(H7="◯",IF(G7="◯",各種設定金額!$H$4,各種設定金額!$H$5),IF(G7="◯",各種設定金額!$H$3,各種設定金額!$H$2)),IF(C7="2️⃣",IF(G7="◯",各種設定金額!$I$3,各種設定金額!$I$2),0)))</f>
        <v>0</v>
      </c>
      <c r="L7" s="35">
        <f>IF(OR(C7="✔",C7="2️⃣"),各種設定金額!$M$2,0)</f>
        <v>0</v>
      </c>
      <c r="M7" s="35">
        <f>IF(INDEX(Sheet1!$CF:$CF,ROWS($A$2:$A7)+1)&lt;&gt;"",0,IF(E7="✔",IF(H7="◯",IF(G7="◯",各種設定金額!$J$4,各種設定金額!$J$5),IF(G7="◯",各種設定金額!$J$3,各種設定金額!$J$2)),0))</f>
        <v>0</v>
      </c>
      <c r="N7" s="35">
        <f>IF(E7="✔",各種設定金額!$M$2,0)</f>
        <v>0</v>
      </c>
      <c r="O7" s="35">
        <f>IF(INDEX(Sheet1!$CF:$CF,ROWS($A$2:$A7)+1)&lt;&gt;"",0,IF(F7="✔",IF(H7="◯",IF(G7="◯",各種設定金額!$K$4,各種設定金額!$K$5),IF(G7="◯",各種設定金額!$K$3,各種設定金額!$K$2)),0))</f>
        <v>0</v>
      </c>
      <c r="P7" s="35">
        <f>IF(F7="✔",各種設定金額!$M$2,0)</f>
        <v>0</v>
      </c>
      <c r="Q7" s="35">
        <f>IF(B7&lt;&gt;"",各種設定金額!$D$2,0)</f>
        <v>0</v>
      </c>
      <c r="R7" s="84"/>
      <c r="S7" s="35">
        <f>IF(D7="A",各種設定金額!$P$2,IF(D7="B",各種設定金額!$P$3,IF(D7="C",各種設定金額!$P$4,0)))</f>
        <v>0</v>
      </c>
      <c r="T7" s="35">
        <f>IF(E7="✔",各種設定金額!$Q$2,0)</f>
        <v>0</v>
      </c>
      <c r="U7" s="35">
        <f t="shared" si="0"/>
        <v>0</v>
      </c>
    </row>
    <row r="8" spans="1:21" ht="20.100000000000001" customHeight="1" x14ac:dyDescent="0.15">
      <c r="A8" s="31" t="str">
        <f>IF(B8="","",IF(SUBTOTAL(103,B8)=0,"",SUBTOTAL(103,$B$2:B8)))</f>
        <v/>
      </c>
      <c r="B8" s="31" t="str">
        <f>INDEX(Sheet1!$B:$B,ROWS($A$2:$A8)+1)&amp;""</f>
        <v/>
      </c>
      <c r="C8" s="82"/>
      <c r="D8" s="82"/>
      <c r="E8" s="82"/>
      <c r="F8" s="82"/>
      <c r="G8" s="82"/>
      <c r="H8" s="82"/>
      <c r="I8" s="35" t="str">
        <f>IF(OR(C8="✔",AND(C8="",D8&lt;&gt;"")),各種設定金額!$B$2,IF(C8="2️⃣",各種設定金額!$B$3,IF(AND(C8="",E8="✔"),各種設定金額!$B$4,IF(AND(C8="",E8="",F8="✔"),各種設定金額!$B$5,""))))</f>
        <v/>
      </c>
      <c r="J8" s="35">
        <f>IF(B8&lt;&gt;"",各種設定金額!$C$2,0)</f>
        <v>0</v>
      </c>
      <c r="K8" s="35">
        <f>IF(INDEX(Sheet1!$CF:$CF,ROWS($A$2:$A8)+1)&lt;&gt;"",0,IF(C8="✔",IF(H8="◯",IF(G8="◯",各種設定金額!$H$4,各種設定金額!$H$5),IF(G8="◯",各種設定金額!$H$3,各種設定金額!$H$2)),IF(C8="2️⃣",IF(G8="◯",各種設定金額!$I$3,各種設定金額!$I$2),0)))</f>
        <v>0</v>
      </c>
      <c r="L8" s="35">
        <f>IF(OR(C8="✔",C8="2️⃣"),各種設定金額!$M$2,0)</f>
        <v>0</v>
      </c>
      <c r="M8" s="35">
        <f>IF(INDEX(Sheet1!$CF:$CF,ROWS($A$2:$A8)+1)&lt;&gt;"",0,IF(E8="✔",IF(H8="◯",IF(G8="◯",各種設定金額!$J$4,各種設定金額!$J$5),IF(G8="◯",各種設定金額!$J$3,各種設定金額!$J$2)),0))</f>
        <v>0</v>
      </c>
      <c r="N8" s="35">
        <f>IF(E8="✔",各種設定金額!$M$2,0)</f>
        <v>0</v>
      </c>
      <c r="O8" s="35">
        <f>IF(INDEX(Sheet1!$CF:$CF,ROWS($A$2:$A8)+1)&lt;&gt;"",0,IF(F8="✔",IF(H8="◯",IF(G8="◯",各種設定金額!$K$4,各種設定金額!$K$5),IF(G8="◯",各種設定金額!$K$3,各種設定金額!$K$2)),0))</f>
        <v>0</v>
      </c>
      <c r="P8" s="35">
        <f>IF(F8="✔",各種設定金額!$M$2,0)</f>
        <v>0</v>
      </c>
      <c r="Q8" s="35">
        <f>IF(B8&lt;&gt;"",各種設定金額!$D$2,0)</f>
        <v>0</v>
      </c>
      <c r="R8" s="84"/>
      <c r="S8" s="35">
        <f>IF(D8="A",各種設定金額!$P$2,IF(D8="B",各種設定金額!$P$3,IF(D8="C",各種設定金額!$P$4,0)))</f>
        <v>0</v>
      </c>
      <c r="T8" s="35">
        <f>IF(E8="✔",各種設定金額!$Q$2,0)</f>
        <v>0</v>
      </c>
      <c r="U8" s="35">
        <f t="shared" si="0"/>
        <v>0</v>
      </c>
    </row>
    <row r="9" spans="1:21" ht="20.100000000000001" customHeight="1" x14ac:dyDescent="0.15">
      <c r="A9" s="31" t="str">
        <f>IF(B9="","",IF(SUBTOTAL(103,B9)=0,"",SUBTOTAL(103,$B$2:B9)))</f>
        <v/>
      </c>
      <c r="B9" s="31" t="str">
        <f>INDEX(Sheet1!$B:$B,ROWS($A$2:$A9)+1)&amp;""</f>
        <v/>
      </c>
      <c r="C9" s="82"/>
      <c r="D9" s="82"/>
      <c r="E9" s="82"/>
      <c r="F9" s="82"/>
      <c r="G9" s="82"/>
      <c r="H9" s="82"/>
      <c r="I9" s="35" t="str">
        <f>IF(OR(C9="✔",AND(C9="",D9&lt;&gt;"")),各種設定金額!$B$2,IF(C9="2️⃣",各種設定金額!$B$3,IF(AND(C9="",E9="✔"),各種設定金額!$B$4,IF(AND(C9="",E9="",F9="✔"),各種設定金額!$B$5,""))))</f>
        <v/>
      </c>
      <c r="J9" s="35">
        <f>IF(B9&lt;&gt;"",各種設定金額!$C$2,0)</f>
        <v>0</v>
      </c>
      <c r="K9" s="35">
        <f>IF(INDEX(Sheet1!$CF:$CF,ROWS($A$2:$A9)+1)&lt;&gt;"",0,IF(C9="✔",IF(H9="◯",IF(G9="◯",各種設定金額!$H$4,各種設定金額!$H$5),IF(G9="◯",各種設定金額!$H$3,各種設定金額!$H$2)),IF(C9="2️⃣",IF(G9="◯",各種設定金額!$I$3,各種設定金額!$I$2),0)))</f>
        <v>0</v>
      </c>
      <c r="L9" s="35">
        <f>IF(OR(C9="✔",C9="2️⃣"),各種設定金額!$M$2,0)</f>
        <v>0</v>
      </c>
      <c r="M9" s="35">
        <f>IF(INDEX(Sheet1!$CF:$CF,ROWS($A$2:$A9)+1)&lt;&gt;"",0,IF(E9="✔",IF(H9="◯",IF(G9="◯",各種設定金額!$J$4,各種設定金額!$J$5),IF(G9="◯",各種設定金額!$J$3,各種設定金額!$J$2)),0))</f>
        <v>0</v>
      </c>
      <c r="N9" s="35">
        <f>IF(E9="✔",各種設定金額!$M$2,0)</f>
        <v>0</v>
      </c>
      <c r="O9" s="35">
        <f>IF(INDEX(Sheet1!$CF:$CF,ROWS($A$2:$A9)+1)&lt;&gt;"",0,IF(F9="✔",IF(H9="◯",IF(G9="◯",各種設定金額!$K$4,各種設定金額!$K$5),IF(G9="◯",各種設定金額!$K$3,各種設定金額!$K$2)),0))</f>
        <v>0</v>
      </c>
      <c r="P9" s="35">
        <f>IF(F9="✔",各種設定金額!$M$2,0)</f>
        <v>0</v>
      </c>
      <c r="Q9" s="35">
        <f>IF(B9&lt;&gt;"",各種設定金額!$D$2,0)</f>
        <v>0</v>
      </c>
      <c r="R9" s="84"/>
      <c r="S9" s="35">
        <f>IF(D9="A",各種設定金額!$P$2,IF(D9="B",各種設定金額!$P$3,IF(D9="C",各種設定金額!$P$4,0)))</f>
        <v>0</v>
      </c>
      <c r="T9" s="35">
        <f>IF(E9="✔",各種設定金額!$Q$2,0)</f>
        <v>0</v>
      </c>
      <c r="U9" s="35">
        <f t="shared" si="0"/>
        <v>0</v>
      </c>
    </row>
    <row r="10" spans="1:21" ht="20.100000000000001" customHeight="1" x14ac:dyDescent="0.15">
      <c r="A10" s="31" t="str">
        <f>IF(B10="","",IF(SUBTOTAL(103,B10)=0,"",SUBTOTAL(103,$B$2:B10)))</f>
        <v/>
      </c>
      <c r="B10" s="31" t="str">
        <f>INDEX(Sheet1!$B:$B,ROWS($A$2:$A10)+1)&amp;""</f>
        <v/>
      </c>
      <c r="C10" s="82"/>
      <c r="D10" s="82"/>
      <c r="E10" s="82"/>
      <c r="F10" s="82"/>
      <c r="G10" s="82"/>
      <c r="H10" s="82"/>
      <c r="I10" s="35" t="str">
        <f>IF(OR(C10="✔",AND(C10="",D10&lt;&gt;"")),各種設定金額!$B$2,IF(C10="2️⃣",各種設定金額!$B$3,IF(AND(C10="",E10="✔"),各種設定金額!$B$4,IF(AND(C10="",E10="",F10="✔"),各種設定金額!$B$5,""))))</f>
        <v/>
      </c>
      <c r="J10" s="35">
        <f>IF(B10&lt;&gt;"",各種設定金額!$C$2,0)</f>
        <v>0</v>
      </c>
      <c r="K10" s="35">
        <f>IF(INDEX(Sheet1!$CF:$CF,ROWS($A$2:$A10)+1)&lt;&gt;"",0,IF(C10="✔",IF(H10="◯",IF(G10="◯",各種設定金額!$H$4,各種設定金額!$H$5),IF(G10="◯",各種設定金額!$H$3,各種設定金額!$H$2)),IF(C10="2️⃣",IF(G10="◯",各種設定金額!$I$3,各種設定金額!$I$2),0)))</f>
        <v>0</v>
      </c>
      <c r="L10" s="35">
        <f>IF(OR(C10="✔",C10="2️⃣"),各種設定金額!$M$2,0)</f>
        <v>0</v>
      </c>
      <c r="M10" s="35">
        <f>IF(INDEX(Sheet1!$CF:$CF,ROWS($A$2:$A10)+1)&lt;&gt;"",0,IF(E10="✔",IF(H10="◯",IF(G10="◯",各種設定金額!$J$4,各種設定金額!$J$5),IF(G10="◯",各種設定金額!$J$3,各種設定金額!$J$2)),0))</f>
        <v>0</v>
      </c>
      <c r="N10" s="35">
        <f>IF(E10="✔",各種設定金額!$M$2,0)</f>
        <v>0</v>
      </c>
      <c r="O10" s="35">
        <f>IF(INDEX(Sheet1!$CF:$CF,ROWS($A$2:$A10)+1)&lt;&gt;"",0,IF(F10="✔",IF(H10="◯",IF(G10="◯",各種設定金額!$K$4,各種設定金額!$K$5),IF(G10="◯",各種設定金額!$K$3,各種設定金額!$K$2)),0))</f>
        <v>0</v>
      </c>
      <c r="P10" s="35">
        <f>IF(F10="✔",各種設定金額!$M$2,0)</f>
        <v>0</v>
      </c>
      <c r="Q10" s="35">
        <f>IF(B10&lt;&gt;"",各種設定金額!$D$2,0)</f>
        <v>0</v>
      </c>
      <c r="R10" s="84"/>
      <c r="S10" s="35">
        <f>IF(D10="A",各種設定金額!$P$2,IF(D10="B",各種設定金額!$P$3,IF(D10="C",各種設定金額!$P$4,0)))</f>
        <v>0</v>
      </c>
      <c r="T10" s="35">
        <f>IF(E10="✔",各種設定金額!$Q$2,0)</f>
        <v>0</v>
      </c>
      <c r="U10" s="35">
        <f t="shared" si="0"/>
        <v>0</v>
      </c>
    </row>
    <row r="11" spans="1:21" ht="20.100000000000001" customHeight="1" x14ac:dyDescent="0.15">
      <c r="A11" s="31" t="str">
        <f>IF(B11="","",IF(SUBTOTAL(103,B11)=0,"",SUBTOTAL(103,$B$2:B11)))</f>
        <v/>
      </c>
      <c r="B11" s="31" t="str">
        <f>INDEX(Sheet1!$B:$B,ROWS($A$2:$A11)+1)&amp;""</f>
        <v/>
      </c>
      <c r="C11" s="82"/>
      <c r="D11" s="82"/>
      <c r="E11" s="82"/>
      <c r="F11" s="82"/>
      <c r="G11" s="82"/>
      <c r="H11" s="82"/>
      <c r="I11" s="35" t="str">
        <f>IF(OR(C11="✔",AND(C11="",D11&lt;&gt;"")),各種設定金額!$B$2,IF(C11="2️⃣",各種設定金額!$B$3,IF(AND(C11="",E11="✔"),各種設定金額!$B$4,IF(AND(C11="",E11="",F11="✔"),各種設定金額!$B$5,""))))</f>
        <v/>
      </c>
      <c r="J11" s="35">
        <f>IF(B11&lt;&gt;"",各種設定金額!$C$2,0)</f>
        <v>0</v>
      </c>
      <c r="K11" s="35">
        <f>IF(INDEX(Sheet1!$CF:$CF,ROWS($A$2:$A11)+1)&lt;&gt;"",0,IF(C11="✔",IF(H11="◯",IF(G11="◯",各種設定金額!$H$4,各種設定金額!$H$5),IF(G11="◯",各種設定金額!$H$3,各種設定金額!$H$2)),IF(C11="2️⃣",IF(G11="◯",各種設定金額!$I$3,各種設定金額!$I$2),0)))</f>
        <v>0</v>
      </c>
      <c r="L11" s="35">
        <f>IF(OR(C11="✔",C11="2️⃣"),各種設定金額!$M$2,0)</f>
        <v>0</v>
      </c>
      <c r="M11" s="35">
        <f>IF(INDEX(Sheet1!$CF:$CF,ROWS($A$2:$A11)+1)&lt;&gt;"",0,IF(E11="✔",IF(H11="◯",IF(G11="◯",各種設定金額!$J$4,各種設定金額!$J$5),IF(G11="◯",各種設定金額!$J$3,各種設定金額!$J$2)),0))</f>
        <v>0</v>
      </c>
      <c r="N11" s="35">
        <f>IF(E11="✔",各種設定金額!$M$2,0)</f>
        <v>0</v>
      </c>
      <c r="O11" s="35">
        <f>IF(INDEX(Sheet1!$CF:$CF,ROWS($A$2:$A11)+1)&lt;&gt;"",0,IF(F11="✔",IF(H11="◯",IF(G11="◯",各種設定金額!$K$4,各種設定金額!$K$5),IF(G11="◯",各種設定金額!$K$3,各種設定金額!$K$2)),0))</f>
        <v>0</v>
      </c>
      <c r="P11" s="35">
        <f>IF(F11="✔",各種設定金額!$M$2,0)</f>
        <v>0</v>
      </c>
      <c r="Q11" s="35">
        <f>IF(B11&lt;&gt;"",各種設定金額!$D$2,0)</f>
        <v>0</v>
      </c>
      <c r="R11" s="84"/>
      <c r="S11" s="35">
        <f>IF(D11="A",各種設定金額!$P$2,IF(D11="B",各種設定金額!$P$3,IF(D11="C",各種設定金額!$P$4,0)))</f>
        <v>0</v>
      </c>
      <c r="T11" s="35">
        <f>IF(E11="✔",各種設定金額!$Q$2,0)</f>
        <v>0</v>
      </c>
      <c r="U11" s="35">
        <f t="shared" si="0"/>
        <v>0</v>
      </c>
    </row>
    <row r="12" spans="1:21" ht="20.100000000000001" customHeight="1" x14ac:dyDescent="0.15">
      <c r="A12" s="31" t="str">
        <f>IF(B12="","",IF(SUBTOTAL(103,B12)=0,"",SUBTOTAL(103,$B$2:B12)))</f>
        <v/>
      </c>
      <c r="B12" s="31" t="str">
        <f>INDEX(Sheet1!$B:$B,ROWS($A$2:$A12)+1)&amp;""</f>
        <v/>
      </c>
      <c r="C12" s="82"/>
      <c r="D12" s="82"/>
      <c r="E12" s="82"/>
      <c r="F12" s="82"/>
      <c r="G12" s="82"/>
      <c r="H12" s="82"/>
      <c r="I12" s="35" t="str">
        <f>IF(OR(C12="✔",AND(C12="",D12&lt;&gt;"")),各種設定金額!$B$2,IF(C12="2️⃣",各種設定金額!$B$3,IF(AND(C12="",E12="✔"),各種設定金額!$B$4,IF(AND(C12="",E12="",F12="✔"),各種設定金額!$B$5,""))))</f>
        <v/>
      </c>
      <c r="J12" s="35">
        <f>IF(B12&lt;&gt;"",各種設定金額!$C$2,0)</f>
        <v>0</v>
      </c>
      <c r="K12" s="35">
        <f>IF(INDEX(Sheet1!$CF:$CF,ROWS($A$2:$A12)+1)&lt;&gt;"",0,IF(C12="✔",IF(H12="◯",IF(G12="◯",各種設定金額!$H$4,各種設定金額!$H$5),IF(G12="◯",各種設定金額!$H$3,各種設定金額!$H$2)),IF(C12="2️⃣",IF(G12="◯",各種設定金額!$I$3,各種設定金額!$I$2),0)))</f>
        <v>0</v>
      </c>
      <c r="L12" s="35">
        <f>IF(OR(C12="✔",C12="2️⃣"),各種設定金額!$M$2,0)</f>
        <v>0</v>
      </c>
      <c r="M12" s="35">
        <f>IF(INDEX(Sheet1!$CF:$CF,ROWS($A$2:$A12)+1)&lt;&gt;"",0,IF(E12="✔",IF(H12="◯",IF(G12="◯",各種設定金額!$J$4,各種設定金額!$J$5),IF(G12="◯",各種設定金額!$J$3,各種設定金額!$J$2)),0))</f>
        <v>0</v>
      </c>
      <c r="N12" s="35">
        <f>IF(E12="✔",各種設定金額!$M$2,0)</f>
        <v>0</v>
      </c>
      <c r="O12" s="35">
        <f>IF(INDEX(Sheet1!$CF:$CF,ROWS($A$2:$A12)+1)&lt;&gt;"",0,IF(F12="✔",IF(H12="◯",IF(G12="◯",各種設定金額!$K$4,各種設定金額!$K$5),IF(G12="◯",各種設定金額!$K$3,各種設定金額!$K$2)),0))</f>
        <v>0</v>
      </c>
      <c r="P12" s="35">
        <f>IF(F12="✔",各種設定金額!$M$2,0)</f>
        <v>0</v>
      </c>
      <c r="Q12" s="35">
        <f>IF(B12&lt;&gt;"",各種設定金額!$D$2,0)</f>
        <v>0</v>
      </c>
      <c r="R12" s="84"/>
      <c r="S12" s="35">
        <f>IF(D12="A",各種設定金額!$P$2,IF(D12="B",各種設定金額!$P$3,IF(D12="C",各種設定金額!$P$4,0)))</f>
        <v>0</v>
      </c>
      <c r="T12" s="35">
        <f>IF(E12="✔",各種設定金額!$Q$2,0)</f>
        <v>0</v>
      </c>
      <c r="U12" s="35">
        <f t="shared" si="0"/>
        <v>0</v>
      </c>
    </row>
    <row r="13" spans="1:21" ht="20.100000000000001" customHeight="1" x14ac:dyDescent="0.15">
      <c r="A13" s="31" t="str">
        <f>IF(B13="","",IF(SUBTOTAL(103,B13)=0,"",SUBTOTAL(103,$B$2:B13)))</f>
        <v/>
      </c>
      <c r="B13" s="31" t="str">
        <f>INDEX(Sheet1!$B:$B,ROWS($A$2:$A13)+1)&amp;""</f>
        <v/>
      </c>
      <c r="C13" s="82"/>
      <c r="D13" s="82"/>
      <c r="E13" s="82"/>
      <c r="F13" s="82"/>
      <c r="G13" s="82"/>
      <c r="H13" s="82"/>
      <c r="I13" s="35" t="str">
        <f>IF(OR(C13="✔",AND(C13="",D13&lt;&gt;"")),各種設定金額!$B$2,IF(C13="2️⃣",各種設定金額!$B$3,IF(AND(C13="",E13="✔"),各種設定金額!$B$4,IF(AND(C13="",E13="",F13="✔"),各種設定金額!$B$5,""))))</f>
        <v/>
      </c>
      <c r="J13" s="35">
        <f>IF(B13&lt;&gt;"",各種設定金額!$C$2,0)</f>
        <v>0</v>
      </c>
      <c r="K13" s="35">
        <f>IF(INDEX(Sheet1!$CF:$CF,ROWS($A$2:$A13)+1)&lt;&gt;"",0,IF(C13="✔",IF(H13="◯",IF(G13="◯",各種設定金額!$H$4,各種設定金額!$H$5),IF(G13="◯",各種設定金額!$H$3,各種設定金額!$H$2)),IF(C13="2️⃣",IF(G13="◯",各種設定金額!$I$3,各種設定金額!$I$2),0)))</f>
        <v>0</v>
      </c>
      <c r="L13" s="35">
        <f>IF(OR(C13="✔",C13="2️⃣"),各種設定金額!$M$2,0)</f>
        <v>0</v>
      </c>
      <c r="M13" s="35">
        <f>IF(INDEX(Sheet1!$CF:$CF,ROWS($A$2:$A13)+1)&lt;&gt;"",0,IF(E13="✔",IF(H13="◯",IF(G13="◯",各種設定金額!$J$4,各種設定金額!$J$5),IF(G13="◯",各種設定金額!$J$3,各種設定金額!$J$2)),0))</f>
        <v>0</v>
      </c>
      <c r="N13" s="35">
        <f>IF(E13="✔",各種設定金額!$M$2,0)</f>
        <v>0</v>
      </c>
      <c r="O13" s="35">
        <f>IF(INDEX(Sheet1!$CF:$CF,ROWS($A$2:$A13)+1)&lt;&gt;"",0,IF(F13="✔",IF(H13="◯",IF(G13="◯",各種設定金額!$K$4,各種設定金額!$K$5),IF(G13="◯",各種設定金額!$K$3,各種設定金額!$K$2)),0))</f>
        <v>0</v>
      </c>
      <c r="P13" s="35">
        <f>IF(F13="✔",各種設定金額!$M$2,0)</f>
        <v>0</v>
      </c>
      <c r="Q13" s="35">
        <f>IF(B13&lt;&gt;"",各種設定金額!$D$2,0)</f>
        <v>0</v>
      </c>
      <c r="R13" s="84"/>
      <c r="S13" s="35">
        <f>IF(D13="A",各種設定金額!$P$2,IF(D13="B",各種設定金額!$P$3,IF(D13="C",各種設定金額!$P$4,0)))</f>
        <v>0</v>
      </c>
      <c r="T13" s="35">
        <f>IF(E13="✔",各種設定金額!$Q$2,0)</f>
        <v>0</v>
      </c>
      <c r="U13" s="35">
        <f t="shared" si="0"/>
        <v>0</v>
      </c>
    </row>
    <row r="14" spans="1:21" ht="20.100000000000001" customHeight="1" x14ac:dyDescent="0.15">
      <c r="A14" s="31" t="str">
        <f>IF(B14="","",IF(SUBTOTAL(103,B14)=0,"",SUBTOTAL(103,$B$2:B14)))</f>
        <v/>
      </c>
      <c r="B14" s="31" t="str">
        <f>INDEX(Sheet1!$B:$B,ROWS($A$2:$A14)+1)&amp;""</f>
        <v/>
      </c>
      <c r="C14" s="82"/>
      <c r="D14" s="82"/>
      <c r="E14" s="82"/>
      <c r="F14" s="82"/>
      <c r="G14" s="82"/>
      <c r="H14" s="82"/>
      <c r="I14" s="35" t="str">
        <f>IF(OR(C14="✔",AND(C14="",D14&lt;&gt;"")),各種設定金額!$B$2,IF(C14="2️⃣",各種設定金額!$B$3,IF(AND(C14="",E14="✔"),各種設定金額!$B$4,IF(AND(C14="",E14="",F14="✔"),各種設定金額!$B$5,""))))</f>
        <v/>
      </c>
      <c r="J14" s="35">
        <f>IF(B14&lt;&gt;"",各種設定金額!$C$2,0)</f>
        <v>0</v>
      </c>
      <c r="K14" s="35">
        <f>IF(INDEX(Sheet1!$CF:$CF,ROWS($A$2:$A14)+1)&lt;&gt;"",0,IF(C14="✔",IF(H14="◯",IF(G14="◯",各種設定金額!$H$4,各種設定金額!$H$5),IF(G14="◯",各種設定金額!$H$3,各種設定金額!$H$2)),IF(C14="2️⃣",IF(G14="◯",各種設定金額!$I$3,各種設定金額!$I$2),0)))</f>
        <v>0</v>
      </c>
      <c r="L14" s="35">
        <f>IF(OR(C14="✔",C14="2️⃣"),各種設定金額!$M$2,0)</f>
        <v>0</v>
      </c>
      <c r="M14" s="35">
        <f>IF(INDEX(Sheet1!$CF:$CF,ROWS($A$2:$A14)+1)&lt;&gt;"",0,IF(E14="✔",IF(H14="◯",IF(G14="◯",各種設定金額!$J$4,各種設定金額!$J$5),IF(G14="◯",各種設定金額!$J$3,各種設定金額!$J$2)),0))</f>
        <v>0</v>
      </c>
      <c r="N14" s="35">
        <f>IF(E14="✔",各種設定金額!$M$2,0)</f>
        <v>0</v>
      </c>
      <c r="O14" s="35">
        <f>IF(INDEX(Sheet1!$CF:$CF,ROWS($A$2:$A14)+1)&lt;&gt;"",0,IF(F14="✔",IF(H14="◯",IF(G14="◯",各種設定金額!$K$4,各種設定金額!$K$5),IF(G14="◯",各種設定金額!$K$3,各種設定金額!$K$2)),0))</f>
        <v>0</v>
      </c>
      <c r="P14" s="35">
        <f>IF(F14="✔",各種設定金額!$M$2,0)</f>
        <v>0</v>
      </c>
      <c r="Q14" s="35">
        <f>IF(B14&lt;&gt;"",各種設定金額!$D$2,0)</f>
        <v>0</v>
      </c>
      <c r="R14" s="84"/>
      <c r="S14" s="35">
        <f>IF(D14="A",各種設定金額!$P$2,IF(D14="B",各種設定金額!$P$3,IF(D14="C",各種設定金額!$P$4,0)))</f>
        <v>0</v>
      </c>
      <c r="T14" s="35">
        <f>IF(E14="✔",各種設定金額!$Q$2,0)</f>
        <v>0</v>
      </c>
      <c r="U14" s="35">
        <f t="shared" si="0"/>
        <v>0</v>
      </c>
    </row>
    <row r="15" spans="1:21" ht="20.100000000000001" customHeight="1" x14ac:dyDescent="0.15">
      <c r="A15" s="31" t="str">
        <f>IF(B15="","",IF(SUBTOTAL(103,B15)=0,"",SUBTOTAL(103,$B$2:B15)))</f>
        <v/>
      </c>
      <c r="B15" s="31" t="str">
        <f>INDEX(Sheet1!$B:$B,ROWS($A$2:$A15)+1)&amp;""</f>
        <v/>
      </c>
      <c r="C15" s="82"/>
      <c r="D15" s="82"/>
      <c r="E15" s="82"/>
      <c r="F15" s="82"/>
      <c r="G15" s="82"/>
      <c r="H15" s="82"/>
      <c r="I15" s="35" t="str">
        <f>IF(OR(C15="✔",AND(C15="",D15&lt;&gt;"")),各種設定金額!$B$2,IF(C15="2️⃣",各種設定金額!$B$3,IF(AND(C15="",E15="✔"),各種設定金額!$B$4,IF(AND(C15="",E15="",F15="✔"),各種設定金額!$B$5,""))))</f>
        <v/>
      </c>
      <c r="J15" s="35">
        <f>IF(B15&lt;&gt;"",各種設定金額!$C$2,0)</f>
        <v>0</v>
      </c>
      <c r="K15" s="35">
        <f>IF(INDEX(Sheet1!$CF:$CF,ROWS($A$2:$A15)+1)&lt;&gt;"",0,IF(C15="✔",IF(H15="◯",IF(G15="◯",各種設定金額!$H$4,各種設定金額!$H$5),IF(G15="◯",各種設定金額!$H$3,各種設定金額!$H$2)),IF(C15="2️⃣",IF(G15="◯",各種設定金額!$I$3,各種設定金額!$I$2),0)))</f>
        <v>0</v>
      </c>
      <c r="L15" s="35">
        <f>IF(OR(C15="✔",C15="2️⃣"),各種設定金額!$M$2,0)</f>
        <v>0</v>
      </c>
      <c r="M15" s="35">
        <f>IF(INDEX(Sheet1!$CF:$CF,ROWS($A$2:$A15)+1)&lt;&gt;"",0,IF(E15="✔",IF(H15="◯",IF(G15="◯",各種設定金額!$J$4,各種設定金額!$J$5),IF(G15="◯",各種設定金額!$J$3,各種設定金額!$J$2)),0))</f>
        <v>0</v>
      </c>
      <c r="N15" s="35">
        <f>IF(E15="✔",各種設定金額!$M$2,0)</f>
        <v>0</v>
      </c>
      <c r="O15" s="35">
        <f>IF(INDEX(Sheet1!$CF:$CF,ROWS($A$2:$A15)+1)&lt;&gt;"",0,IF(F15="✔",IF(H15="◯",IF(G15="◯",各種設定金額!$K$4,各種設定金額!$K$5),IF(G15="◯",各種設定金額!$K$3,各種設定金額!$K$2)),0))</f>
        <v>0</v>
      </c>
      <c r="P15" s="35">
        <f>IF(F15="✔",各種設定金額!$M$2,0)</f>
        <v>0</v>
      </c>
      <c r="Q15" s="35">
        <f>IF(B15&lt;&gt;"",各種設定金額!$D$2,0)</f>
        <v>0</v>
      </c>
      <c r="R15" s="84"/>
      <c r="S15" s="35">
        <f>IF(D15="A",各種設定金額!$P$2,IF(D15="B",各種設定金額!$P$3,IF(D15="C",各種設定金額!$P$4,0)))</f>
        <v>0</v>
      </c>
      <c r="T15" s="35">
        <f>IF(E15="✔",各種設定金額!$Q$2,0)</f>
        <v>0</v>
      </c>
      <c r="U15" s="35">
        <f t="shared" si="0"/>
        <v>0</v>
      </c>
    </row>
    <row r="16" spans="1:21" ht="20.100000000000001" customHeight="1" x14ac:dyDescent="0.15">
      <c r="A16" s="31" t="str">
        <f>IF(B16="","",IF(SUBTOTAL(103,B16)=0,"",SUBTOTAL(103,$B$2:B16)))</f>
        <v/>
      </c>
      <c r="B16" s="31" t="str">
        <f>INDEX(Sheet1!$B:$B,ROWS($A$2:$A16)+1)&amp;""</f>
        <v/>
      </c>
      <c r="C16" s="82"/>
      <c r="D16" s="82"/>
      <c r="E16" s="82"/>
      <c r="F16" s="82"/>
      <c r="G16" s="82"/>
      <c r="H16" s="82"/>
      <c r="I16" s="35" t="str">
        <f>IF(OR(C16="✔",AND(C16="",D16&lt;&gt;"")),各種設定金額!$B$2,IF(C16="2️⃣",各種設定金額!$B$3,IF(AND(C16="",E16="✔"),各種設定金額!$B$4,IF(AND(C16="",E16="",F16="✔"),各種設定金額!$B$5,""))))</f>
        <v/>
      </c>
      <c r="J16" s="35">
        <f>IF(B16&lt;&gt;"",各種設定金額!$C$2,0)</f>
        <v>0</v>
      </c>
      <c r="K16" s="35">
        <f>IF(INDEX(Sheet1!$CF:$CF,ROWS($A$2:$A16)+1)&lt;&gt;"",0,IF(C16="✔",IF(H16="◯",IF(G16="◯",各種設定金額!$H$4,各種設定金額!$H$5),IF(G16="◯",各種設定金額!$H$3,各種設定金額!$H$2)),IF(C16="2️⃣",IF(G16="◯",各種設定金額!$I$3,各種設定金額!$I$2),0)))</f>
        <v>0</v>
      </c>
      <c r="L16" s="35">
        <f>IF(OR(C16="✔",C16="2️⃣"),各種設定金額!$M$2,0)</f>
        <v>0</v>
      </c>
      <c r="M16" s="35">
        <f>IF(INDEX(Sheet1!$CF:$CF,ROWS($A$2:$A16)+1)&lt;&gt;"",0,IF(E16="✔",IF(H16="◯",IF(G16="◯",各種設定金額!$J$4,各種設定金額!$J$5),IF(G16="◯",各種設定金額!$J$3,各種設定金額!$J$2)),0))</f>
        <v>0</v>
      </c>
      <c r="N16" s="35">
        <f>IF(E16="✔",各種設定金額!$M$2,0)</f>
        <v>0</v>
      </c>
      <c r="O16" s="35">
        <f>IF(INDEX(Sheet1!$CF:$CF,ROWS($A$2:$A16)+1)&lt;&gt;"",0,IF(F16="✔",IF(H16="◯",IF(G16="◯",各種設定金額!$K$4,各種設定金額!$K$5),IF(G16="◯",各種設定金額!$K$3,各種設定金額!$K$2)),0))</f>
        <v>0</v>
      </c>
      <c r="P16" s="35">
        <f>IF(F16="✔",各種設定金額!$M$2,0)</f>
        <v>0</v>
      </c>
      <c r="Q16" s="35">
        <f>IF(B16&lt;&gt;"",各種設定金額!$D$2,0)</f>
        <v>0</v>
      </c>
      <c r="R16" s="84"/>
      <c r="S16" s="35">
        <f>IF(D16="A",各種設定金額!$P$2,IF(D16="B",各種設定金額!$P$3,IF(D16="C",各種設定金額!$P$4,0)))</f>
        <v>0</v>
      </c>
      <c r="T16" s="35">
        <f>IF(E16="✔",各種設定金額!$Q$2,0)</f>
        <v>0</v>
      </c>
      <c r="U16" s="35">
        <f t="shared" si="0"/>
        <v>0</v>
      </c>
    </row>
    <row r="17" spans="1:21" ht="20.100000000000001" customHeight="1" x14ac:dyDescent="0.15">
      <c r="A17" s="31" t="str">
        <f>IF(B17="","",IF(SUBTOTAL(103,B17)=0,"",SUBTOTAL(103,$B$2:B17)))</f>
        <v/>
      </c>
      <c r="B17" s="31" t="str">
        <f>INDEX(Sheet1!$B:$B,ROWS($A$2:$A17)+1)&amp;""</f>
        <v/>
      </c>
      <c r="C17" s="82"/>
      <c r="D17" s="82"/>
      <c r="E17" s="82"/>
      <c r="F17" s="82"/>
      <c r="G17" s="82"/>
      <c r="H17" s="82"/>
      <c r="I17" s="35" t="str">
        <f>IF(OR(C17="✔",AND(C17="",D17&lt;&gt;"")),各種設定金額!$B$2,IF(C17="2️⃣",各種設定金額!$B$3,IF(AND(C17="",E17="✔"),各種設定金額!$B$4,IF(AND(C17="",E17="",F17="✔"),各種設定金額!$B$5,""))))</f>
        <v/>
      </c>
      <c r="J17" s="35">
        <f>IF(B17&lt;&gt;"",各種設定金額!$C$2,0)</f>
        <v>0</v>
      </c>
      <c r="K17" s="35">
        <f>IF(INDEX(Sheet1!$CF:$CF,ROWS($A$2:$A17)+1)&lt;&gt;"",0,IF(C17="✔",IF(H17="◯",IF(G17="◯",各種設定金額!$H$4,各種設定金額!$H$5),IF(G17="◯",各種設定金額!$H$3,各種設定金額!$H$2)),IF(C17="2️⃣",IF(G17="◯",各種設定金額!$I$3,各種設定金額!$I$2),0)))</f>
        <v>0</v>
      </c>
      <c r="L17" s="35">
        <f>IF(OR(C17="✔",C17="2️⃣"),各種設定金額!$M$2,0)</f>
        <v>0</v>
      </c>
      <c r="M17" s="35">
        <f>IF(INDEX(Sheet1!$CF:$CF,ROWS($A$2:$A17)+1)&lt;&gt;"",0,IF(E17="✔",IF(H17="◯",IF(G17="◯",各種設定金額!$J$4,各種設定金額!$J$5),IF(G17="◯",各種設定金額!$J$3,各種設定金額!$J$2)),0))</f>
        <v>0</v>
      </c>
      <c r="N17" s="35">
        <f>IF(E17="✔",各種設定金額!$M$2,0)</f>
        <v>0</v>
      </c>
      <c r="O17" s="35">
        <f>IF(INDEX(Sheet1!$CF:$CF,ROWS($A$2:$A17)+1)&lt;&gt;"",0,IF(F17="✔",IF(H17="◯",IF(G17="◯",各種設定金額!$K$4,各種設定金額!$K$5),IF(G17="◯",各種設定金額!$K$3,各種設定金額!$K$2)),0))</f>
        <v>0</v>
      </c>
      <c r="P17" s="35">
        <f>IF(F17="✔",各種設定金額!$M$2,0)</f>
        <v>0</v>
      </c>
      <c r="Q17" s="35">
        <f>IF(B17&lt;&gt;"",各種設定金額!$D$2,0)</f>
        <v>0</v>
      </c>
      <c r="R17" s="84"/>
      <c r="S17" s="35">
        <f>IF(D17="A",各種設定金額!$P$2,IF(D17="B",各種設定金額!$P$3,IF(D17="C",各種設定金額!$P$4,0)))</f>
        <v>0</v>
      </c>
      <c r="T17" s="35">
        <f>IF(E17="✔",各種設定金額!$Q$2,0)</f>
        <v>0</v>
      </c>
      <c r="U17" s="35">
        <f t="shared" si="0"/>
        <v>0</v>
      </c>
    </row>
    <row r="18" spans="1:21" ht="20.100000000000001" customHeight="1" x14ac:dyDescent="0.15">
      <c r="A18" s="31" t="str">
        <f>IF(B18="","",IF(SUBTOTAL(103,B18)=0,"",SUBTOTAL(103,$B$2:B18)))</f>
        <v/>
      </c>
      <c r="B18" s="31" t="str">
        <f>INDEX(Sheet1!$B:$B,ROWS($A$2:$A18)+1)&amp;""</f>
        <v/>
      </c>
      <c r="C18" s="82"/>
      <c r="D18" s="82"/>
      <c r="E18" s="82"/>
      <c r="F18" s="82"/>
      <c r="G18" s="82"/>
      <c r="H18" s="82"/>
      <c r="I18" s="35" t="str">
        <f>IF(OR(C18="✔",AND(C18="",D18&lt;&gt;"")),各種設定金額!$B$2,IF(C18="2️⃣",各種設定金額!$B$3,IF(AND(C18="",E18="✔"),各種設定金額!$B$4,IF(AND(C18="",E18="",F18="✔"),各種設定金額!$B$5,""))))</f>
        <v/>
      </c>
      <c r="J18" s="35">
        <f>IF(B18&lt;&gt;"",各種設定金額!$C$2,0)</f>
        <v>0</v>
      </c>
      <c r="K18" s="35">
        <f>IF(INDEX(Sheet1!$CF:$CF,ROWS($A$2:$A18)+1)&lt;&gt;"",0,IF(C18="✔",IF(H18="◯",IF(G18="◯",各種設定金額!$H$4,各種設定金額!$H$5),IF(G18="◯",各種設定金額!$H$3,各種設定金額!$H$2)),IF(C18="2️⃣",IF(G18="◯",各種設定金額!$I$3,各種設定金額!$I$2),0)))</f>
        <v>0</v>
      </c>
      <c r="L18" s="35">
        <f>IF(OR(C18="✔",C18="2️⃣"),各種設定金額!$M$2,0)</f>
        <v>0</v>
      </c>
      <c r="M18" s="35">
        <f>IF(INDEX(Sheet1!$CF:$CF,ROWS($A$2:$A18)+1)&lt;&gt;"",0,IF(E18="✔",IF(H18="◯",IF(G18="◯",各種設定金額!$J$4,各種設定金額!$J$5),IF(G18="◯",各種設定金額!$J$3,各種設定金額!$J$2)),0))</f>
        <v>0</v>
      </c>
      <c r="N18" s="35">
        <f>IF(E18="✔",各種設定金額!$M$2,0)</f>
        <v>0</v>
      </c>
      <c r="O18" s="35">
        <f>IF(INDEX(Sheet1!$CF:$CF,ROWS($A$2:$A18)+1)&lt;&gt;"",0,IF(F18="✔",IF(H18="◯",IF(G18="◯",各種設定金額!$K$4,各種設定金額!$K$5),IF(G18="◯",各種設定金額!$K$3,各種設定金額!$K$2)),0))</f>
        <v>0</v>
      </c>
      <c r="P18" s="35">
        <f>IF(F18="✔",各種設定金額!$M$2,0)</f>
        <v>0</v>
      </c>
      <c r="Q18" s="35">
        <f>IF(B18&lt;&gt;"",各種設定金額!$D$2,0)</f>
        <v>0</v>
      </c>
      <c r="R18" s="84"/>
      <c r="S18" s="35">
        <f>IF(D18="A",各種設定金額!$P$2,IF(D18="B",各種設定金額!$P$3,IF(D18="C",各種設定金額!$P$4,0)))</f>
        <v>0</v>
      </c>
      <c r="T18" s="35">
        <f>IF(E18="✔",各種設定金額!$Q$2,0)</f>
        <v>0</v>
      </c>
      <c r="U18" s="35">
        <f t="shared" si="0"/>
        <v>0</v>
      </c>
    </row>
    <row r="19" spans="1:21" ht="20.100000000000001" customHeight="1" x14ac:dyDescent="0.15">
      <c r="A19" s="31" t="str">
        <f>IF(B19="","",IF(SUBTOTAL(103,B19)=0,"",SUBTOTAL(103,$B$2:B19)))</f>
        <v/>
      </c>
      <c r="B19" s="31" t="str">
        <f>INDEX(Sheet1!$B:$B,ROWS($A$2:$A19)+1)&amp;""</f>
        <v/>
      </c>
      <c r="C19" s="83"/>
      <c r="D19" s="82"/>
      <c r="E19" s="82"/>
      <c r="F19" s="82"/>
      <c r="G19" s="82"/>
      <c r="H19" s="82"/>
      <c r="I19" s="35" t="str">
        <f>IF(OR(C19="✔",AND(C19="",D19&lt;&gt;"")),各種設定金額!$B$2,IF(C19="2️⃣",各種設定金額!$B$3,IF(AND(C19="",E19="✔"),各種設定金額!$B$4,IF(AND(C19="",E19="",F19="✔"),各種設定金額!$B$5,""))))</f>
        <v/>
      </c>
      <c r="J19" s="35">
        <f>IF(B19&lt;&gt;"",各種設定金額!$C$2,0)</f>
        <v>0</v>
      </c>
      <c r="K19" s="35">
        <f>IF(INDEX(Sheet1!$CF:$CF,ROWS($A$2:$A19)+1)&lt;&gt;"",0,IF(C19="✔",IF(H19="◯",IF(G19="◯",各種設定金額!$H$4,各種設定金額!$H$5),IF(G19="◯",各種設定金額!$H$3,各種設定金額!$H$2)),IF(C19="2️⃣",IF(G19="◯",各種設定金額!$I$3,各種設定金額!$I$2),0)))</f>
        <v>0</v>
      </c>
      <c r="L19" s="35">
        <f>IF(OR(C19="✔",C19="2️⃣"),各種設定金額!$M$2,0)</f>
        <v>0</v>
      </c>
      <c r="M19" s="35">
        <f>IF(INDEX(Sheet1!$CF:$CF,ROWS($A$2:$A19)+1)&lt;&gt;"",0,IF(E19="✔",IF(H19="◯",IF(G19="◯",各種設定金額!$J$4,各種設定金額!$J$5),IF(G19="◯",各種設定金額!$J$3,各種設定金額!$J$2)),0))</f>
        <v>0</v>
      </c>
      <c r="N19" s="35">
        <f>IF(E19="✔",各種設定金額!$M$2,0)</f>
        <v>0</v>
      </c>
      <c r="O19" s="35">
        <f>IF(INDEX(Sheet1!$CF:$CF,ROWS($A$2:$A19)+1)&lt;&gt;"",0,IF(F19="✔",IF(H19="◯",IF(G19="◯",各種設定金額!$K$4,各種設定金額!$K$5),IF(G19="◯",各種設定金額!$K$3,各種設定金額!$K$2)),0))</f>
        <v>0</v>
      </c>
      <c r="P19" s="35">
        <f>IF(F19="✔",各種設定金額!$M$2,0)</f>
        <v>0</v>
      </c>
      <c r="Q19" s="35">
        <f>IF(B19&lt;&gt;"",各種設定金額!$D$2,0)</f>
        <v>0</v>
      </c>
      <c r="R19" s="84"/>
      <c r="S19" s="35">
        <f>IF(D19="A",各種設定金額!$P$2,IF(D19="B",各種設定金額!$P$3,IF(D19="C",各種設定金額!$P$4,0)))</f>
        <v>0</v>
      </c>
      <c r="T19" s="35">
        <f>IF(E19="✔",各種設定金額!$Q$2,0)</f>
        <v>0</v>
      </c>
      <c r="U19" s="35">
        <f t="shared" si="0"/>
        <v>0</v>
      </c>
    </row>
    <row r="20" spans="1:21" ht="20.100000000000001" customHeight="1" x14ac:dyDescent="0.15">
      <c r="A20" s="31" t="str">
        <f>IF(B20="","",IF(SUBTOTAL(103,B20)=0,"",SUBTOTAL(103,$B$2:B20)))</f>
        <v/>
      </c>
      <c r="B20" s="31" t="str">
        <f>INDEX(Sheet1!$B:$B,ROWS($A$2:$A20)+1)&amp;""</f>
        <v/>
      </c>
      <c r="C20" s="82"/>
      <c r="D20" s="82"/>
      <c r="E20" s="82"/>
      <c r="F20" s="82"/>
      <c r="G20" s="82"/>
      <c r="H20" s="82"/>
      <c r="I20" s="35" t="str">
        <f>IF(OR(C20="✔",AND(C20="",D20&lt;&gt;"")),各種設定金額!$B$2,IF(C20="2️⃣",各種設定金額!$B$3,IF(AND(C20="",E20="✔"),各種設定金額!$B$4,IF(AND(C20="",E20="",F20="✔"),各種設定金額!$B$5,""))))</f>
        <v/>
      </c>
      <c r="J20" s="35">
        <f>IF(B20&lt;&gt;"",各種設定金額!$C$2,0)</f>
        <v>0</v>
      </c>
      <c r="K20" s="35">
        <f>IF(INDEX(Sheet1!$CF:$CF,ROWS($A$2:$A20)+1)&lt;&gt;"",0,IF(C20="✔",IF(H20="◯",IF(G20="◯",各種設定金額!$H$4,各種設定金額!$H$5),IF(G20="◯",各種設定金額!$H$3,各種設定金額!$H$2)),IF(C20="2️⃣",IF(G20="◯",各種設定金額!$I$3,各種設定金額!$I$2),0)))</f>
        <v>0</v>
      </c>
      <c r="L20" s="35">
        <f>IF(OR(C20="✔",C20="2️⃣"),各種設定金額!$M$2,0)</f>
        <v>0</v>
      </c>
      <c r="M20" s="35">
        <f>IF(INDEX(Sheet1!$CF:$CF,ROWS($A$2:$A20)+1)&lt;&gt;"",0,IF(E20="✔",IF(H20="◯",IF(G20="◯",各種設定金額!$J$4,各種設定金額!$J$5),IF(G20="◯",各種設定金額!$J$3,各種設定金額!$J$2)),0))</f>
        <v>0</v>
      </c>
      <c r="N20" s="35">
        <f>IF(E20="✔",各種設定金額!$M$2,0)</f>
        <v>0</v>
      </c>
      <c r="O20" s="35">
        <f>IF(INDEX(Sheet1!$CF:$CF,ROWS($A$2:$A20)+1)&lt;&gt;"",0,IF(F20="✔",IF(H20="◯",IF(G20="◯",各種設定金額!$K$4,各種設定金額!$K$5),IF(G20="◯",各種設定金額!$K$3,各種設定金額!$K$2)),0))</f>
        <v>0</v>
      </c>
      <c r="P20" s="35">
        <f>IF(F20="✔",各種設定金額!$M$2,0)</f>
        <v>0</v>
      </c>
      <c r="Q20" s="35">
        <f>IF(B20&lt;&gt;"",各種設定金額!$D$2,0)</f>
        <v>0</v>
      </c>
      <c r="R20" s="84"/>
      <c r="S20" s="35">
        <f>IF(D20="A",各種設定金額!$P$2,IF(D20="B",各種設定金額!$P$3,IF(D20="C",各種設定金額!$P$4,0)))</f>
        <v>0</v>
      </c>
      <c r="T20" s="35">
        <f>IF(E20="✔",各種設定金額!$Q$2,0)</f>
        <v>0</v>
      </c>
      <c r="U20" s="35">
        <f t="shared" si="0"/>
        <v>0</v>
      </c>
    </row>
    <row r="21" spans="1:21" ht="20.100000000000001" customHeight="1" x14ac:dyDescent="0.15">
      <c r="A21" s="31" t="str">
        <f>IF(B21="","",IF(SUBTOTAL(103,B21)=0,"",SUBTOTAL(103,$B$2:B21)))</f>
        <v/>
      </c>
      <c r="B21" s="31" t="str">
        <f>INDEX(Sheet1!$B:$B,ROWS($A$2:$A21)+1)&amp;""</f>
        <v/>
      </c>
      <c r="C21" s="82"/>
      <c r="D21" s="82"/>
      <c r="E21" s="82"/>
      <c r="F21" s="82"/>
      <c r="G21" s="82"/>
      <c r="H21" s="82"/>
      <c r="I21" s="35" t="str">
        <f>IF(OR(C21="✔",AND(C21="",D21&lt;&gt;"")),各種設定金額!$B$2,IF(C21="2️⃣",各種設定金額!$B$3,IF(AND(C21="",E21="✔"),各種設定金額!$B$4,IF(AND(C21="",E21="",F21="✔"),各種設定金額!$B$5,""))))</f>
        <v/>
      </c>
      <c r="J21" s="35">
        <f>IF(B21&lt;&gt;"",各種設定金額!$C$2,0)</f>
        <v>0</v>
      </c>
      <c r="K21" s="35">
        <f>IF(INDEX(Sheet1!$CF:$CF,ROWS($A$2:$A21)+1)&lt;&gt;"",0,IF(C21="✔",IF(H21="◯",IF(G21="◯",各種設定金額!$H$4,各種設定金額!$H$5),IF(G21="◯",各種設定金額!$H$3,各種設定金額!$H$2)),IF(C21="2️⃣",IF(G21="◯",各種設定金額!$I$3,各種設定金額!$I$2),0)))</f>
        <v>0</v>
      </c>
      <c r="L21" s="35">
        <f>IF(OR(C21="✔",C21="2️⃣"),各種設定金額!$M$2,0)</f>
        <v>0</v>
      </c>
      <c r="M21" s="35">
        <f>IF(INDEX(Sheet1!$CF:$CF,ROWS($A$2:$A21)+1)&lt;&gt;"",0,IF(E21="✔",IF(H21="◯",IF(G21="◯",各種設定金額!$J$4,各種設定金額!$J$5),IF(G21="◯",各種設定金額!$J$3,各種設定金額!$J$2)),0))</f>
        <v>0</v>
      </c>
      <c r="N21" s="35">
        <f>IF(E21="✔",各種設定金額!$M$2,0)</f>
        <v>0</v>
      </c>
      <c r="O21" s="35">
        <f>IF(INDEX(Sheet1!$CF:$CF,ROWS($A$2:$A21)+1)&lt;&gt;"",0,IF(F21="✔",IF(H21="◯",IF(G21="◯",各種設定金額!$K$4,各種設定金額!$K$5),IF(G21="◯",各種設定金額!$K$3,各種設定金額!$K$2)),0))</f>
        <v>0</v>
      </c>
      <c r="P21" s="35">
        <f>IF(F21="✔",各種設定金額!$M$2,0)</f>
        <v>0</v>
      </c>
      <c r="Q21" s="35">
        <f>IF(B21&lt;&gt;"",各種設定金額!$D$2,0)</f>
        <v>0</v>
      </c>
      <c r="R21" s="84"/>
      <c r="S21" s="35">
        <f>IF(D21="A",各種設定金額!$P$2,IF(D21="B",各種設定金額!$P$3,IF(D21="C",各種設定金額!$P$4,0)))</f>
        <v>0</v>
      </c>
      <c r="T21" s="35">
        <f>IF(E21="✔",各種設定金額!$Q$2,0)</f>
        <v>0</v>
      </c>
      <c r="U21" s="35">
        <f t="shared" si="0"/>
        <v>0</v>
      </c>
    </row>
    <row r="22" spans="1:21" ht="20.100000000000001" customHeight="1" x14ac:dyDescent="0.15">
      <c r="A22" s="31" t="str">
        <f>IF(B22="","",IF(SUBTOTAL(103,B22)=0,"",SUBTOTAL(103,$B$2:B22)))</f>
        <v/>
      </c>
      <c r="B22" s="31" t="str">
        <f>INDEX(Sheet1!$B:$B,ROWS($A$2:$A22)+1)&amp;""</f>
        <v/>
      </c>
      <c r="C22" s="82"/>
      <c r="D22" s="82"/>
      <c r="E22" s="82"/>
      <c r="F22" s="82"/>
      <c r="G22" s="82"/>
      <c r="H22" s="82"/>
      <c r="I22" s="35" t="str">
        <f>IF(OR(C22="✔",AND(C22="",D22&lt;&gt;"")),各種設定金額!$B$2,IF(C22="2️⃣",各種設定金額!$B$3,IF(AND(C22="",E22="✔"),各種設定金額!$B$4,IF(AND(C22="",E22="",F22="✔"),各種設定金額!$B$5,""))))</f>
        <v/>
      </c>
      <c r="J22" s="35">
        <f>IF(B22&lt;&gt;"",各種設定金額!$C$2,0)</f>
        <v>0</v>
      </c>
      <c r="K22" s="35">
        <f>IF(INDEX(Sheet1!$CF:$CF,ROWS($A$2:$A22)+1)&lt;&gt;"",0,IF(C22="✔",IF(H22="◯",IF(G22="◯",各種設定金額!$H$4,各種設定金額!$H$5),IF(G22="◯",各種設定金額!$H$3,各種設定金額!$H$2)),IF(C22="2️⃣",IF(G22="◯",各種設定金額!$I$3,各種設定金額!$I$2),0)))</f>
        <v>0</v>
      </c>
      <c r="L22" s="35">
        <f>IF(OR(C22="✔",C22="2️⃣"),各種設定金額!$M$2,0)</f>
        <v>0</v>
      </c>
      <c r="M22" s="35">
        <f>IF(INDEX(Sheet1!$CF:$CF,ROWS($A$2:$A22)+1)&lt;&gt;"",0,IF(E22="✔",IF(H22="◯",IF(G22="◯",各種設定金額!$J$4,各種設定金額!$J$5),IF(G22="◯",各種設定金額!$J$3,各種設定金額!$J$2)),0))</f>
        <v>0</v>
      </c>
      <c r="N22" s="35">
        <f>IF(E22="✔",各種設定金額!$M$2,0)</f>
        <v>0</v>
      </c>
      <c r="O22" s="35">
        <f>IF(INDEX(Sheet1!$CF:$CF,ROWS($A$2:$A22)+1)&lt;&gt;"",0,IF(F22="✔",IF(H22="◯",IF(G22="◯",各種設定金額!$K$4,各種設定金額!$K$5),IF(G22="◯",各種設定金額!$K$3,各種設定金額!$K$2)),0))</f>
        <v>0</v>
      </c>
      <c r="P22" s="35">
        <f>IF(F22="✔",各種設定金額!$M$2,0)</f>
        <v>0</v>
      </c>
      <c r="Q22" s="35">
        <f>IF(B22&lt;&gt;"",各種設定金額!$D$2,0)</f>
        <v>0</v>
      </c>
      <c r="R22" s="84"/>
      <c r="S22" s="35">
        <f>IF(D22="A",各種設定金額!$P$2,IF(D22="B",各種設定金額!$P$3,IF(D22="C",各種設定金額!$P$4,0)))</f>
        <v>0</v>
      </c>
      <c r="T22" s="35">
        <f>IF(E22="✔",各種設定金額!$Q$2,0)</f>
        <v>0</v>
      </c>
      <c r="U22" s="35">
        <f t="shared" si="0"/>
        <v>0</v>
      </c>
    </row>
    <row r="23" spans="1:21" ht="20.100000000000001" customHeight="1" x14ac:dyDescent="0.15">
      <c r="A23" s="31" t="str">
        <f>IF(B23="","",IF(SUBTOTAL(103,B23)=0,"",SUBTOTAL(103,$B$2:B23)))</f>
        <v/>
      </c>
      <c r="B23" s="31" t="str">
        <f>INDEX(Sheet1!$B:$B,ROWS($A$2:$A23)+1)&amp;""</f>
        <v/>
      </c>
      <c r="C23" s="82"/>
      <c r="D23" s="82"/>
      <c r="E23" s="82"/>
      <c r="F23" s="82"/>
      <c r="G23" s="82"/>
      <c r="H23" s="82"/>
      <c r="I23" s="35" t="str">
        <f>IF(OR(C23="✔",AND(C23="",D23&lt;&gt;"")),各種設定金額!$B$2,IF(C23="2️⃣",各種設定金額!$B$3,IF(AND(C23="",E23="✔"),各種設定金額!$B$4,IF(AND(C23="",E23="",F23="✔"),各種設定金額!$B$5,""))))</f>
        <v/>
      </c>
      <c r="J23" s="35">
        <f>IF(B23&lt;&gt;"",各種設定金額!$C$2,0)</f>
        <v>0</v>
      </c>
      <c r="K23" s="35">
        <f>IF(INDEX(Sheet1!$CF:$CF,ROWS($A$2:$A23)+1)&lt;&gt;"",0,IF(C23="✔",IF(H23="◯",IF(G23="◯",各種設定金額!$H$4,各種設定金額!$H$5),IF(G23="◯",各種設定金額!$H$3,各種設定金額!$H$2)),IF(C23="2️⃣",IF(G23="◯",各種設定金額!$I$3,各種設定金額!$I$2),0)))</f>
        <v>0</v>
      </c>
      <c r="L23" s="35">
        <f>IF(OR(C23="✔",C23="2️⃣"),各種設定金額!$M$2,0)</f>
        <v>0</v>
      </c>
      <c r="M23" s="35">
        <f>IF(INDEX(Sheet1!$CF:$CF,ROWS($A$2:$A23)+1)&lt;&gt;"",0,IF(E23="✔",IF(H23="◯",IF(G23="◯",各種設定金額!$J$4,各種設定金額!$J$5),IF(G23="◯",各種設定金額!$J$3,各種設定金額!$J$2)),0))</f>
        <v>0</v>
      </c>
      <c r="N23" s="35">
        <f>IF(E23="✔",各種設定金額!$M$2,0)</f>
        <v>0</v>
      </c>
      <c r="O23" s="35">
        <f>IF(INDEX(Sheet1!$CF:$CF,ROWS($A$2:$A23)+1)&lt;&gt;"",0,IF(F23="✔",IF(H23="◯",IF(G23="◯",各種設定金額!$K$4,各種設定金額!$K$5),IF(G23="◯",各種設定金額!$K$3,各種設定金額!$K$2)),0))</f>
        <v>0</v>
      </c>
      <c r="P23" s="35">
        <f>IF(F23="✔",各種設定金額!$M$2,0)</f>
        <v>0</v>
      </c>
      <c r="Q23" s="35">
        <f>IF(B23&lt;&gt;"",各種設定金額!$D$2,0)</f>
        <v>0</v>
      </c>
      <c r="R23" s="84"/>
      <c r="S23" s="35">
        <f>IF(D23="A",各種設定金額!$P$2,IF(D23="B",各種設定金額!$P$3,IF(D23="C",各種設定金額!$P$4,0)))</f>
        <v>0</v>
      </c>
      <c r="T23" s="35">
        <f>IF(E23="✔",各種設定金額!$Q$2,0)</f>
        <v>0</v>
      </c>
      <c r="U23" s="35">
        <f t="shared" si="0"/>
        <v>0</v>
      </c>
    </row>
    <row r="24" spans="1:21" ht="20.100000000000001" customHeight="1" x14ac:dyDescent="0.15">
      <c r="A24" s="31" t="str">
        <f>IF(B24="","",IF(SUBTOTAL(103,B24)=0,"",SUBTOTAL(103,$B$2:B24)))</f>
        <v/>
      </c>
      <c r="B24" s="31" t="str">
        <f>INDEX(Sheet1!$B:$B,ROWS($A$2:$A24)+1)&amp;""</f>
        <v/>
      </c>
      <c r="C24" s="82"/>
      <c r="D24" s="82"/>
      <c r="E24" s="82"/>
      <c r="F24" s="82"/>
      <c r="G24" s="82"/>
      <c r="H24" s="82"/>
      <c r="I24" s="35" t="str">
        <f>IF(OR(C24="✔",AND(C24="",D24&lt;&gt;"")),各種設定金額!$B$2,IF(C24="2️⃣",各種設定金額!$B$3,IF(AND(C24="",E24="✔"),各種設定金額!$B$4,IF(AND(C24="",E24="",F24="✔"),各種設定金額!$B$5,""))))</f>
        <v/>
      </c>
      <c r="J24" s="35">
        <f>IF(B24&lt;&gt;"",各種設定金額!$C$2,0)</f>
        <v>0</v>
      </c>
      <c r="K24" s="35">
        <f>IF(INDEX(Sheet1!$CF:$CF,ROWS($A$2:$A24)+1)&lt;&gt;"",0,IF(C24="✔",IF(H24="◯",IF(G24="◯",各種設定金額!$H$4,各種設定金額!$H$5),IF(G24="◯",各種設定金額!$H$3,各種設定金額!$H$2)),IF(C24="2️⃣",IF(G24="◯",各種設定金額!$I$3,各種設定金額!$I$2),0)))</f>
        <v>0</v>
      </c>
      <c r="L24" s="35">
        <f>IF(OR(C24="✔",C24="2️⃣"),各種設定金額!$M$2,0)</f>
        <v>0</v>
      </c>
      <c r="M24" s="35">
        <f>IF(INDEX(Sheet1!$CF:$CF,ROWS($A$2:$A24)+1)&lt;&gt;"",0,IF(E24="✔",IF(H24="◯",IF(G24="◯",各種設定金額!$J$4,各種設定金額!$J$5),IF(G24="◯",各種設定金額!$J$3,各種設定金額!$J$2)),0))</f>
        <v>0</v>
      </c>
      <c r="N24" s="35">
        <f>IF(E24="✔",各種設定金額!$M$2,0)</f>
        <v>0</v>
      </c>
      <c r="O24" s="35">
        <f>IF(INDEX(Sheet1!$CF:$CF,ROWS($A$2:$A24)+1)&lt;&gt;"",0,IF(F24="✔",IF(H24="◯",IF(G24="◯",各種設定金額!$K$4,各種設定金額!$K$5),IF(G24="◯",各種設定金額!$K$3,各種設定金額!$K$2)),0))</f>
        <v>0</v>
      </c>
      <c r="P24" s="35">
        <f>IF(F24="✔",各種設定金額!$M$2,0)</f>
        <v>0</v>
      </c>
      <c r="Q24" s="35">
        <f>IF(B24&lt;&gt;"",各種設定金額!$D$2,0)</f>
        <v>0</v>
      </c>
      <c r="R24" s="84"/>
      <c r="S24" s="35">
        <f>IF(D24="A",各種設定金額!$P$2,IF(D24="B",各種設定金額!$P$3,IF(D24="C",各種設定金額!$P$4,0)))</f>
        <v>0</v>
      </c>
      <c r="T24" s="35">
        <f>IF(E24="✔",各種設定金額!$Q$2,0)</f>
        <v>0</v>
      </c>
      <c r="U24" s="35">
        <f t="shared" si="0"/>
        <v>0</v>
      </c>
    </row>
    <row r="25" spans="1:21" ht="20.100000000000001" customHeight="1" x14ac:dyDescent="0.15">
      <c r="A25" s="31" t="str">
        <f>IF(B25="","",IF(SUBTOTAL(103,B25)=0,"",SUBTOTAL(103,$B$2:B25)))</f>
        <v/>
      </c>
      <c r="B25" s="31" t="str">
        <f>INDEX(Sheet1!$B:$B,ROWS($A$2:$A25)+1)&amp;""</f>
        <v/>
      </c>
      <c r="C25" s="82"/>
      <c r="D25" s="82"/>
      <c r="E25" s="82"/>
      <c r="F25" s="82"/>
      <c r="G25" s="82"/>
      <c r="H25" s="82"/>
      <c r="I25" s="35" t="str">
        <f>IF(OR(C25="✔",AND(C25="",D25&lt;&gt;"")),各種設定金額!$B$2,IF(C25="2️⃣",各種設定金額!$B$3,IF(AND(C25="",E25="✔"),各種設定金額!$B$4,IF(AND(C25="",E25="",F25="✔"),各種設定金額!$B$5,""))))</f>
        <v/>
      </c>
      <c r="J25" s="35">
        <f>IF(B25&lt;&gt;"",各種設定金額!$C$2,0)</f>
        <v>0</v>
      </c>
      <c r="K25" s="35">
        <f>IF(INDEX(Sheet1!$CF:$CF,ROWS($A$2:$A25)+1)&lt;&gt;"",0,IF(C25="✔",IF(H25="◯",IF(G25="◯",各種設定金額!$H$4,各種設定金額!$H$5),IF(G25="◯",各種設定金額!$H$3,各種設定金額!$H$2)),IF(C25="2️⃣",IF(G25="◯",各種設定金額!$I$3,各種設定金額!$I$2),0)))</f>
        <v>0</v>
      </c>
      <c r="L25" s="35">
        <f>IF(OR(C25="✔",C25="2️⃣"),各種設定金額!$M$2,0)</f>
        <v>0</v>
      </c>
      <c r="M25" s="35">
        <f>IF(INDEX(Sheet1!$CF:$CF,ROWS($A$2:$A25)+1)&lt;&gt;"",0,IF(E25="✔",IF(H25="◯",IF(G25="◯",各種設定金額!$J$4,各種設定金額!$J$5),IF(G25="◯",各種設定金額!$J$3,各種設定金額!$J$2)),0))</f>
        <v>0</v>
      </c>
      <c r="N25" s="35">
        <f>IF(E25="✔",各種設定金額!$M$2,0)</f>
        <v>0</v>
      </c>
      <c r="O25" s="35">
        <f>IF(INDEX(Sheet1!$CF:$CF,ROWS($A$2:$A25)+1)&lt;&gt;"",0,IF(F25="✔",IF(H25="◯",IF(G25="◯",各種設定金額!$K$4,各種設定金額!$K$5),IF(G25="◯",各種設定金額!$K$3,各種設定金額!$K$2)),0))</f>
        <v>0</v>
      </c>
      <c r="P25" s="35">
        <f>IF(F25="✔",各種設定金額!$M$2,0)</f>
        <v>0</v>
      </c>
      <c r="Q25" s="35">
        <f>IF(B25&lt;&gt;"",各種設定金額!$D$2,0)</f>
        <v>0</v>
      </c>
      <c r="R25" s="84"/>
      <c r="S25" s="35">
        <f>IF(D25="A",各種設定金額!$P$2,IF(D25="B",各種設定金額!$P$3,IF(D25="C",各種設定金額!$P$4,0)))</f>
        <v>0</v>
      </c>
      <c r="T25" s="35">
        <f>IF(E25="✔",各種設定金額!$Q$2,0)</f>
        <v>0</v>
      </c>
      <c r="U25" s="35">
        <f t="shared" si="0"/>
        <v>0</v>
      </c>
    </row>
    <row r="26" spans="1:21" ht="20.100000000000001" customHeight="1" x14ac:dyDescent="0.15">
      <c r="A26" s="31" t="str">
        <f>IF(B26="","",IF(SUBTOTAL(103,B26)=0,"",SUBTOTAL(103,$B$2:B26)))</f>
        <v/>
      </c>
      <c r="B26" s="31" t="str">
        <f>INDEX(Sheet1!$B:$B,ROWS($A$2:$A26)+1)&amp;""</f>
        <v/>
      </c>
      <c r="C26" s="82"/>
      <c r="D26" s="82"/>
      <c r="E26" s="82"/>
      <c r="F26" s="82"/>
      <c r="G26" s="82"/>
      <c r="H26" s="82"/>
      <c r="I26" s="35" t="str">
        <f>IF(OR(C26="✔",AND(C26="",D26&lt;&gt;"")),各種設定金額!$B$2,IF(C26="2️⃣",各種設定金額!$B$3,IF(AND(C26="",E26="✔"),各種設定金額!$B$4,IF(AND(C26="",E26="",F26="✔"),各種設定金額!$B$5,""))))</f>
        <v/>
      </c>
      <c r="J26" s="35">
        <f>IF(B26&lt;&gt;"",各種設定金額!$C$2,0)</f>
        <v>0</v>
      </c>
      <c r="K26" s="35">
        <f>IF(INDEX(Sheet1!$CF:$CF,ROWS($A$2:$A26)+1)&lt;&gt;"",0,IF(C26="✔",IF(H26="◯",IF(G26="◯",各種設定金額!$H$4,各種設定金額!$H$5),IF(G26="◯",各種設定金額!$H$3,各種設定金額!$H$2)),IF(C26="2️⃣",IF(G26="◯",各種設定金額!$I$3,各種設定金額!$I$2),0)))</f>
        <v>0</v>
      </c>
      <c r="L26" s="35">
        <f>IF(OR(C26="✔",C26="2️⃣"),各種設定金額!$M$2,0)</f>
        <v>0</v>
      </c>
      <c r="M26" s="35">
        <f>IF(INDEX(Sheet1!$CF:$CF,ROWS($A$2:$A26)+1)&lt;&gt;"",0,IF(E26="✔",IF(H26="◯",IF(G26="◯",各種設定金額!$J$4,各種設定金額!$J$5),IF(G26="◯",各種設定金額!$J$3,各種設定金額!$J$2)),0))</f>
        <v>0</v>
      </c>
      <c r="N26" s="35">
        <f>IF(E26="✔",各種設定金額!$M$2,0)</f>
        <v>0</v>
      </c>
      <c r="O26" s="35">
        <f>IF(INDEX(Sheet1!$CF:$CF,ROWS($A$2:$A26)+1)&lt;&gt;"",0,IF(F26="✔",IF(H26="◯",IF(G26="◯",各種設定金額!$K$4,各種設定金額!$K$5),IF(G26="◯",各種設定金額!$K$3,各種設定金額!$K$2)),0))</f>
        <v>0</v>
      </c>
      <c r="P26" s="35">
        <f>IF(F26="✔",各種設定金額!$M$2,0)</f>
        <v>0</v>
      </c>
      <c r="Q26" s="35">
        <f>IF(B26&lt;&gt;"",各種設定金額!$D$2,0)</f>
        <v>0</v>
      </c>
      <c r="R26" s="84"/>
      <c r="S26" s="35">
        <f>IF(D26="A",各種設定金額!$P$2,IF(D26="B",各種設定金額!$P$3,IF(D26="C",各種設定金額!$P$4,0)))</f>
        <v>0</v>
      </c>
      <c r="T26" s="35">
        <f>IF(E26="✔",各種設定金額!$Q$2,0)</f>
        <v>0</v>
      </c>
      <c r="U26" s="35">
        <f t="shared" si="0"/>
        <v>0</v>
      </c>
    </row>
    <row r="27" spans="1:21" ht="20.100000000000001" customHeight="1" x14ac:dyDescent="0.15">
      <c r="A27" s="31" t="str">
        <f>IF(B27="","",IF(SUBTOTAL(103,B27)=0,"",SUBTOTAL(103,$B$2:B27)))</f>
        <v/>
      </c>
      <c r="B27" s="31" t="str">
        <f>INDEX(Sheet1!$B:$B,ROWS($A$2:$A27)+1)&amp;""</f>
        <v/>
      </c>
      <c r="C27" s="82"/>
      <c r="D27" s="82"/>
      <c r="E27" s="82"/>
      <c r="F27" s="82"/>
      <c r="G27" s="82"/>
      <c r="H27" s="82"/>
      <c r="I27" s="35" t="str">
        <f>IF(OR(C27="✔",AND(C27="",D27&lt;&gt;"")),各種設定金額!$B$2,IF(C27="2️⃣",各種設定金額!$B$3,IF(AND(C27="",E27="✔"),各種設定金額!$B$4,IF(AND(C27="",E27="",F27="✔"),各種設定金額!$B$5,""))))</f>
        <v/>
      </c>
      <c r="J27" s="35">
        <f>IF(B27&lt;&gt;"",各種設定金額!$C$2,0)</f>
        <v>0</v>
      </c>
      <c r="K27" s="35">
        <f>IF(INDEX(Sheet1!$CF:$CF,ROWS($A$2:$A27)+1)&lt;&gt;"",0,IF(C27="✔",IF(H27="◯",IF(G27="◯",各種設定金額!$H$4,各種設定金額!$H$5),IF(G27="◯",各種設定金額!$H$3,各種設定金額!$H$2)),IF(C27="2️⃣",IF(G27="◯",各種設定金額!$I$3,各種設定金額!$I$2),0)))</f>
        <v>0</v>
      </c>
      <c r="L27" s="35">
        <f>IF(OR(C27="✔",C27="2️⃣"),各種設定金額!$M$2,0)</f>
        <v>0</v>
      </c>
      <c r="M27" s="35">
        <f>IF(INDEX(Sheet1!$CF:$CF,ROWS($A$2:$A27)+1)&lt;&gt;"",0,IF(E27="✔",IF(H27="◯",IF(G27="◯",各種設定金額!$J$4,各種設定金額!$J$5),IF(G27="◯",各種設定金額!$J$3,各種設定金額!$J$2)),0))</f>
        <v>0</v>
      </c>
      <c r="N27" s="35">
        <f>IF(E27="✔",各種設定金額!$M$2,0)</f>
        <v>0</v>
      </c>
      <c r="O27" s="35">
        <f>IF(INDEX(Sheet1!$CF:$CF,ROWS($A$2:$A27)+1)&lt;&gt;"",0,IF(F27="✔",IF(H27="◯",IF(G27="◯",各種設定金額!$K$4,各種設定金額!$K$5),IF(G27="◯",各種設定金額!$K$3,各種設定金額!$K$2)),0))</f>
        <v>0</v>
      </c>
      <c r="P27" s="35">
        <f>IF(F27="✔",各種設定金額!$M$2,0)</f>
        <v>0</v>
      </c>
      <c r="Q27" s="35">
        <f>IF(B27&lt;&gt;"",各種設定金額!$D$2,0)</f>
        <v>0</v>
      </c>
      <c r="R27" s="84"/>
      <c r="S27" s="35">
        <f>IF(D27="A",各種設定金額!$P$2,IF(D27="B",各種設定金額!$P$3,IF(D27="C",各種設定金額!$P$4,0)))</f>
        <v>0</v>
      </c>
      <c r="T27" s="35">
        <f>IF(E27="✔",各種設定金額!$Q$2,0)</f>
        <v>0</v>
      </c>
      <c r="U27" s="35">
        <f t="shared" si="0"/>
        <v>0</v>
      </c>
    </row>
    <row r="28" spans="1:21" ht="20.100000000000001" customHeight="1" x14ac:dyDescent="0.15">
      <c r="A28" s="31" t="str">
        <f>IF(B28="","",IF(SUBTOTAL(103,B28)=0,"",SUBTOTAL(103,$B$2:B28)))</f>
        <v/>
      </c>
      <c r="B28" s="31" t="str">
        <f>INDEX(Sheet1!$B:$B,ROWS($A$2:$A28)+1)&amp;""</f>
        <v/>
      </c>
      <c r="C28" s="82"/>
      <c r="D28" s="82"/>
      <c r="E28" s="82"/>
      <c r="F28" s="82"/>
      <c r="G28" s="82"/>
      <c r="H28" s="82"/>
      <c r="I28" s="35" t="str">
        <f>IF(OR(C28="✔",AND(C28="",D28&lt;&gt;"")),各種設定金額!$B$2,IF(C28="2️⃣",各種設定金額!$B$3,IF(AND(C28="",E28="✔"),各種設定金額!$B$4,IF(AND(C28="",E28="",F28="✔"),各種設定金額!$B$5,""))))</f>
        <v/>
      </c>
      <c r="J28" s="35">
        <f>IF(B28&lt;&gt;"",各種設定金額!$C$2,0)</f>
        <v>0</v>
      </c>
      <c r="K28" s="35">
        <f>IF(INDEX(Sheet1!$CF:$CF,ROWS($A$2:$A28)+1)&lt;&gt;"",0,IF(C28="✔",IF(H28="◯",IF(G28="◯",各種設定金額!$H$4,各種設定金額!$H$5),IF(G28="◯",各種設定金額!$H$3,各種設定金額!$H$2)),IF(C28="2️⃣",IF(G28="◯",各種設定金額!$I$3,各種設定金額!$I$2),0)))</f>
        <v>0</v>
      </c>
      <c r="L28" s="35">
        <f>IF(OR(C28="✔",C28="2️⃣"),各種設定金額!$M$2,0)</f>
        <v>0</v>
      </c>
      <c r="M28" s="35">
        <f>IF(INDEX(Sheet1!$CF:$CF,ROWS($A$2:$A28)+1)&lt;&gt;"",0,IF(E28="✔",IF(H28="◯",IF(G28="◯",各種設定金額!$J$4,各種設定金額!$J$5),IF(G28="◯",各種設定金額!$J$3,各種設定金額!$J$2)),0))</f>
        <v>0</v>
      </c>
      <c r="N28" s="35">
        <f>IF(E28="✔",各種設定金額!$M$2,0)</f>
        <v>0</v>
      </c>
      <c r="O28" s="35">
        <f>IF(INDEX(Sheet1!$CF:$CF,ROWS($A$2:$A28)+1)&lt;&gt;"",0,IF(F28="✔",IF(H28="◯",IF(G28="◯",各種設定金額!$K$4,各種設定金額!$K$5),IF(G28="◯",各種設定金額!$K$3,各種設定金額!$K$2)),0))</f>
        <v>0</v>
      </c>
      <c r="P28" s="35">
        <f>IF(F28="✔",各種設定金額!$M$2,0)</f>
        <v>0</v>
      </c>
      <c r="Q28" s="35">
        <f>IF(B28&lt;&gt;"",各種設定金額!$D$2,0)</f>
        <v>0</v>
      </c>
      <c r="R28" s="84"/>
      <c r="S28" s="35">
        <f>IF(D28="A",各種設定金額!$P$2,IF(D28="B",各種設定金額!$P$3,IF(D28="C",各種設定金額!$P$4,0)))</f>
        <v>0</v>
      </c>
      <c r="T28" s="35">
        <f>IF(E28="✔",各種設定金額!$Q$2,0)</f>
        <v>0</v>
      </c>
      <c r="U28" s="35">
        <f t="shared" si="0"/>
        <v>0</v>
      </c>
    </row>
    <row r="29" spans="1:21" ht="20.100000000000001" customHeight="1" x14ac:dyDescent="0.15">
      <c r="A29" s="31" t="str">
        <f>IF(B29="","",IF(SUBTOTAL(103,B29)=0,"",SUBTOTAL(103,$B$2:B29)))</f>
        <v/>
      </c>
      <c r="B29" s="31" t="str">
        <f>INDEX(Sheet1!$B:$B,ROWS($A$2:$A29)+1)&amp;""</f>
        <v/>
      </c>
      <c r="C29" s="82"/>
      <c r="D29" s="82"/>
      <c r="E29" s="82"/>
      <c r="F29" s="82"/>
      <c r="G29" s="82"/>
      <c r="H29" s="82"/>
      <c r="I29" s="35" t="str">
        <f>IF(OR(C29="✔",AND(C29="",D29&lt;&gt;"")),各種設定金額!$B$2,IF(C29="2️⃣",各種設定金額!$B$3,IF(AND(C29="",E29="✔"),各種設定金額!$B$4,IF(AND(C29="",E29="",F29="✔"),各種設定金額!$B$5,""))))</f>
        <v/>
      </c>
      <c r="J29" s="35">
        <f>IF(B29&lt;&gt;"",各種設定金額!$C$2,0)</f>
        <v>0</v>
      </c>
      <c r="K29" s="35">
        <f>IF(INDEX(Sheet1!$CF:$CF,ROWS($A$2:$A29)+1)&lt;&gt;"",0,IF(C29="✔",IF(H29="◯",IF(G29="◯",各種設定金額!$H$4,各種設定金額!$H$5),IF(G29="◯",各種設定金額!$H$3,各種設定金額!$H$2)),IF(C29="2️⃣",IF(G29="◯",各種設定金額!$I$3,各種設定金額!$I$2),0)))</f>
        <v>0</v>
      </c>
      <c r="L29" s="35">
        <f>IF(OR(C29="✔",C29="2️⃣"),各種設定金額!$M$2,0)</f>
        <v>0</v>
      </c>
      <c r="M29" s="35">
        <f>IF(INDEX(Sheet1!$CF:$CF,ROWS($A$2:$A29)+1)&lt;&gt;"",0,IF(E29="✔",IF(H29="◯",IF(G29="◯",各種設定金額!$J$4,各種設定金額!$J$5),IF(G29="◯",各種設定金額!$J$3,各種設定金額!$J$2)),0))</f>
        <v>0</v>
      </c>
      <c r="N29" s="35">
        <f>IF(E29="✔",各種設定金額!$M$2,0)</f>
        <v>0</v>
      </c>
      <c r="O29" s="35">
        <f>IF(INDEX(Sheet1!$CF:$CF,ROWS($A$2:$A29)+1)&lt;&gt;"",0,IF(F29="✔",IF(H29="◯",IF(G29="◯",各種設定金額!$K$4,各種設定金額!$K$5),IF(G29="◯",各種設定金額!$K$3,各種設定金額!$K$2)),0))</f>
        <v>0</v>
      </c>
      <c r="P29" s="35">
        <f>IF(F29="✔",各種設定金額!$M$2,0)</f>
        <v>0</v>
      </c>
      <c r="Q29" s="35">
        <f>IF(B29&lt;&gt;"",各種設定金額!$D$2,0)</f>
        <v>0</v>
      </c>
      <c r="R29" s="84"/>
      <c r="S29" s="35">
        <f>IF(D29="A",各種設定金額!$P$2,IF(D29="B",各種設定金額!$P$3,IF(D29="C",各種設定金額!$P$4,0)))</f>
        <v>0</v>
      </c>
      <c r="T29" s="35">
        <f>IF(E29="✔",各種設定金額!$Q$2,0)</f>
        <v>0</v>
      </c>
      <c r="U29" s="35">
        <f t="shared" si="0"/>
        <v>0</v>
      </c>
    </row>
    <row r="30" spans="1:21" ht="20.100000000000001" customHeight="1" x14ac:dyDescent="0.15">
      <c r="A30" s="31" t="str">
        <f>IF(B30="","",IF(SUBTOTAL(103,B30)=0,"",SUBTOTAL(103,$B$2:B30)))</f>
        <v/>
      </c>
      <c r="B30" s="31" t="str">
        <f>INDEX(Sheet1!$B:$B,ROWS($A$2:$A30)+1)&amp;""</f>
        <v/>
      </c>
      <c r="C30" s="82"/>
      <c r="D30" s="82"/>
      <c r="E30" s="82"/>
      <c r="F30" s="82"/>
      <c r="G30" s="82"/>
      <c r="H30" s="82"/>
      <c r="I30" s="35" t="str">
        <f>IF(OR(C30="✔",AND(C30="",D30&lt;&gt;"")),各種設定金額!$B$2,IF(C30="2️⃣",各種設定金額!$B$3,IF(AND(C30="",E30="✔"),各種設定金額!$B$4,IF(AND(C30="",E30="",F30="✔"),各種設定金額!$B$5,""))))</f>
        <v/>
      </c>
      <c r="J30" s="35">
        <f>IF(B30&lt;&gt;"",各種設定金額!$C$2,0)</f>
        <v>0</v>
      </c>
      <c r="K30" s="35">
        <f>IF(INDEX(Sheet1!$CF:$CF,ROWS($A$2:$A30)+1)&lt;&gt;"",0,IF(C30="✔",IF(H30="◯",IF(G30="◯",各種設定金額!$H$4,各種設定金額!$H$5),IF(G30="◯",各種設定金額!$H$3,各種設定金額!$H$2)),IF(C30="2️⃣",IF(G30="◯",各種設定金額!$I$3,各種設定金額!$I$2),0)))</f>
        <v>0</v>
      </c>
      <c r="L30" s="35">
        <f>IF(OR(C30="✔",C30="2️⃣"),各種設定金額!$M$2,0)</f>
        <v>0</v>
      </c>
      <c r="M30" s="35">
        <f>IF(INDEX(Sheet1!$CF:$CF,ROWS($A$2:$A30)+1)&lt;&gt;"",0,IF(E30="✔",IF(H30="◯",IF(G30="◯",各種設定金額!$J$4,各種設定金額!$J$5),IF(G30="◯",各種設定金額!$J$3,各種設定金額!$J$2)),0))</f>
        <v>0</v>
      </c>
      <c r="N30" s="35">
        <f>IF(E30="✔",各種設定金額!$M$2,0)</f>
        <v>0</v>
      </c>
      <c r="O30" s="35">
        <f>IF(INDEX(Sheet1!$CF:$CF,ROWS($A$2:$A30)+1)&lt;&gt;"",0,IF(F30="✔",IF(H30="◯",IF(G30="◯",各種設定金額!$K$4,各種設定金額!$K$5),IF(G30="◯",各種設定金額!$K$3,各種設定金額!$K$2)),0))</f>
        <v>0</v>
      </c>
      <c r="P30" s="35">
        <f>IF(F30="✔",各種設定金額!$M$2,0)</f>
        <v>0</v>
      </c>
      <c r="Q30" s="35">
        <f>IF(B30&lt;&gt;"",各種設定金額!$D$2,0)</f>
        <v>0</v>
      </c>
      <c r="R30" s="84"/>
      <c r="S30" s="35">
        <f>IF(D30="A",各種設定金額!$P$2,IF(D30="B",各種設定金額!$P$3,IF(D30="C",各種設定金額!$P$4,0)))</f>
        <v>0</v>
      </c>
      <c r="T30" s="35">
        <f>IF(E30="✔",各種設定金額!$Q$2,0)</f>
        <v>0</v>
      </c>
      <c r="U30" s="35">
        <f t="shared" si="0"/>
        <v>0</v>
      </c>
    </row>
    <row r="31" spans="1:21" ht="20.100000000000001" customHeight="1" x14ac:dyDescent="0.15">
      <c r="A31" s="31" t="str">
        <f>IF(B31="","",IF(SUBTOTAL(103,B31)=0,"",SUBTOTAL(103,$B$2:B31)))</f>
        <v/>
      </c>
      <c r="B31" s="31" t="str">
        <f>INDEX(Sheet1!$B:$B,ROWS($A$2:$A31)+1)&amp;""</f>
        <v/>
      </c>
      <c r="C31" s="82"/>
      <c r="D31" s="82"/>
      <c r="E31" s="82"/>
      <c r="F31" s="82"/>
      <c r="G31" s="82"/>
      <c r="H31" s="82"/>
      <c r="I31" s="35" t="str">
        <f>IF(OR(C31="✔",AND(C31="",D31&lt;&gt;"")),各種設定金額!$B$2,IF(C31="2️⃣",各種設定金額!$B$3,IF(AND(C31="",E31="✔"),各種設定金額!$B$4,IF(AND(C31="",E31="",F31="✔"),各種設定金額!$B$5,""))))</f>
        <v/>
      </c>
      <c r="J31" s="35">
        <f>IF(B31&lt;&gt;"",各種設定金額!$C$2,0)</f>
        <v>0</v>
      </c>
      <c r="K31" s="35">
        <f>IF(INDEX(Sheet1!$CF:$CF,ROWS($A$2:$A31)+1)&lt;&gt;"",0,IF(C31="✔",IF(H31="◯",IF(G31="◯",各種設定金額!$H$4,各種設定金額!$H$5),IF(G31="◯",各種設定金額!$H$3,各種設定金額!$H$2)),IF(C31="2️⃣",IF(G31="◯",各種設定金額!$I$3,各種設定金額!$I$2),0)))</f>
        <v>0</v>
      </c>
      <c r="L31" s="35">
        <f>IF(OR(C31="✔",C31="2️⃣"),各種設定金額!$M$2,0)</f>
        <v>0</v>
      </c>
      <c r="M31" s="35">
        <f>IF(INDEX(Sheet1!$CF:$CF,ROWS($A$2:$A31)+1)&lt;&gt;"",0,IF(E31="✔",IF(H31="◯",IF(G31="◯",各種設定金額!$J$4,各種設定金額!$J$5),IF(G31="◯",各種設定金額!$J$3,各種設定金額!$J$2)),0))</f>
        <v>0</v>
      </c>
      <c r="N31" s="35">
        <f>IF(E31="✔",各種設定金額!$M$2,0)</f>
        <v>0</v>
      </c>
      <c r="O31" s="35">
        <f>IF(INDEX(Sheet1!$CF:$CF,ROWS($A$2:$A31)+1)&lt;&gt;"",0,IF(F31="✔",IF(H31="◯",IF(G31="◯",各種設定金額!$K$4,各種設定金額!$K$5),IF(G31="◯",各種設定金額!$K$3,各種設定金額!$K$2)),0))</f>
        <v>0</v>
      </c>
      <c r="P31" s="35">
        <f>IF(F31="✔",各種設定金額!$M$2,0)</f>
        <v>0</v>
      </c>
      <c r="Q31" s="35">
        <f>IF(B31&lt;&gt;"",各種設定金額!$D$2,0)</f>
        <v>0</v>
      </c>
      <c r="R31" s="84"/>
      <c r="S31" s="35">
        <f>IF(D31="A",各種設定金額!$P$2,IF(D31="B",各種設定金額!$P$3,IF(D31="C",各種設定金額!$P$4,0)))</f>
        <v>0</v>
      </c>
      <c r="T31" s="35">
        <f>IF(E31="✔",各種設定金額!$Q$2,0)</f>
        <v>0</v>
      </c>
      <c r="U31" s="35">
        <f t="shared" si="0"/>
        <v>0</v>
      </c>
    </row>
    <row r="32" spans="1:21" ht="20.100000000000001" customHeight="1" x14ac:dyDescent="0.15">
      <c r="A32" s="31" t="str">
        <f>IF(B32="","",IF(SUBTOTAL(103,B32)=0,"",SUBTOTAL(103,$B$2:B32)))</f>
        <v/>
      </c>
      <c r="B32" s="31" t="str">
        <f>INDEX(Sheet1!$B:$B,ROWS($A$2:$A32)+1)&amp;""</f>
        <v/>
      </c>
      <c r="C32" s="82"/>
      <c r="D32" s="82"/>
      <c r="E32" s="82"/>
      <c r="F32" s="82"/>
      <c r="G32" s="82"/>
      <c r="H32" s="82"/>
      <c r="I32" s="35" t="str">
        <f>IF(OR(C32="✔",AND(C32="",D32&lt;&gt;"")),各種設定金額!$B$2,IF(C32="2️⃣",各種設定金額!$B$3,IF(AND(C32="",E32="✔"),各種設定金額!$B$4,IF(AND(C32="",E32="",F32="✔"),各種設定金額!$B$5,""))))</f>
        <v/>
      </c>
      <c r="J32" s="35">
        <f>IF(B32&lt;&gt;"",各種設定金額!$C$2,0)</f>
        <v>0</v>
      </c>
      <c r="K32" s="35">
        <f>IF(INDEX(Sheet1!$CF:$CF,ROWS($A$2:$A32)+1)&lt;&gt;"",0,IF(C32="✔",IF(H32="◯",IF(G32="◯",各種設定金額!$H$4,各種設定金額!$H$5),IF(G32="◯",各種設定金額!$H$3,各種設定金額!$H$2)),IF(C32="2️⃣",IF(G32="◯",各種設定金額!$I$3,各種設定金額!$I$2),0)))</f>
        <v>0</v>
      </c>
      <c r="L32" s="35">
        <f>IF(OR(C32="✔",C32="2️⃣"),各種設定金額!$M$2,0)</f>
        <v>0</v>
      </c>
      <c r="M32" s="35">
        <f>IF(INDEX(Sheet1!$CF:$CF,ROWS($A$2:$A32)+1)&lt;&gt;"",0,IF(E32="✔",IF(H32="◯",IF(G32="◯",各種設定金額!$J$4,各種設定金額!$J$5),IF(G32="◯",各種設定金額!$J$3,各種設定金額!$J$2)),0))</f>
        <v>0</v>
      </c>
      <c r="N32" s="35">
        <f>IF(E32="✔",各種設定金額!$M$2,0)</f>
        <v>0</v>
      </c>
      <c r="O32" s="35">
        <f>IF(INDEX(Sheet1!$CF:$CF,ROWS($A$2:$A32)+1)&lt;&gt;"",0,IF(F32="✔",IF(H32="◯",IF(G32="◯",各種設定金額!$K$4,各種設定金額!$K$5),IF(G32="◯",各種設定金額!$K$3,各種設定金額!$K$2)),0))</f>
        <v>0</v>
      </c>
      <c r="P32" s="35">
        <f>IF(F32="✔",各種設定金額!$M$2,0)</f>
        <v>0</v>
      </c>
      <c r="Q32" s="35">
        <f>IF(B32&lt;&gt;"",各種設定金額!$D$2,0)</f>
        <v>0</v>
      </c>
      <c r="R32" s="84"/>
      <c r="S32" s="35">
        <f>IF(D32="A",各種設定金額!$P$2,IF(D32="B",各種設定金額!$P$3,IF(D32="C",各種設定金額!$P$4,0)))</f>
        <v>0</v>
      </c>
      <c r="T32" s="35">
        <f>IF(E32="✔",各種設定金額!$Q$2,0)</f>
        <v>0</v>
      </c>
      <c r="U32" s="35">
        <f t="shared" si="0"/>
        <v>0</v>
      </c>
    </row>
    <row r="33" spans="1:21" ht="20.100000000000001" customHeight="1" x14ac:dyDescent="0.15">
      <c r="A33" s="31" t="str">
        <f>IF(B33="","",IF(SUBTOTAL(103,B33)=0,"",SUBTOTAL(103,$B$2:B33)))</f>
        <v/>
      </c>
      <c r="B33" s="31" t="str">
        <f>INDEX(Sheet1!$B:$B,ROWS($A$2:$A33)+1)&amp;""</f>
        <v/>
      </c>
      <c r="C33" s="82"/>
      <c r="D33" s="82"/>
      <c r="E33" s="82"/>
      <c r="F33" s="82"/>
      <c r="G33" s="82"/>
      <c r="H33" s="82"/>
      <c r="I33" s="35" t="str">
        <f>IF(OR(C33="✔",AND(C33="",D33&lt;&gt;"")),各種設定金額!$B$2,IF(C33="2️⃣",各種設定金額!$B$3,IF(AND(C33="",E33="✔"),各種設定金額!$B$4,IF(AND(C33="",E33="",F33="✔"),各種設定金額!$B$5,""))))</f>
        <v/>
      </c>
      <c r="J33" s="35">
        <f>IF(B33&lt;&gt;"",各種設定金額!$C$2,0)</f>
        <v>0</v>
      </c>
      <c r="K33" s="35">
        <f>IF(INDEX(Sheet1!$CF:$CF,ROWS($A$2:$A33)+1)&lt;&gt;"",0,IF(C33="✔",IF(H33="◯",IF(G33="◯",各種設定金額!$H$4,各種設定金額!$H$5),IF(G33="◯",各種設定金額!$H$3,各種設定金額!$H$2)),IF(C33="2️⃣",IF(G33="◯",各種設定金額!$I$3,各種設定金額!$I$2),0)))</f>
        <v>0</v>
      </c>
      <c r="L33" s="35">
        <f>IF(OR(C33="✔",C33="2️⃣"),各種設定金額!$M$2,0)</f>
        <v>0</v>
      </c>
      <c r="M33" s="35">
        <f>IF(INDEX(Sheet1!$CF:$CF,ROWS($A$2:$A33)+1)&lt;&gt;"",0,IF(E33="✔",IF(H33="◯",IF(G33="◯",各種設定金額!$J$4,各種設定金額!$J$5),IF(G33="◯",各種設定金額!$J$3,各種設定金額!$J$2)),0))</f>
        <v>0</v>
      </c>
      <c r="N33" s="35">
        <f>IF(E33="✔",各種設定金額!$M$2,0)</f>
        <v>0</v>
      </c>
      <c r="O33" s="35">
        <f>IF(INDEX(Sheet1!$CF:$CF,ROWS($A$2:$A33)+1)&lt;&gt;"",0,IF(F33="✔",IF(H33="◯",IF(G33="◯",各種設定金額!$K$4,各種設定金額!$K$5),IF(G33="◯",各種設定金額!$K$3,各種設定金額!$K$2)),0))</f>
        <v>0</v>
      </c>
      <c r="P33" s="35">
        <f>IF(F33="✔",各種設定金額!$M$2,0)</f>
        <v>0</v>
      </c>
      <c r="Q33" s="35">
        <f>IF(B33&lt;&gt;"",各種設定金額!$D$2,0)</f>
        <v>0</v>
      </c>
      <c r="R33" s="84"/>
      <c r="S33" s="35">
        <f>IF(D33="A",各種設定金額!$P$2,IF(D33="B",各種設定金額!$P$3,IF(D33="C",各種設定金額!$P$4,0)))</f>
        <v>0</v>
      </c>
      <c r="T33" s="35">
        <f>IF(E33="✔",各種設定金額!$Q$2,0)</f>
        <v>0</v>
      </c>
      <c r="U33" s="35">
        <f t="shared" si="0"/>
        <v>0</v>
      </c>
    </row>
    <row r="34" spans="1:21" ht="20.100000000000001" customHeight="1" x14ac:dyDescent="0.15">
      <c r="A34" s="31" t="str">
        <f>IF(B34="","",IF(SUBTOTAL(103,B34)=0,"",SUBTOTAL(103,$B$2:B34)))</f>
        <v/>
      </c>
      <c r="B34" s="31" t="str">
        <f>INDEX(Sheet1!$B:$B,ROWS($A$2:$A34)+1)&amp;""</f>
        <v/>
      </c>
      <c r="C34" s="82"/>
      <c r="D34" s="82"/>
      <c r="E34" s="82"/>
      <c r="F34" s="82"/>
      <c r="G34" s="82"/>
      <c r="H34" s="82"/>
      <c r="I34" s="35" t="str">
        <f>IF(OR(C34="✔",AND(C34="",D34&lt;&gt;"")),各種設定金額!$B$2,IF(C34="2️⃣",各種設定金額!$B$3,IF(AND(C34="",E34="✔"),各種設定金額!$B$4,IF(AND(C34="",E34="",F34="✔"),各種設定金額!$B$5,""))))</f>
        <v/>
      </c>
      <c r="J34" s="35">
        <f>IF(B34&lt;&gt;"",各種設定金額!$C$2,0)</f>
        <v>0</v>
      </c>
      <c r="K34" s="35">
        <f>IF(INDEX(Sheet1!$CF:$CF,ROWS($A$2:$A34)+1)&lt;&gt;"",0,IF(C34="✔",IF(H34="◯",IF(G34="◯",各種設定金額!$H$4,各種設定金額!$H$5),IF(G34="◯",各種設定金額!$H$3,各種設定金額!$H$2)),IF(C34="2️⃣",IF(G34="◯",各種設定金額!$I$3,各種設定金額!$I$2),0)))</f>
        <v>0</v>
      </c>
      <c r="L34" s="35">
        <f>IF(OR(C34="✔",C34="2️⃣"),各種設定金額!$M$2,0)</f>
        <v>0</v>
      </c>
      <c r="M34" s="35">
        <f>IF(INDEX(Sheet1!$CF:$CF,ROWS($A$2:$A34)+1)&lt;&gt;"",0,IF(E34="✔",IF(H34="◯",IF(G34="◯",各種設定金額!$J$4,各種設定金額!$J$5),IF(G34="◯",各種設定金額!$J$3,各種設定金額!$J$2)),0))</f>
        <v>0</v>
      </c>
      <c r="N34" s="35">
        <f>IF(E34="✔",各種設定金額!$M$2,0)</f>
        <v>0</v>
      </c>
      <c r="O34" s="35">
        <f>IF(INDEX(Sheet1!$CF:$CF,ROWS($A$2:$A34)+1)&lt;&gt;"",0,IF(F34="✔",IF(H34="◯",IF(G34="◯",各種設定金額!$K$4,各種設定金額!$K$5),IF(G34="◯",各種設定金額!$K$3,各種設定金額!$K$2)),0))</f>
        <v>0</v>
      </c>
      <c r="P34" s="35">
        <f>IF(F34="✔",各種設定金額!$M$2,0)</f>
        <v>0</v>
      </c>
      <c r="Q34" s="35">
        <f>IF(B34&lt;&gt;"",各種設定金額!$D$2,0)</f>
        <v>0</v>
      </c>
      <c r="R34" s="84"/>
      <c r="S34" s="35">
        <f>IF(D34="A",各種設定金額!$P$2,IF(D34="B",各種設定金額!$P$3,IF(D34="C",各種設定金額!$P$4,0)))</f>
        <v>0</v>
      </c>
      <c r="T34" s="35">
        <f>IF(E34="✔",各種設定金額!$Q$2,0)</f>
        <v>0</v>
      </c>
      <c r="U34" s="35">
        <f t="shared" si="0"/>
        <v>0</v>
      </c>
    </row>
    <row r="35" spans="1:21" ht="20.100000000000001" customHeight="1" x14ac:dyDescent="0.15">
      <c r="A35" s="31" t="str">
        <f>IF(B35="","",IF(SUBTOTAL(103,B35)=0,"",SUBTOTAL(103,$B$2:B35)))</f>
        <v/>
      </c>
      <c r="B35" s="31" t="str">
        <f>INDEX(Sheet1!$B:$B,ROWS($A$2:$A35)+1)&amp;""</f>
        <v/>
      </c>
      <c r="C35" s="82"/>
      <c r="D35" s="82"/>
      <c r="E35" s="82"/>
      <c r="F35" s="82"/>
      <c r="G35" s="82"/>
      <c r="H35" s="82"/>
      <c r="I35" s="35" t="str">
        <f>IF(OR(C35="✔",AND(C35="",D35&lt;&gt;"")),各種設定金額!$B$2,IF(C35="2️⃣",各種設定金額!$B$3,IF(AND(C35="",E35="✔"),各種設定金額!$B$4,IF(AND(C35="",E35="",F35="✔"),各種設定金額!$B$5,""))))</f>
        <v/>
      </c>
      <c r="J35" s="35">
        <f>IF(B35&lt;&gt;"",各種設定金額!$C$2,0)</f>
        <v>0</v>
      </c>
      <c r="K35" s="35">
        <f>IF(INDEX(Sheet1!$CF:$CF,ROWS($A$2:$A35)+1)&lt;&gt;"",0,IF(C35="✔",IF(H35="◯",IF(G35="◯",各種設定金額!$H$4,各種設定金額!$H$5),IF(G35="◯",各種設定金額!$H$3,各種設定金額!$H$2)),IF(C35="2️⃣",IF(G35="◯",各種設定金額!$I$3,各種設定金額!$I$2),0)))</f>
        <v>0</v>
      </c>
      <c r="L35" s="35">
        <f>IF(OR(C35="✔",C35="2️⃣"),各種設定金額!$M$2,0)</f>
        <v>0</v>
      </c>
      <c r="M35" s="35">
        <f>IF(INDEX(Sheet1!$CF:$CF,ROWS($A$2:$A35)+1)&lt;&gt;"",0,IF(E35="✔",IF(H35="◯",IF(G35="◯",各種設定金額!$J$4,各種設定金額!$J$5),IF(G35="◯",各種設定金額!$J$3,各種設定金額!$J$2)),0))</f>
        <v>0</v>
      </c>
      <c r="N35" s="35">
        <f>IF(E35="✔",各種設定金額!$M$2,0)</f>
        <v>0</v>
      </c>
      <c r="O35" s="35">
        <f>IF(INDEX(Sheet1!$CF:$CF,ROWS($A$2:$A35)+1)&lt;&gt;"",0,IF(F35="✔",IF(H35="◯",IF(G35="◯",各種設定金額!$K$4,各種設定金額!$K$5),IF(G35="◯",各種設定金額!$K$3,各種設定金額!$K$2)),0))</f>
        <v>0</v>
      </c>
      <c r="P35" s="35">
        <f>IF(F35="✔",各種設定金額!$M$2,0)</f>
        <v>0</v>
      </c>
      <c r="Q35" s="35">
        <f>IF(B35&lt;&gt;"",各種設定金額!$D$2,0)</f>
        <v>0</v>
      </c>
      <c r="R35" s="84"/>
      <c r="S35" s="35">
        <f>IF(D35="A",各種設定金額!$P$2,IF(D35="B",各種設定金額!$P$3,IF(D35="C",各種設定金額!$P$4,0)))</f>
        <v>0</v>
      </c>
      <c r="T35" s="35">
        <f>IF(E35="✔",各種設定金額!$Q$2,0)</f>
        <v>0</v>
      </c>
      <c r="U35" s="35">
        <f t="shared" si="0"/>
        <v>0</v>
      </c>
    </row>
    <row r="36" spans="1:21" ht="20.100000000000001" customHeight="1" x14ac:dyDescent="0.15">
      <c r="A36" s="31" t="str">
        <f>IF(B36="","",IF(SUBTOTAL(103,B36)=0,"",SUBTOTAL(103,$B$2:B36)))</f>
        <v/>
      </c>
      <c r="B36" s="31" t="str">
        <f>INDEX(Sheet1!$B:$B,ROWS($A$2:$A36)+1)&amp;""</f>
        <v/>
      </c>
      <c r="C36" s="82"/>
      <c r="D36" s="82"/>
      <c r="E36" s="82"/>
      <c r="F36" s="82"/>
      <c r="G36" s="82"/>
      <c r="H36" s="82"/>
      <c r="I36" s="35" t="str">
        <f>IF(OR(C36="✔",AND(C36="",D36&lt;&gt;"")),各種設定金額!$B$2,IF(C36="2️⃣",各種設定金額!$B$3,IF(AND(C36="",E36="✔"),各種設定金額!$B$4,IF(AND(C36="",E36="",F36="✔"),各種設定金額!$B$5,""))))</f>
        <v/>
      </c>
      <c r="J36" s="35">
        <f>IF(B36&lt;&gt;"",各種設定金額!$C$2,0)</f>
        <v>0</v>
      </c>
      <c r="K36" s="35">
        <f>IF(INDEX(Sheet1!$CF:$CF,ROWS($A$2:$A36)+1)&lt;&gt;"",0,IF(C36="✔",IF(H36="◯",IF(G36="◯",各種設定金額!$H$4,各種設定金額!$H$5),IF(G36="◯",各種設定金額!$H$3,各種設定金額!$H$2)),IF(C36="2️⃣",IF(G36="◯",各種設定金額!$I$3,各種設定金額!$I$2),0)))</f>
        <v>0</v>
      </c>
      <c r="L36" s="35">
        <f>IF(OR(C36="✔",C36="2️⃣"),各種設定金額!$M$2,0)</f>
        <v>0</v>
      </c>
      <c r="M36" s="35">
        <f>IF(INDEX(Sheet1!$CF:$CF,ROWS($A$2:$A36)+1)&lt;&gt;"",0,IF(E36="✔",IF(H36="◯",IF(G36="◯",各種設定金額!$J$4,各種設定金額!$J$5),IF(G36="◯",各種設定金額!$J$3,各種設定金額!$J$2)),0))</f>
        <v>0</v>
      </c>
      <c r="N36" s="35">
        <f>IF(E36="✔",各種設定金額!$M$2,0)</f>
        <v>0</v>
      </c>
      <c r="O36" s="35">
        <f>IF(INDEX(Sheet1!$CF:$CF,ROWS($A$2:$A36)+1)&lt;&gt;"",0,IF(F36="✔",IF(H36="◯",IF(G36="◯",各種設定金額!$K$4,各種設定金額!$K$5),IF(G36="◯",各種設定金額!$K$3,各種設定金額!$K$2)),0))</f>
        <v>0</v>
      </c>
      <c r="P36" s="35">
        <f>IF(F36="✔",各種設定金額!$M$2,0)</f>
        <v>0</v>
      </c>
      <c r="Q36" s="35">
        <f>IF(B36&lt;&gt;"",各種設定金額!$D$2,0)</f>
        <v>0</v>
      </c>
      <c r="R36" s="84"/>
      <c r="S36" s="35">
        <f>IF(D36="A",各種設定金額!$P$2,IF(D36="B",各種設定金額!$P$3,IF(D36="C",各種設定金額!$P$4,0)))</f>
        <v>0</v>
      </c>
      <c r="T36" s="35">
        <f>IF(E36="✔",各種設定金額!$Q$2,0)</f>
        <v>0</v>
      </c>
      <c r="U36" s="35">
        <f t="shared" si="0"/>
        <v>0</v>
      </c>
    </row>
    <row r="37" spans="1:21" ht="20.100000000000001" customHeight="1" x14ac:dyDescent="0.15">
      <c r="A37" s="31" t="str">
        <f>IF(B37="","",IF(SUBTOTAL(103,B37)=0,"",SUBTOTAL(103,$B$2:B37)))</f>
        <v/>
      </c>
      <c r="B37" s="31" t="str">
        <f>INDEX(Sheet1!$B:$B,ROWS($A$2:$A37)+1)&amp;""</f>
        <v/>
      </c>
      <c r="C37" s="82"/>
      <c r="D37" s="82"/>
      <c r="E37" s="82"/>
      <c r="F37" s="82"/>
      <c r="G37" s="82"/>
      <c r="H37" s="82"/>
      <c r="I37" s="35" t="str">
        <f>IF(OR(C37="✔",AND(C37="",D37&lt;&gt;"")),各種設定金額!$B$2,IF(C37="2️⃣",各種設定金額!$B$3,IF(AND(C37="",E37="✔"),各種設定金額!$B$4,IF(AND(C37="",E37="",F37="✔"),各種設定金額!$B$5,""))))</f>
        <v/>
      </c>
      <c r="J37" s="35">
        <f>IF(B37&lt;&gt;"",各種設定金額!$C$2,0)</f>
        <v>0</v>
      </c>
      <c r="K37" s="35">
        <f>IF(INDEX(Sheet1!$CF:$CF,ROWS($A$2:$A37)+1)&lt;&gt;"",0,IF(C37="✔",IF(H37="◯",IF(G37="◯",各種設定金額!$H$4,各種設定金額!$H$5),IF(G37="◯",各種設定金額!$H$3,各種設定金額!$H$2)),IF(C37="2️⃣",IF(G37="◯",各種設定金額!$I$3,各種設定金額!$I$2),0)))</f>
        <v>0</v>
      </c>
      <c r="L37" s="35">
        <f>IF(OR(C37="✔",C37="2️⃣"),各種設定金額!$M$2,0)</f>
        <v>0</v>
      </c>
      <c r="M37" s="35">
        <f>IF(INDEX(Sheet1!$CF:$CF,ROWS($A$2:$A37)+1)&lt;&gt;"",0,IF(E37="✔",IF(H37="◯",IF(G37="◯",各種設定金額!$J$4,各種設定金額!$J$5),IF(G37="◯",各種設定金額!$J$3,各種設定金額!$J$2)),0))</f>
        <v>0</v>
      </c>
      <c r="N37" s="35">
        <f>IF(E37="✔",各種設定金額!$M$2,0)</f>
        <v>0</v>
      </c>
      <c r="O37" s="35">
        <f>IF(INDEX(Sheet1!$CF:$CF,ROWS($A$2:$A37)+1)&lt;&gt;"",0,IF(F37="✔",IF(H37="◯",IF(G37="◯",各種設定金額!$K$4,各種設定金額!$K$5),IF(G37="◯",各種設定金額!$K$3,各種設定金額!$K$2)),0))</f>
        <v>0</v>
      </c>
      <c r="P37" s="35">
        <f>IF(F37="✔",各種設定金額!$M$2,0)</f>
        <v>0</v>
      </c>
      <c r="Q37" s="35">
        <f>IF(B37&lt;&gt;"",各種設定金額!$D$2,0)</f>
        <v>0</v>
      </c>
      <c r="R37" s="84"/>
      <c r="S37" s="35">
        <f>IF(D37="A",各種設定金額!$P$2,IF(D37="B",各種設定金額!$P$3,IF(D37="C",各種設定金額!$P$4,0)))</f>
        <v>0</v>
      </c>
      <c r="T37" s="35">
        <f>IF(E37="✔",各種設定金額!$Q$2,0)</f>
        <v>0</v>
      </c>
      <c r="U37" s="35">
        <f t="shared" si="0"/>
        <v>0</v>
      </c>
    </row>
    <row r="38" spans="1:21" ht="20.100000000000001" customHeight="1" x14ac:dyDescent="0.15">
      <c r="A38" s="31" t="str">
        <f>IF(B38="","",IF(SUBTOTAL(103,B38)=0,"",SUBTOTAL(103,$B$2:B38)))</f>
        <v/>
      </c>
      <c r="B38" s="31" t="str">
        <f>INDEX(Sheet1!$B:$B,ROWS($A$2:$A38)+1)&amp;""</f>
        <v/>
      </c>
      <c r="C38" s="82"/>
      <c r="D38" s="82"/>
      <c r="E38" s="82"/>
      <c r="F38" s="82"/>
      <c r="G38" s="82"/>
      <c r="H38" s="82"/>
      <c r="I38" s="35" t="str">
        <f>IF(OR(C38="✔",AND(C38="",D38&lt;&gt;"")),各種設定金額!$B$2,IF(C38="2️⃣",各種設定金額!$B$3,IF(AND(C38="",E38="✔"),各種設定金額!$B$4,IF(AND(C38="",E38="",F38="✔"),各種設定金額!$B$5,""))))</f>
        <v/>
      </c>
      <c r="J38" s="35">
        <f>IF(B38&lt;&gt;"",各種設定金額!$C$2,0)</f>
        <v>0</v>
      </c>
      <c r="K38" s="35">
        <f>IF(INDEX(Sheet1!$CF:$CF,ROWS($A$2:$A38)+1)&lt;&gt;"",0,IF(C38="✔",IF(H38="◯",IF(G38="◯",各種設定金額!$H$4,各種設定金額!$H$5),IF(G38="◯",各種設定金額!$H$3,各種設定金額!$H$2)),IF(C38="2️⃣",IF(G38="◯",各種設定金額!$I$3,各種設定金額!$I$2),0)))</f>
        <v>0</v>
      </c>
      <c r="L38" s="35">
        <f>IF(OR(C38="✔",C38="2️⃣"),各種設定金額!$M$2,0)</f>
        <v>0</v>
      </c>
      <c r="M38" s="35">
        <f>IF(INDEX(Sheet1!$CF:$CF,ROWS($A$2:$A38)+1)&lt;&gt;"",0,IF(E38="✔",IF(H38="◯",IF(G38="◯",各種設定金額!$J$4,各種設定金額!$J$5),IF(G38="◯",各種設定金額!$J$3,各種設定金額!$J$2)),0))</f>
        <v>0</v>
      </c>
      <c r="N38" s="35">
        <f>IF(E38="✔",各種設定金額!$M$2,0)</f>
        <v>0</v>
      </c>
      <c r="O38" s="35">
        <f>IF(INDEX(Sheet1!$CF:$CF,ROWS($A$2:$A38)+1)&lt;&gt;"",0,IF(F38="✔",IF(H38="◯",IF(G38="◯",各種設定金額!$K$4,各種設定金額!$K$5),IF(G38="◯",各種設定金額!$K$3,各種設定金額!$K$2)),0))</f>
        <v>0</v>
      </c>
      <c r="P38" s="35">
        <f>IF(F38="✔",各種設定金額!$M$2,0)</f>
        <v>0</v>
      </c>
      <c r="Q38" s="35">
        <f>IF(B38&lt;&gt;"",各種設定金額!$D$2,0)</f>
        <v>0</v>
      </c>
      <c r="R38" s="84"/>
      <c r="S38" s="35">
        <f>IF(D38="A",各種設定金額!$P$2,IF(D38="B",各種設定金額!$P$3,IF(D38="C",各種設定金額!$P$4,0)))</f>
        <v>0</v>
      </c>
      <c r="T38" s="35">
        <f>IF(E38="✔",各種設定金額!$Q$2,0)</f>
        <v>0</v>
      </c>
      <c r="U38" s="35">
        <f t="shared" si="0"/>
        <v>0</v>
      </c>
    </row>
    <row r="39" spans="1:21" ht="20.100000000000001" customHeight="1" x14ac:dyDescent="0.15">
      <c r="A39" s="31" t="str">
        <f>IF(B39="","",IF(SUBTOTAL(103,B39)=0,"",SUBTOTAL(103,$B$2:B39)))</f>
        <v/>
      </c>
      <c r="B39" s="31" t="str">
        <f>INDEX(Sheet1!$B:$B,ROWS($A$2:$A39)+1)&amp;""</f>
        <v/>
      </c>
      <c r="C39" s="82"/>
      <c r="D39" s="82"/>
      <c r="E39" s="82"/>
      <c r="F39" s="82"/>
      <c r="G39" s="82"/>
      <c r="H39" s="82"/>
      <c r="I39" s="35" t="str">
        <f>IF(OR(C39="✔",AND(C39="",D39&lt;&gt;"")),各種設定金額!$B$2,IF(C39="2️⃣",各種設定金額!$B$3,IF(AND(C39="",E39="✔"),各種設定金額!$B$4,IF(AND(C39="",E39="",F39="✔"),各種設定金額!$B$5,""))))</f>
        <v/>
      </c>
      <c r="J39" s="35">
        <f>IF(B39&lt;&gt;"",各種設定金額!$C$2,0)</f>
        <v>0</v>
      </c>
      <c r="K39" s="35">
        <f>IF(INDEX(Sheet1!$CF:$CF,ROWS($A$2:$A39)+1)&lt;&gt;"",0,IF(C39="✔",IF(H39="◯",IF(G39="◯",各種設定金額!$H$4,各種設定金額!$H$5),IF(G39="◯",各種設定金額!$H$3,各種設定金額!$H$2)),IF(C39="2️⃣",IF(G39="◯",各種設定金額!$I$3,各種設定金額!$I$2),0)))</f>
        <v>0</v>
      </c>
      <c r="L39" s="35">
        <f>IF(OR(C39="✔",C39="2️⃣"),各種設定金額!$M$2,0)</f>
        <v>0</v>
      </c>
      <c r="M39" s="35">
        <f>IF(INDEX(Sheet1!$CF:$CF,ROWS($A$2:$A39)+1)&lt;&gt;"",0,IF(E39="✔",IF(H39="◯",IF(G39="◯",各種設定金額!$J$4,各種設定金額!$J$5),IF(G39="◯",各種設定金額!$J$3,各種設定金額!$J$2)),0))</f>
        <v>0</v>
      </c>
      <c r="N39" s="35">
        <f>IF(E39="✔",各種設定金額!$M$2,0)</f>
        <v>0</v>
      </c>
      <c r="O39" s="35">
        <f>IF(INDEX(Sheet1!$CF:$CF,ROWS($A$2:$A39)+1)&lt;&gt;"",0,IF(F39="✔",IF(H39="◯",IF(G39="◯",各種設定金額!$K$4,各種設定金額!$K$5),IF(G39="◯",各種設定金額!$K$3,各種設定金額!$K$2)),0))</f>
        <v>0</v>
      </c>
      <c r="P39" s="35">
        <f>IF(F39="✔",各種設定金額!$M$2,0)</f>
        <v>0</v>
      </c>
      <c r="Q39" s="35">
        <f>IF(B39&lt;&gt;"",各種設定金額!$D$2,0)</f>
        <v>0</v>
      </c>
      <c r="R39" s="84"/>
      <c r="S39" s="35">
        <f>IF(D39="A",各種設定金額!$P$2,IF(D39="B",各種設定金額!$P$3,IF(D39="C",各種設定金額!$P$4,0)))</f>
        <v>0</v>
      </c>
      <c r="T39" s="35">
        <f>IF(E39="✔",各種設定金額!$Q$2,0)</f>
        <v>0</v>
      </c>
      <c r="U39" s="35">
        <f t="shared" si="0"/>
        <v>0</v>
      </c>
    </row>
    <row r="40" spans="1:21" ht="20.100000000000001" customHeight="1" x14ac:dyDescent="0.15">
      <c r="A40" s="31" t="str">
        <f>IF(B40="","",IF(SUBTOTAL(103,B40)=0,"",SUBTOTAL(103,$B$2:B40)))</f>
        <v/>
      </c>
      <c r="B40" s="31" t="str">
        <f>INDEX(Sheet1!$B:$B,ROWS($A$2:$A40)+1)&amp;""</f>
        <v/>
      </c>
      <c r="C40" s="82"/>
      <c r="D40" s="82"/>
      <c r="E40" s="82"/>
      <c r="F40" s="82"/>
      <c r="G40" s="82"/>
      <c r="H40" s="82"/>
      <c r="I40" s="35" t="str">
        <f>IF(OR(C40="✔",AND(C40="",D40&lt;&gt;"")),各種設定金額!$B$2,IF(C40="2️⃣",各種設定金額!$B$3,IF(AND(C40="",E40="✔"),各種設定金額!$B$4,IF(AND(C40="",E40="",F40="✔"),各種設定金額!$B$5,""))))</f>
        <v/>
      </c>
      <c r="J40" s="35">
        <f>IF(B40&lt;&gt;"",各種設定金額!$C$2,0)</f>
        <v>0</v>
      </c>
      <c r="K40" s="35">
        <f>IF(INDEX(Sheet1!$CF:$CF,ROWS($A$2:$A40)+1)&lt;&gt;"",0,IF(C40="✔",IF(H40="◯",IF(G40="◯",各種設定金額!$H$4,各種設定金額!$H$5),IF(G40="◯",各種設定金額!$H$3,各種設定金額!$H$2)),IF(C40="2️⃣",IF(G40="◯",各種設定金額!$I$3,各種設定金額!$I$2),0)))</f>
        <v>0</v>
      </c>
      <c r="L40" s="35">
        <f>IF(OR(C40="✔",C40="2️⃣"),各種設定金額!$M$2,0)</f>
        <v>0</v>
      </c>
      <c r="M40" s="35">
        <f>IF(INDEX(Sheet1!$CF:$CF,ROWS($A$2:$A40)+1)&lt;&gt;"",0,IF(E40="✔",IF(H40="◯",IF(G40="◯",各種設定金額!$J$4,各種設定金額!$J$5),IF(G40="◯",各種設定金額!$J$3,各種設定金額!$J$2)),0))</f>
        <v>0</v>
      </c>
      <c r="N40" s="35">
        <f>IF(E40="✔",各種設定金額!$M$2,0)</f>
        <v>0</v>
      </c>
      <c r="O40" s="35">
        <f>IF(INDEX(Sheet1!$CF:$CF,ROWS($A$2:$A40)+1)&lt;&gt;"",0,IF(F40="✔",IF(H40="◯",IF(G40="◯",各種設定金額!$K$4,各種設定金額!$K$5),IF(G40="◯",各種設定金額!$K$3,各種設定金額!$K$2)),0))</f>
        <v>0</v>
      </c>
      <c r="P40" s="35">
        <f>IF(F40="✔",各種設定金額!$M$2,0)</f>
        <v>0</v>
      </c>
      <c r="Q40" s="35">
        <f>IF(B40&lt;&gt;"",各種設定金額!$D$2,0)</f>
        <v>0</v>
      </c>
      <c r="R40" s="84"/>
      <c r="S40" s="35">
        <f>IF(D40="A",各種設定金額!$P$2,IF(D40="B",各種設定金額!$P$3,IF(D40="C",各種設定金額!$P$4,0)))</f>
        <v>0</v>
      </c>
      <c r="T40" s="35">
        <f>IF(E40="✔",各種設定金額!$Q$2,0)</f>
        <v>0</v>
      </c>
      <c r="U40" s="35">
        <f t="shared" si="0"/>
        <v>0</v>
      </c>
    </row>
    <row r="41" spans="1:21" ht="20.100000000000001" customHeight="1" x14ac:dyDescent="0.15">
      <c r="A41" s="31" t="str">
        <f>IF(B41="","",IF(SUBTOTAL(103,B41)=0,"",SUBTOTAL(103,$B$2:B41)))</f>
        <v/>
      </c>
      <c r="B41" s="31" t="str">
        <f>INDEX(Sheet1!$B:$B,ROWS($A$2:$A41)+1)&amp;""</f>
        <v/>
      </c>
      <c r="C41" s="82"/>
      <c r="D41" s="82"/>
      <c r="E41" s="82"/>
      <c r="F41" s="82"/>
      <c r="G41" s="82"/>
      <c r="H41" s="82"/>
      <c r="I41" s="35" t="str">
        <f>IF(OR(C41="✔",AND(C41="",D41&lt;&gt;"")),各種設定金額!$B$2,IF(C41="2️⃣",各種設定金額!$B$3,IF(AND(C41="",E41="✔"),各種設定金額!$B$4,IF(AND(C41="",E41="",F41="✔"),各種設定金額!$B$5,""))))</f>
        <v/>
      </c>
      <c r="J41" s="35">
        <f>IF(B41&lt;&gt;"",各種設定金額!$C$2,0)</f>
        <v>0</v>
      </c>
      <c r="K41" s="35">
        <f>IF(INDEX(Sheet1!$CF:$CF,ROWS($A$2:$A41)+1)&lt;&gt;"",0,IF(C41="✔",IF(H41="◯",IF(G41="◯",各種設定金額!$H$4,各種設定金額!$H$5),IF(G41="◯",各種設定金額!$H$3,各種設定金額!$H$2)),IF(C41="2️⃣",IF(G41="◯",各種設定金額!$I$3,各種設定金額!$I$2),0)))</f>
        <v>0</v>
      </c>
      <c r="L41" s="35">
        <f>IF(OR(C41="✔",C41="2️⃣"),各種設定金額!$M$2,0)</f>
        <v>0</v>
      </c>
      <c r="M41" s="35">
        <f>IF(INDEX(Sheet1!$CF:$CF,ROWS($A$2:$A41)+1)&lt;&gt;"",0,IF(E41="✔",IF(H41="◯",IF(G41="◯",各種設定金額!$J$4,各種設定金額!$J$5),IF(G41="◯",各種設定金額!$J$3,各種設定金額!$J$2)),0))</f>
        <v>0</v>
      </c>
      <c r="N41" s="35">
        <f>IF(E41="✔",各種設定金額!$M$2,0)</f>
        <v>0</v>
      </c>
      <c r="O41" s="35">
        <f>IF(INDEX(Sheet1!$CF:$CF,ROWS($A$2:$A41)+1)&lt;&gt;"",0,IF(F41="✔",IF(H41="◯",IF(G41="◯",各種設定金額!$K$4,各種設定金額!$K$5),IF(G41="◯",各種設定金額!$K$3,各種設定金額!$K$2)),0))</f>
        <v>0</v>
      </c>
      <c r="P41" s="35">
        <f>IF(F41="✔",各種設定金額!$M$2,0)</f>
        <v>0</v>
      </c>
      <c r="Q41" s="35">
        <f>IF(B41&lt;&gt;"",各種設定金額!$D$2,0)</f>
        <v>0</v>
      </c>
      <c r="R41" s="84"/>
      <c r="S41" s="35">
        <f>IF(D41="A",各種設定金額!$P$2,IF(D41="B",各種設定金額!$P$3,IF(D41="C",各種設定金額!$P$4,0)))</f>
        <v>0</v>
      </c>
      <c r="T41" s="35">
        <f>IF(E41="✔",各種設定金額!$Q$2,0)</f>
        <v>0</v>
      </c>
      <c r="U41" s="35">
        <f t="shared" si="0"/>
        <v>0</v>
      </c>
    </row>
    <row r="42" spans="1:21" ht="20.100000000000001" customHeight="1" x14ac:dyDescent="0.15">
      <c r="A42" s="31" t="str">
        <f>IF(B42="","",IF(SUBTOTAL(103,B42)=0,"",SUBTOTAL(103,$B$2:B42)))</f>
        <v/>
      </c>
      <c r="B42" s="31" t="str">
        <f>INDEX(Sheet1!$B:$B,ROWS($A$2:$A42)+1)&amp;""</f>
        <v/>
      </c>
      <c r="C42" s="82"/>
      <c r="D42" s="82"/>
      <c r="E42" s="82"/>
      <c r="F42" s="82"/>
      <c r="G42" s="82"/>
      <c r="H42" s="82"/>
      <c r="I42" s="35" t="str">
        <f>IF(OR(C42="✔",AND(C42="",D42&lt;&gt;"")),各種設定金額!$B$2,IF(C42="2️⃣",各種設定金額!$B$3,IF(AND(C42="",E42="✔"),各種設定金額!$B$4,IF(AND(C42="",E42="",F42="✔"),各種設定金額!$B$5,""))))</f>
        <v/>
      </c>
      <c r="J42" s="35">
        <f>IF(B42&lt;&gt;"",各種設定金額!$C$2,0)</f>
        <v>0</v>
      </c>
      <c r="K42" s="35">
        <f>IF(INDEX(Sheet1!$CF:$CF,ROWS($A$2:$A42)+1)&lt;&gt;"",0,IF(C42="✔",IF(H42="◯",IF(G42="◯",各種設定金額!$H$4,各種設定金額!$H$5),IF(G42="◯",各種設定金額!$H$3,各種設定金額!$H$2)),IF(C42="2️⃣",IF(G42="◯",各種設定金額!$I$3,各種設定金額!$I$2),0)))</f>
        <v>0</v>
      </c>
      <c r="L42" s="35">
        <f>IF(OR(C42="✔",C42="2️⃣"),各種設定金額!$M$2,0)</f>
        <v>0</v>
      </c>
      <c r="M42" s="35">
        <f>IF(INDEX(Sheet1!$CF:$CF,ROWS($A$2:$A42)+1)&lt;&gt;"",0,IF(E42="✔",IF(H42="◯",IF(G42="◯",各種設定金額!$J$4,各種設定金額!$J$5),IF(G42="◯",各種設定金額!$J$3,各種設定金額!$J$2)),0))</f>
        <v>0</v>
      </c>
      <c r="N42" s="35">
        <f>IF(E42="✔",各種設定金額!$M$2,0)</f>
        <v>0</v>
      </c>
      <c r="O42" s="35">
        <f>IF(INDEX(Sheet1!$CF:$CF,ROWS($A$2:$A42)+1)&lt;&gt;"",0,IF(F42="✔",IF(H42="◯",IF(G42="◯",各種設定金額!$K$4,各種設定金額!$K$5),IF(G42="◯",各種設定金額!$K$3,各種設定金額!$K$2)),0))</f>
        <v>0</v>
      </c>
      <c r="P42" s="35">
        <f>IF(F42="✔",各種設定金額!$M$2,0)</f>
        <v>0</v>
      </c>
      <c r="Q42" s="35">
        <f>IF(B42&lt;&gt;"",各種設定金額!$D$2,0)</f>
        <v>0</v>
      </c>
      <c r="R42" s="84"/>
      <c r="S42" s="35">
        <f>IF(D42="A",各種設定金額!$P$2,IF(D42="B",各種設定金額!$P$3,IF(D42="C",各種設定金額!$P$4,0)))</f>
        <v>0</v>
      </c>
      <c r="T42" s="35">
        <f>IF(E42="✔",各種設定金額!$Q$2,0)</f>
        <v>0</v>
      </c>
      <c r="U42" s="35">
        <f t="shared" si="0"/>
        <v>0</v>
      </c>
    </row>
    <row r="43" spans="1:21" ht="20.100000000000001" customHeight="1" x14ac:dyDescent="0.15">
      <c r="A43" s="31" t="str">
        <f>IF(B43="","",IF(SUBTOTAL(103,B43)=0,"",SUBTOTAL(103,$B$2:B43)))</f>
        <v/>
      </c>
      <c r="B43" s="31" t="str">
        <f>INDEX(Sheet1!$B:$B,ROWS($A$2:$A43)+1)&amp;""</f>
        <v/>
      </c>
      <c r="C43" s="82"/>
      <c r="D43" s="82"/>
      <c r="E43" s="82"/>
      <c r="F43" s="82"/>
      <c r="G43" s="82"/>
      <c r="H43" s="82"/>
      <c r="I43" s="35" t="str">
        <f>IF(OR(C43="✔",AND(C43="",D43&lt;&gt;"")),各種設定金額!$B$2,IF(C43="2️⃣",各種設定金額!$B$3,IF(AND(C43="",E43="✔"),各種設定金額!$B$4,IF(AND(C43="",E43="",F43="✔"),各種設定金額!$B$5,""))))</f>
        <v/>
      </c>
      <c r="J43" s="35">
        <f>IF(B43&lt;&gt;"",各種設定金額!$C$2,0)</f>
        <v>0</v>
      </c>
      <c r="K43" s="35">
        <f>IF(INDEX(Sheet1!$CF:$CF,ROWS($A$2:$A43)+1)&lt;&gt;"",0,IF(C43="✔",IF(H43="◯",IF(G43="◯",各種設定金額!$H$4,各種設定金額!$H$5),IF(G43="◯",各種設定金額!$H$3,各種設定金額!$H$2)),IF(C43="2️⃣",IF(G43="◯",各種設定金額!$I$3,各種設定金額!$I$2),0)))</f>
        <v>0</v>
      </c>
      <c r="L43" s="35">
        <f>IF(OR(C43="✔",C43="2️⃣"),各種設定金額!$M$2,0)</f>
        <v>0</v>
      </c>
      <c r="M43" s="35">
        <f>IF(INDEX(Sheet1!$CF:$CF,ROWS($A$2:$A43)+1)&lt;&gt;"",0,IF(E43="✔",IF(H43="◯",IF(G43="◯",各種設定金額!$J$4,各種設定金額!$J$5),IF(G43="◯",各種設定金額!$J$3,各種設定金額!$J$2)),0))</f>
        <v>0</v>
      </c>
      <c r="N43" s="35">
        <f>IF(E43="✔",各種設定金額!$M$2,0)</f>
        <v>0</v>
      </c>
      <c r="O43" s="35">
        <f>IF(INDEX(Sheet1!$CF:$CF,ROWS($A$2:$A43)+1)&lt;&gt;"",0,IF(F43="✔",IF(H43="◯",IF(G43="◯",各種設定金額!$K$4,各種設定金額!$K$5),IF(G43="◯",各種設定金額!$K$3,各種設定金額!$K$2)),0))</f>
        <v>0</v>
      </c>
      <c r="P43" s="35">
        <f>IF(F43="✔",各種設定金額!$M$2,0)</f>
        <v>0</v>
      </c>
      <c r="Q43" s="35">
        <f>IF(B43&lt;&gt;"",各種設定金額!$D$2,0)</f>
        <v>0</v>
      </c>
      <c r="R43" s="84"/>
      <c r="S43" s="35">
        <f>IF(D43="A",各種設定金額!$P$2,IF(D43="B",各種設定金額!$P$3,IF(D43="C",各種設定金額!$P$4,0)))</f>
        <v>0</v>
      </c>
      <c r="T43" s="35">
        <f>IF(E43="✔",各種設定金額!$Q$2,0)</f>
        <v>0</v>
      </c>
      <c r="U43" s="35">
        <f t="shared" si="0"/>
        <v>0</v>
      </c>
    </row>
    <row r="44" spans="1:21" ht="20.100000000000001" customHeight="1" x14ac:dyDescent="0.15">
      <c r="A44" s="31" t="str">
        <f>IF(B44="","",IF(SUBTOTAL(103,B44)=0,"",SUBTOTAL(103,$B$2:B44)))</f>
        <v/>
      </c>
      <c r="B44" s="31" t="str">
        <f>INDEX(Sheet1!$B:$B,ROWS($A$2:$A44)+1)&amp;""</f>
        <v/>
      </c>
      <c r="C44" s="82"/>
      <c r="D44" s="82"/>
      <c r="E44" s="82"/>
      <c r="F44" s="82"/>
      <c r="G44" s="82"/>
      <c r="H44" s="82"/>
      <c r="I44" s="35" t="str">
        <f>IF(OR(C44="✔",AND(C44="",D44&lt;&gt;"")),各種設定金額!$B$2,IF(C44="2️⃣",各種設定金額!$B$3,IF(AND(C44="",E44="✔"),各種設定金額!$B$4,IF(AND(C44="",E44="",F44="✔"),各種設定金額!$B$5,""))))</f>
        <v/>
      </c>
      <c r="J44" s="35">
        <f>IF(B44&lt;&gt;"",各種設定金額!$C$2,0)</f>
        <v>0</v>
      </c>
      <c r="K44" s="35">
        <f>IF(INDEX(Sheet1!$CF:$CF,ROWS($A$2:$A44)+1)&lt;&gt;"",0,IF(C44="✔",IF(H44="◯",IF(G44="◯",各種設定金額!$H$4,各種設定金額!$H$5),IF(G44="◯",各種設定金額!$H$3,各種設定金額!$H$2)),IF(C44="2️⃣",IF(G44="◯",各種設定金額!$I$3,各種設定金額!$I$2),0)))</f>
        <v>0</v>
      </c>
      <c r="L44" s="35">
        <f>IF(OR(C44="✔",C44="2️⃣"),各種設定金額!$M$2,0)</f>
        <v>0</v>
      </c>
      <c r="M44" s="35">
        <f>IF(INDEX(Sheet1!$CF:$CF,ROWS($A$2:$A44)+1)&lt;&gt;"",0,IF(E44="✔",IF(H44="◯",IF(G44="◯",各種設定金額!$J$4,各種設定金額!$J$5),IF(G44="◯",各種設定金額!$J$3,各種設定金額!$J$2)),0))</f>
        <v>0</v>
      </c>
      <c r="N44" s="35">
        <f>IF(E44="✔",各種設定金額!$M$2,0)</f>
        <v>0</v>
      </c>
      <c r="O44" s="35">
        <f>IF(INDEX(Sheet1!$CF:$CF,ROWS($A$2:$A44)+1)&lt;&gt;"",0,IF(F44="✔",IF(H44="◯",IF(G44="◯",各種設定金額!$K$4,各種設定金額!$K$5),IF(G44="◯",各種設定金額!$K$3,各種設定金額!$K$2)),0))</f>
        <v>0</v>
      </c>
      <c r="P44" s="35">
        <f>IF(F44="✔",各種設定金額!$M$2,0)</f>
        <v>0</v>
      </c>
      <c r="Q44" s="35">
        <f>IF(B44&lt;&gt;"",各種設定金額!$D$2,0)</f>
        <v>0</v>
      </c>
      <c r="R44" s="84"/>
      <c r="S44" s="35">
        <f>IF(D44="A",各種設定金額!$P$2,IF(D44="B",各種設定金額!$P$3,IF(D44="C",各種設定金額!$P$4,0)))</f>
        <v>0</v>
      </c>
      <c r="T44" s="35">
        <f>IF(E44="✔",各種設定金額!$Q$2,0)</f>
        <v>0</v>
      </c>
      <c r="U44" s="35">
        <f t="shared" si="0"/>
        <v>0</v>
      </c>
    </row>
    <row r="45" spans="1:21" ht="20.100000000000001" customHeight="1" x14ac:dyDescent="0.15">
      <c r="A45" s="31" t="str">
        <f>IF(B45="","",IF(SUBTOTAL(103,B45)=0,"",SUBTOTAL(103,$B$2:B45)))</f>
        <v/>
      </c>
      <c r="B45" s="31" t="str">
        <f>INDEX(Sheet1!$B:$B,ROWS($A$2:$A45)+1)&amp;""</f>
        <v/>
      </c>
      <c r="C45" s="82"/>
      <c r="D45" s="82"/>
      <c r="E45" s="82"/>
      <c r="F45" s="82"/>
      <c r="G45" s="82"/>
      <c r="H45" s="82"/>
      <c r="I45" s="35" t="str">
        <f>IF(OR(C45="✔",AND(C45="",D45&lt;&gt;"")),各種設定金額!$B$2,IF(C45="2️⃣",各種設定金額!$B$3,IF(AND(C45="",E45="✔"),各種設定金額!$B$4,IF(AND(C45="",E45="",F45="✔"),各種設定金額!$B$5,""))))</f>
        <v/>
      </c>
      <c r="J45" s="35">
        <f>IF(B45&lt;&gt;"",各種設定金額!$C$2,0)</f>
        <v>0</v>
      </c>
      <c r="K45" s="35">
        <f>IF(INDEX(Sheet1!$CF:$CF,ROWS($A$2:$A45)+1)&lt;&gt;"",0,IF(C45="✔",IF(H45="◯",IF(G45="◯",各種設定金額!$H$4,各種設定金額!$H$5),IF(G45="◯",各種設定金額!$H$3,各種設定金額!$H$2)),IF(C45="2️⃣",IF(G45="◯",各種設定金額!$I$3,各種設定金額!$I$2),0)))</f>
        <v>0</v>
      </c>
      <c r="L45" s="35">
        <f>IF(OR(C45="✔",C45="2️⃣"),各種設定金額!$M$2,0)</f>
        <v>0</v>
      </c>
      <c r="M45" s="35">
        <f>IF(INDEX(Sheet1!$CF:$CF,ROWS($A$2:$A45)+1)&lt;&gt;"",0,IF(E45="✔",IF(H45="◯",IF(G45="◯",各種設定金額!$J$4,各種設定金額!$J$5),IF(G45="◯",各種設定金額!$J$3,各種設定金額!$J$2)),0))</f>
        <v>0</v>
      </c>
      <c r="N45" s="35">
        <f>IF(E45="✔",各種設定金額!$M$2,0)</f>
        <v>0</v>
      </c>
      <c r="O45" s="35">
        <f>IF(INDEX(Sheet1!$CF:$CF,ROWS($A$2:$A45)+1)&lt;&gt;"",0,IF(F45="✔",IF(H45="◯",IF(G45="◯",各種設定金額!$K$4,各種設定金額!$K$5),IF(G45="◯",各種設定金額!$K$3,各種設定金額!$K$2)),0))</f>
        <v>0</v>
      </c>
      <c r="P45" s="35">
        <f>IF(F45="✔",各種設定金額!$M$2,0)</f>
        <v>0</v>
      </c>
      <c r="Q45" s="35">
        <f>IF(B45&lt;&gt;"",各種設定金額!$D$2,0)</f>
        <v>0</v>
      </c>
      <c r="R45" s="84"/>
      <c r="S45" s="35">
        <f>IF(D45="A",各種設定金額!$P$2,IF(D45="B",各種設定金額!$P$3,IF(D45="C",各種設定金額!$P$4,0)))</f>
        <v>0</v>
      </c>
      <c r="T45" s="35">
        <f>IF(E45="✔",各種設定金額!$Q$2,0)</f>
        <v>0</v>
      </c>
      <c r="U45" s="35">
        <f t="shared" si="0"/>
        <v>0</v>
      </c>
    </row>
    <row r="46" spans="1:21" ht="20.100000000000001" customHeight="1" x14ac:dyDescent="0.15">
      <c r="A46" s="31" t="str">
        <f>IF(B46="","",IF(SUBTOTAL(103,B46)=0,"",SUBTOTAL(103,$B$2:B46)))</f>
        <v/>
      </c>
      <c r="B46" s="31" t="str">
        <f>INDEX(Sheet1!$B:$B,ROWS($A$2:$A46)+1)&amp;""</f>
        <v/>
      </c>
      <c r="C46" s="82"/>
      <c r="D46" s="82"/>
      <c r="E46" s="82"/>
      <c r="F46" s="82"/>
      <c r="G46" s="82"/>
      <c r="H46" s="82"/>
      <c r="I46" s="35" t="str">
        <f>IF(OR(C46="✔",AND(C46="",D46&lt;&gt;"")),各種設定金額!$B$2,IF(C46="2️⃣",各種設定金額!$B$3,IF(AND(C46="",E46="✔"),各種設定金額!$B$4,IF(AND(C46="",E46="",F46="✔"),各種設定金額!$B$5,""))))</f>
        <v/>
      </c>
      <c r="J46" s="35">
        <f>IF(B46&lt;&gt;"",各種設定金額!$C$2,0)</f>
        <v>0</v>
      </c>
      <c r="K46" s="35">
        <f>IF(INDEX(Sheet1!$CF:$CF,ROWS($A$2:$A46)+1)&lt;&gt;"",0,IF(C46="✔",IF(H46="◯",IF(G46="◯",各種設定金額!$H$4,各種設定金額!$H$5),IF(G46="◯",各種設定金額!$H$3,各種設定金額!$H$2)),IF(C46="2️⃣",IF(G46="◯",各種設定金額!$I$3,各種設定金額!$I$2),0)))</f>
        <v>0</v>
      </c>
      <c r="L46" s="35">
        <f>IF(OR(C46="✔",C46="2️⃣"),各種設定金額!$M$2,0)</f>
        <v>0</v>
      </c>
      <c r="M46" s="35">
        <f>IF(INDEX(Sheet1!$CF:$CF,ROWS($A$2:$A46)+1)&lt;&gt;"",0,IF(E46="✔",IF(H46="◯",IF(G46="◯",各種設定金額!$J$4,各種設定金額!$J$5),IF(G46="◯",各種設定金額!$J$3,各種設定金額!$J$2)),0))</f>
        <v>0</v>
      </c>
      <c r="N46" s="35">
        <f>IF(E46="✔",各種設定金額!$M$2,0)</f>
        <v>0</v>
      </c>
      <c r="O46" s="35">
        <f>IF(INDEX(Sheet1!$CF:$CF,ROWS($A$2:$A46)+1)&lt;&gt;"",0,IF(F46="✔",IF(H46="◯",IF(G46="◯",各種設定金額!$K$4,各種設定金額!$K$5),IF(G46="◯",各種設定金額!$K$3,各種設定金額!$K$2)),0))</f>
        <v>0</v>
      </c>
      <c r="P46" s="35">
        <f>IF(F46="✔",各種設定金額!$M$2,0)</f>
        <v>0</v>
      </c>
      <c r="Q46" s="35">
        <f>IF(B46&lt;&gt;"",各種設定金額!$D$2,0)</f>
        <v>0</v>
      </c>
      <c r="R46" s="84"/>
      <c r="S46" s="35">
        <f>IF(D46="A",各種設定金額!$P$2,IF(D46="B",各種設定金額!$P$3,IF(D46="C",各種設定金額!$P$4,0)))</f>
        <v>0</v>
      </c>
      <c r="T46" s="35">
        <f>IF(E46="✔",各種設定金額!$Q$2,0)</f>
        <v>0</v>
      </c>
      <c r="U46" s="35">
        <f t="shared" si="0"/>
        <v>0</v>
      </c>
    </row>
    <row r="47" spans="1:21" ht="20.100000000000001" customHeight="1" x14ac:dyDescent="0.15">
      <c r="A47" s="31" t="str">
        <f>IF(B47="","",IF(SUBTOTAL(103,B47)=0,"",SUBTOTAL(103,$B$2:B47)))</f>
        <v/>
      </c>
      <c r="B47" s="31" t="str">
        <f>INDEX(Sheet1!$B:$B,ROWS($A$2:$A47)+1)&amp;""</f>
        <v/>
      </c>
      <c r="C47" s="82"/>
      <c r="D47" s="82"/>
      <c r="E47" s="82"/>
      <c r="F47" s="82"/>
      <c r="G47" s="82"/>
      <c r="H47" s="82"/>
      <c r="I47" s="35" t="str">
        <f>IF(OR(C47="✔",AND(C47="",D47&lt;&gt;"")),各種設定金額!$B$2,IF(C47="2️⃣",各種設定金額!$B$3,IF(AND(C47="",E47="✔"),各種設定金額!$B$4,IF(AND(C47="",E47="",F47="✔"),各種設定金額!$B$5,""))))</f>
        <v/>
      </c>
      <c r="J47" s="35">
        <f>IF(B47&lt;&gt;"",各種設定金額!$C$2,0)</f>
        <v>0</v>
      </c>
      <c r="K47" s="35">
        <f>IF(INDEX(Sheet1!$CF:$CF,ROWS($A$2:$A47)+1)&lt;&gt;"",0,IF(C47="✔",IF(H47="◯",IF(G47="◯",各種設定金額!$H$4,各種設定金額!$H$5),IF(G47="◯",各種設定金額!$H$3,各種設定金額!$H$2)),IF(C47="2️⃣",IF(G47="◯",各種設定金額!$I$3,各種設定金額!$I$2),0)))</f>
        <v>0</v>
      </c>
      <c r="L47" s="35">
        <f>IF(OR(C47="✔",C47="2️⃣"),各種設定金額!$M$2,0)</f>
        <v>0</v>
      </c>
      <c r="M47" s="35">
        <f>IF(INDEX(Sheet1!$CF:$CF,ROWS($A$2:$A47)+1)&lt;&gt;"",0,IF(E47="✔",IF(H47="◯",IF(G47="◯",各種設定金額!$J$4,各種設定金額!$J$5),IF(G47="◯",各種設定金額!$J$3,各種設定金額!$J$2)),0))</f>
        <v>0</v>
      </c>
      <c r="N47" s="35">
        <f>IF(E47="✔",各種設定金額!$M$2,0)</f>
        <v>0</v>
      </c>
      <c r="O47" s="35">
        <f>IF(INDEX(Sheet1!$CF:$CF,ROWS($A$2:$A47)+1)&lt;&gt;"",0,IF(F47="✔",IF(H47="◯",IF(G47="◯",各種設定金額!$K$4,各種設定金額!$K$5),IF(G47="◯",各種設定金額!$K$3,各種設定金額!$K$2)),0))</f>
        <v>0</v>
      </c>
      <c r="P47" s="35">
        <f>IF(F47="✔",各種設定金額!$M$2,0)</f>
        <v>0</v>
      </c>
      <c r="Q47" s="35">
        <f>IF(B47&lt;&gt;"",各種設定金額!$D$2,0)</f>
        <v>0</v>
      </c>
      <c r="R47" s="84"/>
      <c r="S47" s="35">
        <f>IF(D47="A",各種設定金額!$P$2,IF(D47="B",各種設定金額!$P$3,IF(D47="C",各種設定金額!$P$4,0)))</f>
        <v>0</v>
      </c>
      <c r="T47" s="35">
        <f>IF(E47="✔",各種設定金額!$Q$2,0)</f>
        <v>0</v>
      </c>
      <c r="U47" s="35">
        <f t="shared" si="0"/>
        <v>0</v>
      </c>
    </row>
    <row r="48" spans="1:21" ht="20.100000000000001" customHeight="1" x14ac:dyDescent="0.15">
      <c r="A48" s="31" t="str">
        <f>IF(B48="","",IF(SUBTOTAL(103,B48)=0,"",SUBTOTAL(103,$B$2:B48)))</f>
        <v/>
      </c>
      <c r="B48" s="31" t="str">
        <f>INDEX(Sheet1!$B:$B,ROWS($A$2:$A48)+1)&amp;""</f>
        <v/>
      </c>
      <c r="C48" s="82"/>
      <c r="D48" s="82"/>
      <c r="E48" s="82"/>
      <c r="F48" s="82"/>
      <c r="G48" s="82"/>
      <c r="H48" s="82"/>
      <c r="I48" s="35" t="str">
        <f>IF(OR(C48="✔",AND(C48="",D48&lt;&gt;"")),各種設定金額!$B$2,IF(C48="2️⃣",各種設定金額!$B$3,IF(AND(C48="",E48="✔"),各種設定金額!$B$4,IF(AND(C48="",E48="",F48="✔"),各種設定金額!$B$5,""))))</f>
        <v/>
      </c>
      <c r="J48" s="35">
        <f>IF(B48&lt;&gt;"",各種設定金額!$C$2,0)</f>
        <v>0</v>
      </c>
      <c r="K48" s="35">
        <f>IF(INDEX(Sheet1!$CF:$CF,ROWS($A$2:$A48)+1)&lt;&gt;"",0,IF(C48="✔",IF(H48="◯",IF(G48="◯",各種設定金額!$H$4,各種設定金額!$H$5),IF(G48="◯",各種設定金額!$H$3,各種設定金額!$H$2)),IF(C48="2️⃣",IF(G48="◯",各種設定金額!$I$3,各種設定金額!$I$2),0)))</f>
        <v>0</v>
      </c>
      <c r="L48" s="35">
        <f>IF(OR(C48="✔",C48="2️⃣"),各種設定金額!$M$2,0)</f>
        <v>0</v>
      </c>
      <c r="M48" s="35">
        <f>IF(INDEX(Sheet1!$CF:$CF,ROWS($A$2:$A48)+1)&lt;&gt;"",0,IF(E48="✔",IF(H48="◯",IF(G48="◯",各種設定金額!$J$4,各種設定金額!$J$5),IF(G48="◯",各種設定金額!$J$3,各種設定金額!$J$2)),0))</f>
        <v>0</v>
      </c>
      <c r="N48" s="35">
        <f>IF(E48="✔",各種設定金額!$M$2,0)</f>
        <v>0</v>
      </c>
      <c r="O48" s="35">
        <f>IF(INDEX(Sheet1!$CF:$CF,ROWS($A$2:$A48)+1)&lt;&gt;"",0,IF(F48="✔",IF(H48="◯",IF(G48="◯",各種設定金額!$K$4,各種設定金額!$K$5),IF(G48="◯",各種設定金額!$K$3,各種設定金額!$K$2)),0))</f>
        <v>0</v>
      </c>
      <c r="P48" s="35">
        <f>IF(F48="✔",各種設定金額!$M$2,0)</f>
        <v>0</v>
      </c>
      <c r="Q48" s="35">
        <f>IF(B48&lt;&gt;"",各種設定金額!$D$2,0)</f>
        <v>0</v>
      </c>
      <c r="R48" s="84"/>
      <c r="S48" s="35">
        <f>IF(D48="A",各種設定金額!$P$2,IF(D48="B",各種設定金額!$P$3,IF(D48="C",各種設定金額!$P$4,0)))</f>
        <v>0</v>
      </c>
      <c r="T48" s="35">
        <f>IF(E48="✔",各種設定金額!$Q$2,0)</f>
        <v>0</v>
      </c>
      <c r="U48" s="35">
        <f t="shared" si="0"/>
        <v>0</v>
      </c>
    </row>
    <row r="49" spans="1:21" ht="20.100000000000001" customHeight="1" x14ac:dyDescent="0.15">
      <c r="A49" s="31" t="str">
        <f>IF(B49="","",IF(SUBTOTAL(103,B49)=0,"",SUBTOTAL(103,$B$2:B49)))</f>
        <v/>
      </c>
      <c r="B49" s="31" t="str">
        <f>INDEX(Sheet1!$B:$B,ROWS($A$2:$A49)+1)&amp;""</f>
        <v/>
      </c>
      <c r="C49" s="82"/>
      <c r="D49" s="82"/>
      <c r="E49" s="82"/>
      <c r="F49" s="82"/>
      <c r="G49" s="82"/>
      <c r="H49" s="82"/>
      <c r="I49" s="35" t="str">
        <f>IF(OR(C49="✔",AND(C49="",D49&lt;&gt;"")),各種設定金額!$B$2,IF(C49="2️⃣",各種設定金額!$B$3,IF(AND(C49="",E49="✔"),各種設定金額!$B$4,IF(AND(C49="",E49="",F49="✔"),各種設定金額!$B$5,""))))</f>
        <v/>
      </c>
      <c r="J49" s="35">
        <f>IF(B49&lt;&gt;"",各種設定金額!$C$2,0)</f>
        <v>0</v>
      </c>
      <c r="K49" s="35">
        <f>IF(INDEX(Sheet1!$CF:$CF,ROWS($A$2:$A49)+1)&lt;&gt;"",0,IF(C49="✔",IF(H49="◯",IF(G49="◯",各種設定金額!$H$4,各種設定金額!$H$5),IF(G49="◯",各種設定金額!$H$3,各種設定金額!$H$2)),IF(C49="2️⃣",IF(G49="◯",各種設定金額!$I$3,各種設定金額!$I$2),0)))</f>
        <v>0</v>
      </c>
      <c r="L49" s="35">
        <f>IF(OR(C49="✔",C49="2️⃣"),各種設定金額!$M$2,0)</f>
        <v>0</v>
      </c>
      <c r="M49" s="35">
        <f>IF(INDEX(Sheet1!$CF:$CF,ROWS($A$2:$A49)+1)&lt;&gt;"",0,IF(E49="✔",IF(H49="◯",IF(G49="◯",各種設定金額!$J$4,各種設定金額!$J$5),IF(G49="◯",各種設定金額!$J$3,各種設定金額!$J$2)),0))</f>
        <v>0</v>
      </c>
      <c r="N49" s="35">
        <f>IF(E49="✔",各種設定金額!$M$2,0)</f>
        <v>0</v>
      </c>
      <c r="O49" s="35">
        <f>IF(INDEX(Sheet1!$CF:$CF,ROWS($A$2:$A49)+1)&lt;&gt;"",0,IF(F49="✔",IF(H49="◯",IF(G49="◯",各種設定金額!$K$4,各種設定金額!$K$5),IF(G49="◯",各種設定金額!$K$3,各種設定金額!$K$2)),0))</f>
        <v>0</v>
      </c>
      <c r="P49" s="35">
        <f>IF(F49="✔",各種設定金額!$M$2,0)</f>
        <v>0</v>
      </c>
      <c r="Q49" s="35">
        <f>IF(B49&lt;&gt;"",各種設定金額!$D$2,0)</f>
        <v>0</v>
      </c>
      <c r="R49" s="84"/>
      <c r="S49" s="35">
        <f>IF(D49="A",各種設定金額!$P$2,IF(D49="B",各種設定金額!$P$3,IF(D49="C",各種設定金額!$P$4,0)))</f>
        <v>0</v>
      </c>
      <c r="T49" s="35">
        <f>IF(E49="✔",各種設定金額!$Q$2,0)</f>
        <v>0</v>
      </c>
      <c r="U49" s="35">
        <f t="shared" si="0"/>
        <v>0</v>
      </c>
    </row>
    <row r="50" spans="1:21" ht="20.100000000000001" customHeight="1" x14ac:dyDescent="0.15">
      <c r="A50" s="31" t="str">
        <f>IF(B50="","",IF(SUBTOTAL(103,B50)=0,"",SUBTOTAL(103,$B$2:B50)))</f>
        <v/>
      </c>
      <c r="B50" s="31" t="str">
        <f>INDEX(Sheet1!$B:$B,ROWS($A$2:$A50)+1)&amp;""</f>
        <v/>
      </c>
      <c r="C50" s="82"/>
      <c r="D50" s="82"/>
      <c r="E50" s="82"/>
      <c r="F50" s="82"/>
      <c r="G50" s="82"/>
      <c r="H50" s="82"/>
      <c r="I50" s="35" t="str">
        <f>IF(OR(C50="✔",AND(C50="",D50&lt;&gt;"")),各種設定金額!$B$2,IF(C50="2️⃣",各種設定金額!$B$3,IF(AND(C50="",E50="✔"),各種設定金額!$B$4,IF(AND(C50="",E50="",F50="✔"),各種設定金額!$B$5,""))))</f>
        <v/>
      </c>
      <c r="J50" s="35">
        <f>IF(B50&lt;&gt;"",各種設定金額!$C$2,0)</f>
        <v>0</v>
      </c>
      <c r="K50" s="35">
        <f>IF(INDEX(Sheet1!$CF:$CF,ROWS($A$2:$A50)+1)&lt;&gt;"",0,IF(C50="✔",IF(H50="◯",IF(G50="◯",各種設定金額!$H$4,各種設定金額!$H$5),IF(G50="◯",各種設定金額!$H$3,各種設定金額!$H$2)),IF(C50="2️⃣",IF(G50="◯",各種設定金額!$I$3,各種設定金額!$I$2),0)))</f>
        <v>0</v>
      </c>
      <c r="L50" s="35">
        <f>IF(OR(C50="✔",C50="2️⃣"),各種設定金額!$M$2,0)</f>
        <v>0</v>
      </c>
      <c r="M50" s="35">
        <f>IF(INDEX(Sheet1!$CF:$CF,ROWS($A$2:$A50)+1)&lt;&gt;"",0,IF(E50="✔",IF(H50="◯",IF(G50="◯",各種設定金額!$J$4,各種設定金額!$J$5),IF(G50="◯",各種設定金額!$J$3,各種設定金額!$J$2)),0))</f>
        <v>0</v>
      </c>
      <c r="N50" s="35">
        <f>IF(E50="✔",各種設定金額!$M$2,0)</f>
        <v>0</v>
      </c>
      <c r="O50" s="35">
        <f>IF(INDEX(Sheet1!$CF:$CF,ROWS($A$2:$A50)+1)&lt;&gt;"",0,IF(F50="✔",IF(H50="◯",IF(G50="◯",各種設定金額!$K$4,各種設定金額!$K$5),IF(G50="◯",各種設定金額!$K$3,各種設定金額!$K$2)),0))</f>
        <v>0</v>
      </c>
      <c r="P50" s="35">
        <f>IF(F50="✔",各種設定金額!$M$2,0)</f>
        <v>0</v>
      </c>
      <c r="Q50" s="35">
        <f>IF(B50&lt;&gt;"",各種設定金額!$D$2,0)</f>
        <v>0</v>
      </c>
      <c r="R50" s="84"/>
      <c r="S50" s="35">
        <f>IF(D50="A",各種設定金額!$P$2,IF(D50="B",各種設定金額!$P$3,IF(D50="C",各種設定金額!$P$4,0)))</f>
        <v>0</v>
      </c>
      <c r="T50" s="35">
        <f>IF(E50="✔",各種設定金額!$Q$2,0)</f>
        <v>0</v>
      </c>
      <c r="U50" s="35">
        <f t="shared" si="0"/>
        <v>0</v>
      </c>
    </row>
    <row r="51" spans="1:21" ht="20.100000000000001" customHeight="1" x14ac:dyDescent="0.15">
      <c r="A51" s="31" t="str">
        <f>IF(B51="","",IF(SUBTOTAL(103,B51)=0,"",SUBTOTAL(103,$B$2:B51)))</f>
        <v/>
      </c>
      <c r="B51" s="31" t="str">
        <f>INDEX(Sheet1!$B:$B,ROWS($A$2:$A51)+1)&amp;""</f>
        <v/>
      </c>
      <c r="C51" s="82"/>
      <c r="D51" s="82"/>
      <c r="E51" s="82"/>
      <c r="F51" s="82"/>
      <c r="G51" s="82"/>
      <c r="H51" s="82"/>
      <c r="I51" s="35" t="str">
        <f>IF(OR(C51="✔",AND(C51="",D51&lt;&gt;"")),各種設定金額!$B$2,IF(C51="2️⃣",各種設定金額!$B$3,IF(AND(C51="",E51="✔"),各種設定金額!$B$4,IF(AND(C51="",E51="",F51="✔"),各種設定金額!$B$5,""))))</f>
        <v/>
      </c>
      <c r="J51" s="35">
        <f>IF(B51&lt;&gt;"",各種設定金額!$C$2,0)</f>
        <v>0</v>
      </c>
      <c r="K51" s="35">
        <f>IF(INDEX(Sheet1!$CF:$CF,ROWS($A$2:$A51)+1)&lt;&gt;"",0,IF(C51="✔",IF(H51="◯",IF(G51="◯",各種設定金額!$H$4,各種設定金額!$H$5),IF(G51="◯",各種設定金額!$H$3,各種設定金額!$H$2)),IF(C51="2️⃣",IF(G51="◯",各種設定金額!$I$3,各種設定金額!$I$2),0)))</f>
        <v>0</v>
      </c>
      <c r="L51" s="35">
        <f>IF(OR(C51="✔",C51="2️⃣"),各種設定金額!$M$2,0)</f>
        <v>0</v>
      </c>
      <c r="M51" s="35">
        <f>IF(INDEX(Sheet1!$CF:$CF,ROWS($A$2:$A51)+1)&lt;&gt;"",0,IF(E51="✔",IF(H51="◯",IF(G51="◯",各種設定金額!$J$4,各種設定金額!$J$5),IF(G51="◯",各種設定金額!$J$3,各種設定金額!$J$2)),0))</f>
        <v>0</v>
      </c>
      <c r="N51" s="35">
        <f>IF(E51="✔",各種設定金額!$M$2,0)</f>
        <v>0</v>
      </c>
      <c r="O51" s="35">
        <f>IF(INDEX(Sheet1!$CF:$CF,ROWS($A$2:$A51)+1)&lt;&gt;"",0,IF(F51="✔",IF(H51="◯",IF(G51="◯",各種設定金額!$K$4,各種設定金額!$K$5),IF(G51="◯",各種設定金額!$K$3,各種設定金額!$K$2)),0))</f>
        <v>0</v>
      </c>
      <c r="P51" s="35">
        <f>IF(F51="✔",各種設定金額!$M$2,0)</f>
        <v>0</v>
      </c>
      <c r="Q51" s="35">
        <f>IF(B51&lt;&gt;"",各種設定金額!$D$2,0)</f>
        <v>0</v>
      </c>
      <c r="R51" s="84"/>
      <c r="S51" s="35">
        <f>IF(D51="A",各種設定金額!$P$2,IF(D51="B",各種設定金額!$P$3,IF(D51="C",各種設定金額!$P$4,0)))</f>
        <v>0</v>
      </c>
      <c r="T51" s="35">
        <f>IF(E51="✔",各種設定金額!$Q$2,0)</f>
        <v>0</v>
      </c>
      <c r="U51" s="35">
        <f t="shared" ref="U51:U114" si="1">SUM(I51:T51)</f>
        <v>0</v>
      </c>
    </row>
    <row r="52" spans="1:21" ht="20.100000000000001" customHeight="1" x14ac:dyDescent="0.15">
      <c r="A52" s="31" t="str">
        <f>IF(B52="","",IF(SUBTOTAL(103,B52)=0,"",SUBTOTAL(103,$B$2:B52)))</f>
        <v/>
      </c>
      <c r="B52" s="31" t="str">
        <f>INDEX(Sheet1!$B:$B,ROWS($A$2:$A52)+1)&amp;""</f>
        <v/>
      </c>
      <c r="C52" s="82"/>
      <c r="D52" s="82"/>
      <c r="E52" s="82"/>
      <c r="F52" s="82"/>
      <c r="G52" s="82"/>
      <c r="H52" s="82"/>
      <c r="I52" s="35" t="str">
        <f>IF(OR(C52="✔",AND(C52="",D52&lt;&gt;"")),各種設定金額!$B$2,IF(C52="2️⃣",各種設定金額!$B$3,IF(AND(C52="",E52="✔"),各種設定金額!$B$4,IF(AND(C52="",E52="",F52="✔"),各種設定金額!$B$5,""))))</f>
        <v/>
      </c>
      <c r="J52" s="35">
        <f>IF(B52&lt;&gt;"",各種設定金額!$C$2,0)</f>
        <v>0</v>
      </c>
      <c r="K52" s="35">
        <f>IF(INDEX(Sheet1!$CF:$CF,ROWS($A$2:$A52)+1)&lt;&gt;"",0,IF(C52="✔",IF(H52="◯",IF(G52="◯",各種設定金額!$H$4,各種設定金額!$H$5),IF(G52="◯",各種設定金額!$H$3,各種設定金額!$H$2)),IF(C52="2️⃣",IF(G52="◯",各種設定金額!$I$3,各種設定金額!$I$2),0)))</f>
        <v>0</v>
      </c>
      <c r="L52" s="35">
        <f>IF(OR(C52="✔",C52="2️⃣"),各種設定金額!$M$2,0)</f>
        <v>0</v>
      </c>
      <c r="M52" s="35">
        <f>IF(INDEX(Sheet1!$CF:$CF,ROWS($A$2:$A52)+1)&lt;&gt;"",0,IF(E52="✔",IF(H52="◯",IF(G52="◯",各種設定金額!$J$4,各種設定金額!$J$5),IF(G52="◯",各種設定金額!$J$3,各種設定金額!$J$2)),0))</f>
        <v>0</v>
      </c>
      <c r="N52" s="35">
        <f>IF(E52="✔",各種設定金額!$M$2,0)</f>
        <v>0</v>
      </c>
      <c r="O52" s="35">
        <f>IF(INDEX(Sheet1!$CF:$CF,ROWS($A$2:$A52)+1)&lt;&gt;"",0,IF(F52="✔",IF(H52="◯",IF(G52="◯",各種設定金額!$K$4,各種設定金額!$K$5),IF(G52="◯",各種設定金額!$K$3,各種設定金額!$K$2)),0))</f>
        <v>0</v>
      </c>
      <c r="P52" s="35">
        <f>IF(F52="✔",各種設定金額!$M$2,0)</f>
        <v>0</v>
      </c>
      <c r="Q52" s="35">
        <f>IF(B52&lt;&gt;"",各種設定金額!$D$2,0)</f>
        <v>0</v>
      </c>
      <c r="R52" s="84"/>
      <c r="S52" s="35">
        <f>IF(D52="A",各種設定金額!$P$2,IF(D52="B",各種設定金額!$P$3,IF(D52="C",各種設定金額!$P$4,0)))</f>
        <v>0</v>
      </c>
      <c r="T52" s="35">
        <f>IF(E52="✔",各種設定金額!$Q$2,0)</f>
        <v>0</v>
      </c>
      <c r="U52" s="35">
        <f t="shared" si="1"/>
        <v>0</v>
      </c>
    </row>
    <row r="53" spans="1:21" ht="20.100000000000001" customHeight="1" x14ac:dyDescent="0.15">
      <c r="A53" s="31" t="str">
        <f>IF(B53="","",IF(SUBTOTAL(103,B53)=0,"",SUBTOTAL(103,$B$2:B53)))</f>
        <v/>
      </c>
      <c r="B53" s="31" t="str">
        <f>INDEX(Sheet1!$B:$B,ROWS($A$2:$A53)+1)&amp;""</f>
        <v/>
      </c>
      <c r="C53" s="82"/>
      <c r="D53" s="82"/>
      <c r="E53" s="82"/>
      <c r="F53" s="82"/>
      <c r="G53" s="82"/>
      <c r="H53" s="82"/>
      <c r="I53" s="35" t="str">
        <f>IF(OR(C53="✔",AND(C53="",D53&lt;&gt;"")),各種設定金額!$B$2,IF(C53="2️⃣",各種設定金額!$B$3,IF(AND(C53="",E53="✔"),各種設定金額!$B$4,IF(AND(C53="",E53="",F53="✔"),各種設定金額!$B$5,""))))</f>
        <v/>
      </c>
      <c r="J53" s="35">
        <f>IF(B53&lt;&gt;"",各種設定金額!$C$2,0)</f>
        <v>0</v>
      </c>
      <c r="K53" s="35">
        <f>IF(INDEX(Sheet1!$CF:$CF,ROWS($A$2:$A53)+1)&lt;&gt;"",0,IF(C53="✔",IF(H53="◯",IF(G53="◯",各種設定金額!$H$4,各種設定金額!$H$5),IF(G53="◯",各種設定金額!$H$3,各種設定金額!$H$2)),IF(C53="2️⃣",IF(G53="◯",各種設定金額!$I$3,各種設定金額!$I$2),0)))</f>
        <v>0</v>
      </c>
      <c r="L53" s="35">
        <f>IF(OR(C53="✔",C53="2️⃣"),各種設定金額!$M$2,0)</f>
        <v>0</v>
      </c>
      <c r="M53" s="35">
        <f>IF(INDEX(Sheet1!$CF:$CF,ROWS($A$2:$A53)+1)&lt;&gt;"",0,IF(E53="✔",IF(H53="◯",IF(G53="◯",各種設定金額!$J$4,各種設定金額!$J$5),IF(G53="◯",各種設定金額!$J$3,各種設定金額!$J$2)),0))</f>
        <v>0</v>
      </c>
      <c r="N53" s="35">
        <f>IF(E53="✔",各種設定金額!$M$2,0)</f>
        <v>0</v>
      </c>
      <c r="O53" s="35">
        <f>IF(INDEX(Sheet1!$CF:$CF,ROWS($A$2:$A53)+1)&lt;&gt;"",0,IF(F53="✔",IF(H53="◯",IF(G53="◯",各種設定金額!$K$4,各種設定金額!$K$5),IF(G53="◯",各種設定金額!$K$3,各種設定金額!$K$2)),0))</f>
        <v>0</v>
      </c>
      <c r="P53" s="35">
        <f>IF(F53="✔",各種設定金額!$M$2,0)</f>
        <v>0</v>
      </c>
      <c r="Q53" s="35">
        <f>IF(B53&lt;&gt;"",各種設定金額!$D$2,0)</f>
        <v>0</v>
      </c>
      <c r="R53" s="84"/>
      <c r="S53" s="35">
        <f>IF(D53="A",各種設定金額!$P$2,IF(D53="B",各種設定金額!$P$3,IF(D53="C",各種設定金額!$P$4,0)))</f>
        <v>0</v>
      </c>
      <c r="T53" s="35">
        <f>IF(E53="✔",各種設定金額!$Q$2,0)</f>
        <v>0</v>
      </c>
      <c r="U53" s="35">
        <f t="shared" si="1"/>
        <v>0</v>
      </c>
    </row>
    <row r="54" spans="1:21" ht="20.100000000000001" customHeight="1" x14ac:dyDescent="0.15">
      <c r="A54" s="31" t="str">
        <f>IF(B54="","",IF(SUBTOTAL(103,B54)=0,"",SUBTOTAL(103,$B$2:B54)))</f>
        <v/>
      </c>
      <c r="B54" s="31" t="str">
        <f>INDEX(Sheet1!$B:$B,ROWS($A$2:$A54)+1)&amp;""</f>
        <v/>
      </c>
      <c r="C54" s="82"/>
      <c r="D54" s="82"/>
      <c r="E54" s="82"/>
      <c r="F54" s="82"/>
      <c r="G54" s="82"/>
      <c r="H54" s="82"/>
      <c r="I54" s="35" t="str">
        <f>IF(OR(C54="✔",AND(C54="",D54&lt;&gt;"")),各種設定金額!$B$2,IF(C54="2️⃣",各種設定金額!$B$3,IF(AND(C54="",E54="✔"),各種設定金額!$B$4,IF(AND(C54="",E54="",F54="✔"),各種設定金額!$B$5,""))))</f>
        <v/>
      </c>
      <c r="J54" s="35">
        <f>IF(B54&lt;&gt;"",各種設定金額!$C$2,0)</f>
        <v>0</v>
      </c>
      <c r="K54" s="35">
        <f>IF(INDEX(Sheet1!$CF:$CF,ROWS($A$2:$A54)+1)&lt;&gt;"",0,IF(C54="✔",IF(H54="◯",IF(G54="◯",各種設定金額!$H$4,各種設定金額!$H$5),IF(G54="◯",各種設定金額!$H$3,各種設定金額!$H$2)),IF(C54="2️⃣",IF(G54="◯",各種設定金額!$I$3,各種設定金額!$I$2),0)))</f>
        <v>0</v>
      </c>
      <c r="L54" s="35">
        <f>IF(OR(C54="✔",C54="2️⃣"),各種設定金額!$M$2,0)</f>
        <v>0</v>
      </c>
      <c r="M54" s="35">
        <f>IF(INDEX(Sheet1!$CF:$CF,ROWS($A$2:$A54)+1)&lt;&gt;"",0,IF(E54="✔",IF(H54="◯",IF(G54="◯",各種設定金額!$J$4,各種設定金額!$J$5),IF(G54="◯",各種設定金額!$J$3,各種設定金額!$J$2)),0))</f>
        <v>0</v>
      </c>
      <c r="N54" s="35">
        <f>IF(E54="✔",各種設定金額!$M$2,0)</f>
        <v>0</v>
      </c>
      <c r="O54" s="35">
        <f>IF(INDEX(Sheet1!$CF:$CF,ROWS($A$2:$A54)+1)&lt;&gt;"",0,IF(F54="✔",IF(H54="◯",IF(G54="◯",各種設定金額!$K$4,各種設定金額!$K$5),IF(G54="◯",各種設定金額!$K$3,各種設定金額!$K$2)),0))</f>
        <v>0</v>
      </c>
      <c r="P54" s="35">
        <f>IF(F54="✔",各種設定金額!$M$2,0)</f>
        <v>0</v>
      </c>
      <c r="Q54" s="35">
        <f>IF(B54&lt;&gt;"",各種設定金額!$D$2,0)</f>
        <v>0</v>
      </c>
      <c r="R54" s="84"/>
      <c r="S54" s="35">
        <f>IF(D54="A",各種設定金額!$P$2,IF(D54="B",各種設定金額!$P$3,IF(D54="C",各種設定金額!$P$4,0)))</f>
        <v>0</v>
      </c>
      <c r="T54" s="35">
        <f>IF(E54="✔",各種設定金額!$Q$2,0)</f>
        <v>0</v>
      </c>
      <c r="U54" s="35">
        <f t="shared" si="1"/>
        <v>0</v>
      </c>
    </row>
    <row r="55" spans="1:21" ht="20.100000000000001" customHeight="1" x14ac:dyDescent="0.15">
      <c r="A55" s="31" t="str">
        <f>IF(B55="","",IF(SUBTOTAL(103,B55)=0,"",SUBTOTAL(103,$B$2:B55)))</f>
        <v/>
      </c>
      <c r="B55" s="31" t="str">
        <f>INDEX(Sheet1!$B:$B,ROWS($A$2:$A55)+1)&amp;""</f>
        <v/>
      </c>
      <c r="C55" s="82"/>
      <c r="D55" s="82"/>
      <c r="E55" s="82"/>
      <c r="F55" s="82"/>
      <c r="G55" s="82"/>
      <c r="H55" s="82"/>
      <c r="I55" s="35" t="str">
        <f>IF(OR(C55="✔",AND(C55="",D55&lt;&gt;"")),各種設定金額!$B$2,IF(C55="2️⃣",各種設定金額!$B$3,IF(AND(C55="",E55="✔"),各種設定金額!$B$4,IF(AND(C55="",E55="",F55="✔"),各種設定金額!$B$5,""))))</f>
        <v/>
      </c>
      <c r="J55" s="35">
        <f>IF(B55&lt;&gt;"",各種設定金額!$C$2,0)</f>
        <v>0</v>
      </c>
      <c r="K55" s="35">
        <f>IF(INDEX(Sheet1!$CF:$CF,ROWS($A$2:$A55)+1)&lt;&gt;"",0,IF(C55="✔",IF(H55="◯",IF(G55="◯",各種設定金額!$H$4,各種設定金額!$H$5),IF(G55="◯",各種設定金額!$H$3,各種設定金額!$H$2)),IF(C55="2️⃣",IF(G55="◯",各種設定金額!$I$3,各種設定金額!$I$2),0)))</f>
        <v>0</v>
      </c>
      <c r="L55" s="35">
        <f>IF(OR(C55="✔",C55="2️⃣"),各種設定金額!$M$2,0)</f>
        <v>0</v>
      </c>
      <c r="M55" s="35">
        <f>IF(INDEX(Sheet1!$CF:$CF,ROWS($A$2:$A55)+1)&lt;&gt;"",0,IF(E55="✔",IF(H55="◯",IF(G55="◯",各種設定金額!$J$4,各種設定金額!$J$5),IF(G55="◯",各種設定金額!$J$3,各種設定金額!$J$2)),0))</f>
        <v>0</v>
      </c>
      <c r="N55" s="35">
        <f>IF(E55="✔",各種設定金額!$M$2,0)</f>
        <v>0</v>
      </c>
      <c r="O55" s="35">
        <f>IF(INDEX(Sheet1!$CF:$CF,ROWS($A$2:$A55)+1)&lt;&gt;"",0,IF(F55="✔",IF(H55="◯",IF(G55="◯",各種設定金額!$K$4,各種設定金額!$K$5),IF(G55="◯",各種設定金額!$K$3,各種設定金額!$K$2)),0))</f>
        <v>0</v>
      </c>
      <c r="P55" s="35">
        <f>IF(F55="✔",各種設定金額!$M$2,0)</f>
        <v>0</v>
      </c>
      <c r="Q55" s="35">
        <f>IF(B55&lt;&gt;"",各種設定金額!$D$2,0)</f>
        <v>0</v>
      </c>
      <c r="R55" s="84"/>
      <c r="S55" s="35">
        <f>IF(D55="A",各種設定金額!$P$2,IF(D55="B",各種設定金額!$P$3,IF(D55="C",各種設定金額!$P$4,0)))</f>
        <v>0</v>
      </c>
      <c r="T55" s="35">
        <f>IF(E55="✔",各種設定金額!$Q$2,0)</f>
        <v>0</v>
      </c>
      <c r="U55" s="35">
        <f t="shared" si="1"/>
        <v>0</v>
      </c>
    </row>
    <row r="56" spans="1:21" ht="20.100000000000001" customHeight="1" x14ac:dyDescent="0.15">
      <c r="A56" s="31" t="str">
        <f>IF(B56="","",IF(SUBTOTAL(103,B56)=0,"",SUBTOTAL(103,$B$2:B56)))</f>
        <v/>
      </c>
      <c r="B56" s="31" t="str">
        <f>INDEX(Sheet1!$B:$B,ROWS($A$2:$A56)+1)&amp;""</f>
        <v/>
      </c>
      <c r="C56" s="82"/>
      <c r="D56" s="82"/>
      <c r="E56" s="82"/>
      <c r="F56" s="82"/>
      <c r="G56" s="82"/>
      <c r="H56" s="82"/>
      <c r="I56" s="35" t="str">
        <f>IF(OR(C56="✔",AND(C56="",D56&lt;&gt;"")),各種設定金額!$B$2,IF(C56="2️⃣",各種設定金額!$B$3,IF(AND(C56="",E56="✔"),各種設定金額!$B$4,IF(AND(C56="",E56="",F56="✔"),各種設定金額!$B$5,""))))</f>
        <v/>
      </c>
      <c r="J56" s="35">
        <f>IF(B56&lt;&gt;"",各種設定金額!$C$2,0)</f>
        <v>0</v>
      </c>
      <c r="K56" s="35">
        <f>IF(INDEX(Sheet1!$CF:$CF,ROWS($A$2:$A56)+1)&lt;&gt;"",0,IF(C56="✔",IF(H56="◯",IF(G56="◯",各種設定金額!$H$4,各種設定金額!$H$5),IF(G56="◯",各種設定金額!$H$3,各種設定金額!$H$2)),IF(C56="2️⃣",IF(G56="◯",各種設定金額!$I$3,各種設定金額!$I$2),0)))</f>
        <v>0</v>
      </c>
      <c r="L56" s="35">
        <f>IF(OR(C56="✔",C56="2️⃣"),各種設定金額!$M$2,0)</f>
        <v>0</v>
      </c>
      <c r="M56" s="35">
        <f>IF(INDEX(Sheet1!$CF:$CF,ROWS($A$2:$A56)+1)&lt;&gt;"",0,IF(E56="✔",IF(H56="◯",IF(G56="◯",各種設定金額!$J$4,各種設定金額!$J$5),IF(G56="◯",各種設定金額!$J$3,各種設定金額!$J$2)),0))</f>
        <v>0</v>
      </c>
      <c r="N56" s="35">
        <f>IF(E56="✔",各種設定金額!$M$2,0)</f>
        <v>0</v>
      </c>
      <c r="O56" s="35">
        <f>IF(INDEX(Sheet1!$CF:$CF,ROWS($A$2:$A56)+1)&lt;&gt;"",0,IF(F56="✔",IF(H56="◯",IF(G56="◯",各種設定金額!$K$4,各種設定金額!$K$5),IF(G56="◯",各種設定金額!$K$3,各種設定金額!$K$2)),0))</f>
        <v>0</v>
      </c>
      <c r="P56" s="35">
        <f>IF(F56="✔",各種設定金額!$M$2,0)</f>
        <v>0</v>
      </c>
      <c r="Q56" s="35">
        <f>IF(B56&lt;&gt;"",各種設定金額!$D$2,0)</f>
        <v>0</v>
      </c>
      <c r="R56" s="84"/>
      <c r="S56" s="35">
        <f>IF(D56="A",各種設定金額!$P$2,IF(D56="B",各種設定金額!$P$3,IF(D56="C",各種設定金額!$P$4,0)))</f>
        <v>0</v>
      </c>
      <c r="T56" s="35">
        <f>IF(E56="✔",各種設定金額!$Q$2,0)</f>
        <v>0</v>
      </c>
      <c r="U56" s="35">
        <f t="shared" si="1"/>
        <v>0</v>
      </c>
    </row>
    <row r="57" spans="1:21" ht="20.100000000000001" customHeight="1" x14ac:dyDescent="0.15">
      <c r="A57" s="31" t="str">
        <f>IF(B57="","",IF(SUBTOTAL(103,B57)=0,"",SUBTOTAL(103,$B$2:B57)))</f>
        <v/>
      </c>
      <c r="B57" s="31" t="str">
        <f>INDEX(Sheet1!$B:$B,ROWS($A$2:$A57)+1)&amp;""</f>
        <v/>
      </c>
      <c r="C57" s="82"/>
      <c r="D57" s="82"/>
      <c r="E57" s="82"/>
      <c r="F57" s="82"/>
      <c r="G57" s="82"/>
      <c r="H57" s="82"/>
      <c r="I57" s="35" t="str">
        <f>IF(OR(C57="✔",AND(C57="",D57&lt;&gt;"")),各種設定金額!$B$2,IF(C57="2️⃣",各種設定金額!$B$3,IF(AND(C57="",E57="✔"),各種設定金額!$B$4,IF(AND(C57="",E57="",F57="✔"),各種設定金額!$B$5,""))))</f>
        <v/>
      </c>
      <c r="J57" s="35">
        <f>IF(B57&lt;&gt;"",各種設定金額!$C$2,0)</f>
        <v>0</v>
      </c>
      <c r="K57" s="35">
        <f>IF(INDEX(Sheet1!$CF:$CF,ROWS($A$2:$A57)+1)&lt;&gt;"",0,IF(C57="✔",IF(H57="◯",IF(G57="◯",各種設定金額!$H$4,各種設定金額!$H$5),IF(G57="◯",各種設定金額!$H$3,各種設定金額!$H$2)),IF(C57="2️⃣",IF(G57="◯",各種設定金額!$I$3,各種設定金額!$I$2),0)))</f>
        <v>0</v>
      </c>
      <c r="L57" s="35">
        <f>IF(OR(C57="✔",C57="2️⃣"),各種設定金額!$M$2,0)</f>
        <v>0</v>
      </c>
      <c r="M57" s="35">
        <f>IF(INDEX(Sheet1!$CF:$CF,ROWS($A$2:$A57)+1)&lt;&gt;"",0,IF(E57="✔",IF(H57="◯",IF(G57="◯",各種設定金額!$J$4,各種設定金額!$J$5),IF(G57="◯",各種設定金額!$J$3,各種設定金額!$J$2)),0))</f>
        <v>0</v>
      </c>
      <c r="N57" s="35">
        <f>IF(E57="✔",各種設定金額!$M$2,0)</f>
        <v>0</v>
      </c>
      <c r="O57" s="35">
        <f>IF(INDEX(Sheet1!$CF:$CF,ROWS($A$2:$A57)+1)&lt;&gt;"",0,IF(F57="✔",IF(H57="◯",IF(G57="◯",各種設定金額!$K$4,各種設定金額!$K$5),IF(G57="◯",各種設定金額!$K$3,各種設定金額!$K$2)),0))</f>
        <v>0</v>
      </c>
      <c r="P57" s="35">
        <f>IF(F57="✔",各種設定金額!$M$2,0)</f>
        <v>0</v>
      </c>
      <c r="Q57" s="35">
        <f>IF(B57&lt;&gt;"",各種設定金額!$D$2,0)</f>
        <v>0</v>
      </c>
      <c r="R57" s="84"/>
      <c r="S57" s="35">
        <f>IF(D57="A",各種設定金額!$P$2,IF(D57="B",各種設定金額!$P$3,IF(D57="C",各種設定金額!$P$4,0)))</f>
        <v>0</v>
      </c>
      <c r="T57" s="35">
        <f>IF(E57="✔",各種設定金額!$Q$2,0)</f>
        <v>0</v>
      </c>
      <c r="U57" s="35">
        <f t="shared" si="1"/>
        <v>0</v>
      </c>
    </row>
    <row r="58" spans="1:21" ht="20.100000000000001" customHeight="1" x14ac:dyDescent="0.15">
      <c r="A58" s="31" t="str">
        <f>IF(B58="","",IF(SUBTOTAL(103,B58)=0,"",SUBTOTAL(103,$B$2:B58)))</f>
        <v/>
      </c>
      <c r="B58" s="31" t="str">
        <f>INDEX(Sheet1!$B:$B,ROWS($A$2:$A58)+1)&amp;""</f>
        <v/>
      </c>
      <c r="C58" s="82"/>
      <c r="D58" s="82"/>
      <c r="E58" s="82"/>
      <c r="F58" s="82"/>
      <c r="G58" s="82"/>
      <c r="H58" s="82"/>
      <c r="I58" s="35" t="str">
        <f>IF(OR(C58="✔",AND(C58="",D58&lt;&gt;"")),各種設定金額!$B$2,IF(C58="2️⃣",各種設定金額!$B$3,IF(AND(C58="",E58="✔"),各種設定金額!$B$4,IF(AND(C58="",E58="",F58="✔"),各種設定金額!$B$5,""))))</f>
        <v/>
      </c>
      <c r="J58" s="35">
        <f>IF(B58&lt;&gt;"",各種設定金額!$C$2,0)</f>
        <v>0</v>
      </c>
      <c r="K58" s="35">
        <f>IF(INDEX(Sheet1!$CF:$CF,ROWS($A$2:$A58)+1)&lt;&gt;"",0,IF(C58="✔",IF(H58="◯",IF(G58="◯",各種設定金額!$H$4,各種設定金額!$H$5),IF(G58="◯",各種設定金額!$H$3,各種設定金額!$H$2)),IF(C58="2️⃣",IF(G58="◯",各種設定金額!$I$3,各種設定金額!$I$2),0)))</f>
        <v>0</v>
      </c>
      <c r="L58" s="35">
        <f>IF(OR(C58="✔",C58="2️⃣"),各種設定金額!$M$2,0)</f>
        <v>0</v>
      </c>
      <c r="M58" s="35">
        <f>IF(INDEX(Sheet1!$CF:$CF,ROWS($A$2:$A58)+1)&lt;&gt;"",0,IF(E58="✔",IF(H58="◯",IF(G58="◯",各種設定金額!$J$4,各種設定金額!$J$5),IF(G58="◯",各種設定金額!$J$3,各種設定金額!$J$2)),0))</f>
        <v>0</v>
      </c>
      <c r="N58" s="35">
        <f>IF(E58="✔",各種設定金額!$M$2,0)</f>
        <v>0</v>
      </c>
      <c r="O58" s="35">
        <f>IF(INDEX(Sheet1!$CF:$CF,ROWS($A$2:$A58)+1)&lt;&gt;"",0,IF(F58="✔",IF(H58="◯",IF(G58="◯",各種設定金額!$K$4,各種設定金額!$K$5),IF(G58="◯",各種設定金額!$K$3,各種設定金額!$K$2)),0))</f>
        <v>0</v>
      </c>
      <c r="P58" s="35">
        <f>IF(F58="✔",各種設定金額!$M$2,0)</f>
        <v>0</v>
      </c>
      <c r="Q58" s="35">
        <f>IF(B58&lt;&gt;"",各種設定金額!$D$2,0)</f>
        <v>0</v>
      </c>
      <c r="R58" s="84"/>
      <c r="S58" s="35">
        <f>IF(D58="A",各種設定金額!$P$2,IF(D58="B",各種設定金額!$P$3,IF(D58="C",各種設定金額!$P$4,0)))</f>
        <v>0</v>
      </c>
      <c r="T58" s="35">
        <f>IF(E58="✔",各種設定金額!$Q$2,0)</f>
        <v>0</v>
      </c>
      <c r="U58" s="35">
        <f t="shared" si="1"/>
        <v>0</v>
      </c>
    </row>
    <row r="59" spans="1:21" ht="20.100000000000001" customHeight="1" x14ac:dyDescent="0.15">
      <c r="A59" s="31" t="str">
        <f>IF(B59="","",IF(SUBTOTAL(103,B59)=0,"",SUBTOTAL(103,$B$2:B59)))</f>
        <v/>
      </c>
      <c r="B59" s="31" t="str">
        <f>INDEX(Sheet1!$B:$B,ROWS($A$2:$A59)+1)&amp;""</f>
        <v/>
      </c>
      <c r="C59" s="82"/>
      <c r="D59" s="82"/>
      <c r="E59" s="82"/>
      <c r="F59" s="82"/>
      <c r="G59" s="82"/>
      <c r="H59" s="82"/>
      <c r="I59" s="35" t="str">
        <f>IF(OR(C59="✔",AND(C59="",D59&lt;&gt;"")),各種設定金額!$B$2,IF(C59="2️⃣",各種設定金額!$B$3,IF(AND(C59="",E59="✔"),各種設定金額!$B$4,IF(AND(C59="",E59="",F59="✔"),各種設定金額!$B$5,""))))</f>
        <v/>
      </c>
      <c r="J59" s="35">
        <f>IF(B59&lt;&gt;"",各種設定金額!$C$2,0)</f>
        <v>0</v>
      </c>
      <c r="K59" s="35">
        <f>IF(INDEX(Sheet1!$CF:$CF,ROWS($A$2:$A59)+1)&lt;&gt;"",0,IF(C59="✔",IF(H59="◯",IF(G59="◯",各種設定金額!$H$4,各種設定金額!$H$5),IF(G59="◯",各種設定金額!$H$3,各種設定金額!$H$2)),IF(C59="2️⃣",IF(G59="◯",各種設定金額!$I$3,各種設定金額!$I$2),0)))</f>
        <v>0</v>
      </c>
      <c r="L59" s="35">
        <f>IF(OR(C59="✔",C59="2️⃣"),各種設定金額!$M$2,0)</f>
        <v>0</v>
      </c>
      <c r="M59" s="35">
        <f>IF(INDEX(Sheet1!$CF:$CF,ROWS($A$2:$A59)+1)&lt;&gt;"",0,IF(E59="✔",IF(H59="◯",IF(G59="◯",各種設定金額!$J$4,各種設定金額!$J$5),IF(G59="◯",各種設定金額!$J$3,各種設定金額!$J$2)),0))</f>
        <v>0</v>
      </c>
      <c r="N59" s="35">
        <f>IF(E59="✔",各種設定金額!$M$2,0)</f>
        <v>0</v>
      </c>
      <c r="O59" s="35">
        <f>IF(INDEX(Sheet1!$CF:$CF,ROWS($A$2:$A59)+1)&lt;&gt;"",0,IF(F59="✔",IF(H59="◯",IF(G59="◯",各種設定金額!$K$4,各種設定金額!$K$5),IF(G59="◯",各種設定金額!$K$3,各種設定金額!$K$2)),0))</f>
        <v>0</v>
      </c>
      <c r="P59" s="35">
        <f>IF(F59="✔",各種設定金額!$M$2,0)</f>
        <v>0</v>
      </c>
      <c r="Q59" s="35">
        <f>IF(B59&lt;&gt;"",各種設定金額!$D$2,0)</f>
        <v>0</v>
      </c>
      <c r="R59" s="84"/>
      <c r="S59" s="35">
        <f>IF(D59="A",各種設定金額!$P$2,IF(D59="B",各種設定金額!$P$3,IF(D59="C",各種設定金額!$P$4,0)))</f>
        <v>0</v>
      </c>
      <c r="T59" s="35">
        <f>IF(E59="✔",各種設定金額!$Q$2,0)</f>
        <v>0</v>
      </c>
      <c r="U59" s="35">
        <f t="shared" si="1"/>
        <v>0</v>
      </c>
    </row>
    <row r="60" spans="1:21" ht="20.100000000000001" customHeight="1" x14ac:dyDescent="0.15">
      <c r="A60" s="31" t="str">
        <f>IF(B60="","",IF(SUBTOTAL(103,B60)=0,"",SUBTOTAL(103,$B$2:B60)))</f>
        <v/>
      </c>
      <c r="B60" s="31" t="str">
        <f>INDEX(Sheet1!$B:$B,ROWS($A$2:$A60)+1)&amp;""</f>
        <v/>
      </c>
      <c r="C60" s="82"/>
      <c r="D60" s="82"/>
      <c r="E60" s="82"/>
      <c r="F60" s="82"/>
      <c r="G60" s="82"/>
      <c r="H60" s="82"/>
      <c r="I60" s="35" t="str">
        <f>IF(OR(C60="✔",AND(C60="",D60&lt;&gt;"")),各種設定金額!$B$2,IF(C60="2️⃣",各種設定金額!$B$3,IF(AND(C60="",E60="✔"),各種設定金額!$B$4,IF(AND(C60="",E60="",F60="✔"),各種設定金額!$B$5,""))))</f>
        <v/>
      </c>
      <c r="J60" s="35">
        <f>IF(B60&lt;&gt;"",各種設定金額!$C$2,0)</f>
        <v>0</v>
      </c>
      <c r="K60" s="35">
        <f>IF(INDEX(Sheet1!$CF:$CF,ROWS($A$2:$A60)+1)&lt;&gt;"",0,IF(C60="✔",IF(H60="◯",IF(G60="◯",各種設定金額!$H$4,各種設定金額!$H$5),IF(G60="◯",各種設定金額!$H$3,各種設定金額!$H$2)),IF(C60="2️⃣",IF(G60="◯",各種設定金額!$I$3,各種設定金額!$I$2),0)))</f>
        <v>0</v>
      </c>
      <c r="L60" s="35">
        <f>IF(OR(C60="✔",C60="2️⃣"),各種設定金額!$M$2,0)</f>
        <v>0</v>
      </c>
      <c r="M60" s="35">
        <f>IF(INDEX(Sheet1!$CF:$CF,ROWS($A$2:$A60)+1)&lt;&gt;"",0,IF(E60="✔",IF(H60="◯",IF(G60="◯",各種設定金額!$J$4,各種設定金額!$J$5),IF(G60="◯",各種設定金額!$J$3,各種設定金額!$J$2)),0))</f>
        <v>0</v>
      </c>
      <c r="N60" s="35">
        <f>IF(E60="✔",各種設定金額!$M$2,0)</f>
        <v>0</v>
      </c>
      <c r="O60" s="35">
        <f>IF(INDEX(Sheet1!$CF:$CF,ROWS($A$2:$A60)+1)&lt;&gt;"",0,IF(F60="✔",IF(H60="◯",IF(G60="◯",各種設定金額!$K$4,各種設定金額!$K$5),IF(G60="◯",各種設定金額!$K$3,各種設定金額!$K$2)),0))</f>
        <v>0</v>
      </c>
      <c r="P60" s="35">
        <f>IF(F60="✔",各種設定金額!$M$2,0)</f>
        <v>0</v>
      </c>
      <c r="Q60" s="35">
        <f>IF(B60&lt;&gt;"",各種設定金額!$D$2,0)</f>
        <v>0</v>
      </c>
      <c r="R60" s="84"/>
      <c r="S60" s="35">
        <f>IF(D60="A",各種設定金額!$P$2,IF(D60="B",各種設定金額!$P$3,IF(D60="C",各種設定金額!$P$4,0)))</f>
        <v>0</v>
      </c>
      <c r="T60" s="35">
        <f>IF(E60="✔",各種設定金額!$Q$2,0)</f>
        <v>0</v>
      </c>
      <c r="U60" s="35">
        <f t="shared" si="1"/>
        <v>0</v>
      </c>
    </row>
    <row r="61" spans="1:21" ht="20.100000000000001" customHeight="1" x14ac:dyDescent="0.15">
      <c r="A61" s="31" t="str">
        <f>IF(B61="","",IF(SUBTOTAL(103,B61)=0,"",SUBTOTAL(103,$B$2:B61)))</f>
        <v/>
      </c>
      <c r="B61" s="31" t="str">
        <f>INDEX(Sheet1!$B:$B,ROWS($A$2:$A61)+1)&amp;""</f>
        <v/>
      </c>
      <c r="C61" s="82"/>
      <c r="D61" s="82"/>
      <c r="E61" s="82"/>
      <c r="F61" s="82"/>
      <c r="G61" s="82"/>
      <c r="H61" s="82"/>
      <c r="I61" s="35" t="str">
        <f>IF(OR(C61="✔",AND(C61="",D61&lt;&gt;"")),各種設定金額!$B$2,IF(C61="2️⃣",各種設定金額!$B$3,IF(AND(C61="",E61="✔"),各種設定金額!$B$4,IF(AND(C61="",E61="",F61="✔"),各種設定金額!$B$5,""))))</f>
        <v/>
      </c>
      <c r="J61" s="35">
        <f>IF(B61&lt;&gt;"",各種設定金額!$C$2,0)</f>
        <v>0</v>
      </c>
      <c r="K61" s="35">
        <f>IF(INDEX(Sheet1!$CF:$CF,ROWS($A$2:$A61)+1)&lt;&gt;"",0,IF(C61="✔",IF(H61="◯",IF(G61="◯",各種設定金額!$H$4,各種設定金額!$H$5),IF(G61="◯",各種設定金額!$H$3,各種設定金額!$H$2)),IF(C61="2️⃣",IF(G61="◯",各種設定金額!$I$3,各種設定金額!$I$2),0)))</f>
        <v>0</v>
      </c>
      <c r="L61" s="35">
        <f>IF(OR(C61="✔",C61="2️⃣"),各種設定金額!$M$2,0)</f>
        <v>0</v>
      </c>
      <c r="M61" s="35">
        <f>IF(INDEX(Sheet1!$CF:$CF,ROWS($A$2:$A61)+1)&lt;&gt;"",0,IF(E61="✔",IF(H61="◯",IF(G61="◯",各種設定金額!$J$4,各種設定金額!$J$5),IF(G61="◯",各種設定金額!$J$3,各種設定金額!$J$2)),0))</f>
        <v>0</v>
      </c>
      <c r="N61" s="35">
        <f>IF(E61="✔",各種設定金額!$M$2,0)</f>
        <v>0</v>
      </c>
      <c r="O61" s="35">
        <f>IF(INDEX(Sheet1!$CF:$CF,ROWS($A$2:$A61)+1)&lt;&gt;"",0,IF(F61="✔",IF(H61="◯",IF(G61="◯",各種設定金額!$K$4,各種設定金額!$K$5),IF(G61="◯",各種設定金額!$K$3,各種設定金額!$K$2)),0))</f>
        <v>0</v>
      </c>
      <c r="P61" s="35">
        <f>IF(F61="✔",各種設定金額!$M$2,0)</f>
        <v>0</v>
      </c>
      <c r="Q61" s="35">
        <f>IF(B61&lt;&gt;"",各種設定金額!$D$2,0)</f>
        <v>0</v>
      </c>
      <c r="R61" s="84"/>
      <c r="S61" s="35">
        <f>IF(D61="A",各種設定金額!$P$2,IF(D61="B",各種設定金額!$P$3,IF(D61="C",各種設定金額!$P$4,0)))</f>
        <v>0</v>
      </c>
      <c r="T61" s="35">
        <f>IF(E61="✔",各種設定金額!$Q$2,0)</f>
        <v>0</v>
      </c>
      <c r="U61" s="35">
        <f t="shared" si="1"/>
        <v>0</v>
      </c>
    </row>
    <row r="62" spans="1:21" ht="20.100000000000001" customHeight="1" x14ac:dyDescent="0.15">
      <c r="A62" s="31" t="str">
        <f>IF(B62="","",IF(SUBTOTAL(103,B62)=0,"",SUBTOTAL(103,$B$2:B62)))</f>
        <v/>
      </c>
      <c r="B62" s="31" t="str">
        <f>INDEX(Sheet1!$B:$B,ROWS($A$2:$A62)+1)&amp;""</f>
        <v/>
      </c>
      <c r="C62" s="82"/>
      <c r="D62" s="82"/>
      <c r="E62" s="82"/>
      <c r="F62" s="82"/>
      <c r="G62" s="82"/>
      <c r="H62" s="82"/>
      <c r="I62" s="35" t="str">
        <f>IF(OR(C62="✔",AND(C62="",D62&lt;&gt;"")),各種設定金額!$B$2,IF(C62="2️⃣",各種設定金額!$B$3,IF(AND(C62="",E62="✔"),各種設定金額!$B$4,IF(AND(C62="",E62="",F62="✔"),各種設定金額!$B$5,""))))</f>
        <v/>
      </c>
      <c r="J62" s="35">
        <f>IF(B62&lt;&gt;"",各種設定金額!$C$2,0)</f>
        <v>0</v>
      </c>
      <c r="K62" s="35">
        <f>IF(INDEX(Sheet1!$CF:$CF,ROWS($A$2:$A62)+1)&lt;&gt;"",0,IF(C62="✔",IF(H62="◯",IF(G62="◯",各種設定金額!$H$4,各種設定金額!$H$5),IF(G62="◯",各種設定金額!$H$3,各種設定金額!$H$2)),IF(C62="2️⃣",IF(G62="◯",各種設定金額!$I$3,各種設定金額!$I$2),0)))</f>
        <v>0</v>
      </c>
      <c r="L62" s="35">
        <f>IF(OR(C62="✔",C62="2️⃣"),各種設定金額!$M$2,0)</f>
        <v>0</v>
      </c>
      <c r="M62" s="35">
        <f>IF(INDEX(Sheet1!$CF:$CF,ROWS($A$2:$A62)+1)&lt;&gt;"",0,IF(E62="✔",IF(H62="◯",IF(G62="◯",各種設定金額!$J$4,各種設定金額!$J$5),IF(G62="◯",各種設定金額!$J$3,各種設定金額!$J$2)),0))</f>
        <v>0</v>
      </c>
      <c r="N62" s="35">
        <f>IF(E62="✔",各種設定金額!$M$2,0)</f>
        <v>0</v>
      </c>
      <c r="O62" s="35">
        <f>IF(INDEX(Sheet1!$CF:$CF,ROWS($A$2:$A62)+1)&lt;&gt;"",0,IF(F62="✔",IF(H62="◯",IF(G62="◯",各種設定金額!$K$4,各種設定金額!$K$5),IF(G62="◯",各種設定金額!$K$3,各種設定金額!$K$2)),0))</f>
        <v>0</v>
      </c>
      <c r="P62" s="35">
        <f>IF(F62="✔",各種設定金額!$M$2,0)</f>
        <v>0</v>
      </c>
      <c r="Q62" s="35">
        <f>IF(B62&lt;&gt;"",各種設定金額!$D$2,0)</f>
        <v>0</v>
      </c>
      <c r="R62" s="84"/>
      <c r="S62" s="35">
        <f>IF(D62="A",各種設定金額!$P$2,IF(D62="B",各種設定金額!$P$3,IF(D62="C",各種設定金額!$P$4,0)))</f>
        <v>0</v>
      </c>
      <c r="T62" s="35">
        <f>IF(E62="✔",各種設定金額!$Q$2,0)</f>
        <v>0</v>
      </c>
      <c r="U62" s="35">
        <f t="shared" si="1"/>
        <v>0</v>
      </c>
    </row>
    <row r="63" spans="1:21" ht="20.100000000000001" customHeight="1" x14ac:dyDescent="0.15">
      <c r="A63" s="31" t="str">
        <f>IF(B63="","",IF(SUBTOTAL(103,B63)=0,"",SUBTOTAL(103,$B$2:B63)))</f>
        <v/>
      </c>
      <c r="B63" s="31" t="str">
        <f>INDEX(Sheet1!$B:$B,ROWS($A$2:$A63)+1)&amp;""</f>
        <v/>
      </c>
      <c r="C63" s="82"/>
      <c r="D63" s="82"/>
      <c r="E63" s="82"/>
      <c r="F63" s="82"/>
      <c r="G63" s="82"/>
      <c r="H63" s="82"/>
      <c r="I63" s="35" t="str">
        <f>IF(OR(C63="✔",AND(C63="",D63&lt;&gt;"")),各種設定金額!$B$2,IF(C63="2️⃣",各種設定金額!$B$3,IF(AND(C63="",E63="✔"),各種設定金額!$B$4,IF(AND(C63="",E63="",F63="✔"),各種設定金額!$B$5,""))))</f>
        <v/>
      </c>
      <c r="J63" s="35">
        <f>IF(B63&lt;&gt;"",各種設定金額!$C$2,0)</f>
        <v>0</v>
      </c>
      <c r="K63" s="35">
        <f>IF(INDEX(Sheet1!$CF:$CF,ROWS($A$2:$A63)+1)&lt;&gt;"",0,IF(C63="✔",IF(H63="◯",IF(G63="◯",各種設定金額!$H$4,各種設定金額!$H$5),IF(G63="◯",各種設定金額!$H$3,各種設定金額!$H$2)),IF(C63="2️⃣",IF(G63="◯",各種設定金額!$I$3,各種設定金額!$I$2),0)))</f>
        <v>0</v>
      </c>
      <c r="L63" s="35">
        <f>IF(OR(C63="✔",C63="2️⃣"),各種設定金額!$M$2,0)</f>
        <v>0</v>
      </c>
      <c r="M63" s="35">
        <f>IF(INDEX(Sheet1!$CF:$CF,ROWS($A$2:$A63)+1)&lt;&gt;"",0,IF(E63="✔",IF(H63="◯",IF(G63="◯",各種設定金額!$J$4,各種設定金額!$J$5),IF(G63="◯",各種設定金額!$J$3,各種設定金額!$J$2)),0))</f>
        <v>0</v>
      </c>
      <c r="N63" s="35">
        <f>IF(E63="✔",各種設定金額!$M$2,0)</f>
        <v>0</v>
      </c>
      <c r="O63" s="35">
        <f>IF(INDEX(Sheet1!$CF:$CF,ROWS($A$2:$A63)+1)&lt;&gt;"",0,IF(F63="✔",IF(H63="◯",IF(G63="◯",各種設定金額!$K$4,各種設定金額!$K$5),IF(G63="◯",各種設定金額!$K$3,各種設定金額!$K$2)),0))</f>
        <v>0</v>
      </c>
      <c r="P63" s="35">
        <f>IF(F63="✔",各種設定金額!$M$2,0)</f>
        <v>0</v>
      </c>
      <c r="Q63" s="35">
        <f>IF(B63&lt;&gt;"",各種設定金額!$D$2,0)</f>
        <v>0</v>
      </c>
      <c r="R63" s="84"/>
      <c r="S63" s="35">
        <f>IF(D63="A",各種設定金額!$P$2,IF(D63="B",各種設定金額!$P$3,IF(D63="C",各種設定金額!$P$4,0)))</f>
        <v>0</v>
      </c>
      <c r="T63" s="35">
        <f>IF(E63="✔",各種設定金額!$Q$2,0)</f>
        <v>0</v>
      </c>
      <c r="U63" s="35">
        <f t="shared" si="1"/>
        <v>0</v>
      </c>
    </row>
    <row r="64" spans="1:21" ht="20.100000000000001" customHeight="1" x14ac:dyDescent="0.15">
      <c r="A64" s="31" t="str">
        <f>IF(B64="","",IF(SUBTOTAL(103,B64)=0,"",SUBTOTAL(103,$B$2:B64)))</f>
        <v/>
      </c>
      <c r="B64" s="31" t="str">
        <f>INDEX(Sheet1!$B:$B,ROWS($A$2:$A64)+1)&amp;""</f>
        <v/>
      </c>
      <c r="C64" s="82"/>
      <c r="D64" s="82"/>
      <c r="E64" s="82"/>
      <c r="F64" s="82"/>
      <c r="G64" s="82"/>
      <c r="H64" s="82"/>
      <c r="I64" s="35" t="str">
        <f>IF(OR(C64="✔",AND(C64="",D64&lt;&gt;"")),各種設定金額!$B$2,IF(C64="2️⃣",各種設定金額!$B$3,IF(AND(C64="",E64="✔"),各種設定金額!$B$4,IF(AND(C64="",E64="",F64="✔"),各種設定金額!$B$5,""))))</f>
        <v/>
      </c>
      <c r="J64" s="35">
        <f>IF(B64&lt;&gt;"",各種設定金額!$C$2,0)</f>
        <v>0</v>
      </c>
      <c r="K64" s="35">
        <f>IF(INDEX(Sheet1!$CF:$CF,ROWS($A$2:$A64)+1)&lt;&gt;"",0,IF(C64="✔",IF(H64="◯",IF(G64="◯",各種設定金額!$H$4,各種設定金額!$H$5),IF(G64="◯",各種設定金額!$H$3,各種設定金額!$H$2)),IF(C64="2️⃣",IF(G64="◯",各種設定金額!$I$3,各種設定金額!$I$2),0)))</f>
        <v>0</v>
      </c>
      <c r="L64" s="35">
        <f>IF(OR(C64="✔",C64="2️⃣"),各種設定金額!$M$2,0)</f>
        <v>0</v>
      </c>
      <c r="M64" s="35">
        <f>IF(INDEX(Sheet1!$CF:$CF,ROWS($A$2:$A64)+1)&lt;&gt;"",0,IF(E64="✔",IF(H64="◯",IF(G64="◯",各種設定金額!$J$4,各種設定金額!$J$5),IF(G64="◯",各種設定金額!$J$3,各種設定金額!$J$2)),0))</f>
        <v>0</v>
      </c>
      <c r="N64" s="35">
        <f>IF(E64="✔",各種設定金額!$M$2,0)</f>
        <v>0</v>
      </c>
      <c r="O64" s="35">
        <f>IF(INDEX(Sheet1!$CF:$CF,ROWS($A$2:$A64)+1)&lt;&gt;"",0,IF(F64="✔",IF(H64="◯",IF(G64="◯",各種設定金額!$K$4,各種設定金額!$K$5),IF(G64="◯",各種設定金額!$K$3,各種設定金額!$K$2)),0))</f>
        <v>0</v>
      </c>
      <c r="P64" s="35">
        <f>IF(F64="✔",各種設定金額!$M$2,0)</f>
        <v>0</v>
      </c>
      <c r="Q64" s="35">
        <f>IF(B64&lt;&gt;"",各種設定金額!$D$2,0)</f>
        <v>0</v>
      </c>
      <c r="R64" s="84"/>
      <c r="S64" s="35">
        <f>IF(D64="A",各種設定金額!$P$2,IF(D64="B",各種設定金額!$P$3,IF(D64="C",各種設定金額!$P$4,0)))</f>
        <v>0</v>
      </c>
      <c r="T64" s="35">
        <f>IF(E64="✔",各種設定金額!$Q$2,0)</f>
        <v>0</v>
      </c>
      <c r="U64" s="35">
        <f t="shared" si="1"/>
        <v>0</v>
      </c>
    </row>
    <row r="65" spans="1:21" ht="20.100000000000001" customHeight="1" x14ac:dyDescent="0.15">
      <c r="A65" s="31" t="str">
        <f>IF(B65="","",IF(SUBTOTAL(103,B65)=0,"",SUBTOTAL(103,$B$2:B65)))</f>
        <v/>
      </c>
      <c r="B65" s="31" t="str">
        <f>INDEX(Sheet1!$B:$B,ROWS($A$2:$A65)+1)&amp;""</f>
        <v/>
      </c>
      <c r="C65" s="82"/>
      <c r="D65" s="82"/>
      <c r="E65" s="82"/>
      <c r="F65" s="82"/>
      <c r="G65" s="82"/>
      <c r="H65" s="82"/>
      <c r="I65" s="35" t="str">
        <f>IF(OR(C65="✔",AND(C65="",D65&lt;&gt;"")),各種設定金額!$B$2,IF(C65="2️⃣",各種設定金額!$B$3,IF(AND(C65="",E65="✔"),各種設定金額!$B$4,IF(AND(C65="",E65="",F65="✔"),各種設定金額!$B$5,""))))</f>
        <v/>
      </c>
      <c r="J65" s="35">
        <f>IF(B65&lt;&gt;"",各種設定金額!$C$2,0)</f>
        <v>0</v>
      </c>
      <c r="K65" s="35">
        <f>IF(INDEX(Sheet1!$CF:$CF,ROWS($A$2:$A65)+1)&lt;&gt;"",0,IF(C65="✔",IF(H65="◯",IF(G65="◯",各種設定金額!$H$4,各種設定金額!$H$5),IF(G65="◯",各種設定金額!$H$3,各種設定金額!$H$2)),IF(C65="2️⃣",IF(G65="◯",各種設定金額!$I$3,各種設定金額!$I$2),0)))</f>
        <v>0</v>
      </c>
      <c r="L65" s="35">
        <f>IF(OR(C65="✔",C65="2️⃣"),各種設定金額!$M$2,0)</f>
        <v>0</v>
      </c>
      <c r="M65" s="35">
        <f>IF(INDEX(Sheet1!$CF:$CF,ROWS($A$2:$A65)+1)&lt;&gt;"",0,IF(E65="✔",IF(H65="◯",IF(G65="◯",各種設定金額!$J$4,各種設定金額!$J$5),IF(G65="◯",各種設定金額!$J$3,各種設定金額!$J$2)),0))</f>
        <v>0</v>
      </c>
      <c r="N65" s="35">
        <f>IF(E65="✔",各種設定金額!$M$2,0)</f>
        <v>0</v>
      </c>
      <c r="O65" s="35">
        <f>IF(INDEX(Sheet1!$CF:$CF,ROWS($A$2:$A65)+1)&lt;&gt;"",0,IF(F65="✔",IF(H65="◯",IF(G65="◯",各種設定金額!$K$4,各種設定金額!$K$5),IF(G65="◯",各種設定金額!$K$3,各種設定金額!$K$2)),0))</f>
        <v>0</v>
      </c>
      <c r="P65" s="35">
        <f>IF(F65="✔",各種設定金額!$M$2,0)</f>
        <v>0</v>
      </c>
      <c r="Q65" s="35">
        <f>IF(B65&lt;&gt;"",各種設定金額!$D$2,0)</f>
        <v>0</v>
      </c>
      <c r="R65" s="84"/>
      <c r="S65" s="35">
        <f>IF(D65="A",各種設定金額!$P$2,IF(D65="B",各種設定金額!$P$3,IF(D65="C",各種設定金額!$P$4,0)))</f>
        <v>0</v>
      </c>
      <c r="T65" s="35">
        <f>IF(E65="✔",各種設定金額!$Q$2,0)</f>
        <v>0</v>
      </c>
      <c r="U65" s="35">
        <f t="shared" si="1"/>
        <v>0</v>
      </c>
    </row>
    <row r="66" spans="1:21" ht="20.100000000000001" customHeight="1" x14ac:dyDescent="0.15">
      <c r="A66" s="31" t="str">
        <f>IF(B66="","",IF(SUBTOTAL(103,B66)=0,"",SUBTOTAL(103,$B$2:B66)))</f>
        <v/>
      </c>
      <c r="B66" s="31" t="str">
        <f>INDEX(Sheet1!$B:$B,ROWS($A$2:$A66)+1)&amp;""</f>
        <v/>
      </c>
      <c r="C66" s="82"/>
      <c r="D66" s="82"/>
      <c r="E66" s="82"/>
      <c r="F66" s="82"/>
      <c r="G66" s="82"/>
      <c r="H66" s="82"/>
      <c r="I66" s="35" t="str">
        <f>IF(OR(C66="✔",AND(C66="",D66&lt;&gt;"")),各種設定金額!$B$2,IF(C66="2️⃣",各種設定金額!$B$3,IF(AND(C66="",E66="✔"),各種設定金額!$B$4,IF(AND(C66="",E66="",F66="✔"),各種設定金額!$B$5,""))))</f>
        <v/>
      </c>
      <c r="J66" s="35">
        <f>IF(B66&lt;&gt;"",各種設定金額!$C$2,0)</f>
        <v>0</v>
      </c>
      <c r="K66" s="35">
        <f>IF(INDEX(Sheet1!$CF:$CF,ROWS($A$2:$A66)+1)&lt;&gt;"",0,IF(C66="✔",IF(H66="◯",IF(G66="◯",各種設定金額!$H$4,各種設定金額!$H$5),IF(G66="◯",各種設定金額!$H$3,各種設定金額!$H$2)),IF(C66="2️⃣",IF(G66="◯",各種設定金額!$I$3,各種設定金額!$I$2),0)))</f>
        <v>0</v>
      </c>
      <c r="L66" s="35">
        <f>IF(OR(C66="✔",C66="2️⃣"),各種設定金額!$M$2,0)</f>
        <v>0</v>
      </c>
      <c r="M66" s="35">
        <f>IF(INDEX(Sheet1!$CF:$CF,ROWS($A$2:$A66)+1)&lt;&gt;"",0,IF(E66="✔",IF(H66="◯",IF(G66="◯",各種設定金額!$J$4,各種設定金額!$J$5),IF(G66="◯",各種設定金額!$J$3,各種設定金額!$J$2)),0))</f>
        <v>0</v>
      </c>
      <c r="N66" s="35">
        <f>IF(E66="✔",各種設定金額!$M$2,0)</f>
        <v>0</v>
      </c>
      <c r="O66" s="35">
        <f>IF(INDEX(Sheet1!$CF:$CF,ROWS($A$2:$A66)+1)&lt;&gt;"",0,IF(F66="✔",IF(H66="◯",IF(G66="◯",各種設定金額!$K$4,各種設定金額!$K$5),IF(G66="◯",各種設定金額!$K$3,各種設定金額!$K$2)),0))</f>
        <v>0</v>
      </c>
      <c r="P66" s="35">
        <f>IF(F66="✔",各種設定金額!$M$2,0)</f>
        <v>0</v>
      </c>
      <c r="Q66" s="35">
        <f>IF(B66&lt;&gt;"",各種設定金額!$D$2,0)</f>
        <v>0</v>
      </c>
      <c r="R66" s="84"/>
      <c r="S66" s="35">
        <f>IF(D66="A",各種設定金額!$P$2,IF(D66="B",各種設定金額!$P$3,IF(D66="C",各種設定金額!$P$4,0)))</f>
        <v>0</v>
      </c>
      <c r="T66" s="35">
        <f>IF(E66="✔",各種設定金額!$Q$2,0)</f>
        <v>0</v>
      </c>
      <c r="U66" s="35">
        <f t="shared" si="1"/>
        <v>0</v>
      </c>
    </row>
    <row r="67" spans="1:21" ht="20.100000000000001" customHeight="1" x14ac:dyDescent="0.15">
      <c r="A67" s="31" t="str">
        <f>IF(B67="","",IF(SUBTOTAL(103,B67)=0,"",SUBTOTAL(103,$B$2:B67)))</f>
        <v/>
      </c>
      <c r="B67" s="31" t="str">
        <f>INDEX(Sheet1!$B:$B,ROWS($A$2:$A67)+1)&amp;""</f>
        <v/>
      </c>
      <c r="C67" s="82"/>
      <c r="D67" s="82"/>
      <c r="E67" s="82"/>
      <c r="F67" s="82"/>
      <c r="G67" s="82"/>
      <c r="H67" s="82"/>
      <c r="I67" s="35" t="str">
        <f>IF(OR(C67="✔",AND(C67="",D67&lt;&gt;"")),各種設定金額!$B$2,IF(C67="2️⃣",各種設定金額!$B$3,IF(AND(C67="",E67="✔"),各種設定金額!$B$4,IF(AND(C67="",E67="",F67="✔"),各種設定金額!$B$5,""))))</f>
        <v/>
      </c>
      <c r="J67" s="35">
        <f>IF(B67&lt;&gt;"",各種設定金額!$C$2,0)</f>
        <v>0</v>
      </c>
      <c r="K67" s="35">
        <f>IF(INDEX(Sheet1!$CF:$CF,ROWS($A$2:$A67)+1)&lt;&gt;"",0,IF(C67="✔",IF(H67="◯",IF(G67="◯",各種設定金額!$H$4,各種設定金額!$H$5),IF(G67="◯",各種設定金額!$H$3,各種設定金額!$H$2)),IF(C67="2️⃣",IF(G67="◯",各種設定金額!$I$3,各種設定金額!$I$2),0)))</f>
        <v>0</v>
      </c>
      <c r="L67" s="35">
        <f>IF(OR(C67="✔",C67="2️⃣"),各種設定金額!$M$2,0)</f>
        <v>0</v>
      </c>
      <c r="M67" s="35">
        <f>IF(INDEX(Sheet1!$CF:$CF,ROWS($A$2:$A67)+1)&lt;&gt;"",0,IF(E67="✔",IF(H67="◯",IF(G67="◯",各種設定金額!$J$4,各種設定金額!$J$5),IF(G67="◯",各種設定金額!$J$3,各種設定金額!$J$2)),0))</f>
        <v>0</v>
      </c>
      <c r="N67" s="35">
        <f>IF(E67="✔",各種設定金額!$M$2,0)</f>
        <v>0</v>
      </c>
      <c r="O67" s="35">
        <f>IF(INDEX(Sheet1!$CF:$CF,ROWS($A$2:$A67)+1)&lt;&gt;"",0,IF(F67="✔",IF(H67="◯",IF(G67="◯",各種設定金額!$K$4,各種設定金額!$K$5),IF(G67="◯",各種設定金額!$K$3,各種設定金額!$K$2)),0))</f>
        <v>0</v>
      </c>
      <c r="P67" s="35">
        <f>IF(F67="✔",各種設定金額!$M$2,0)</f>
        <v>0</v>
      </c>
      <c r="Q67" s="35">
        <f>IF(B67&lt;&gt;"",各種設定金額!$D$2,0)</f>
        <v>0</v>
      </c>
      <c r="R67" s="84"/>
      <c r="S67" s="35">
        <f>IF(D67="A",各種設定金額!$P$2,IF(D67="B",各種設定金額!$P$3,IF(D67="C",各種設定金額!$P$4,0)))</f>
        <v>0</v>
      </c>
      <c r="T67" s="35">
        <f>IF(E67="✔",各種設定金額!$Q$2,0)</f>
        <v>0</v>
      </c>
      <c r="U67" s="35">
        <f t="shared" si="1"/>
        <v>0</v>
      </c>
    </row>
    <row r="68" spans="1:21" ht="20.100000000000001" customHeight="1" x14ac:dyDescent="0.15">
      <c r="A68" s="31" t="str">
        <f>IF(B68="","",IF(SUBTOTAL(103,B68)=0,"",SUBTOTAL(103,$B$2:B68)))</f>
        <v/>
      </c>
      <c r="B68" s="31" t="str">
        <f>INDEX(Sheet1!$B:$B,ROWS($A$2:$A68)+1)&amp;""</f>
        <v/>
      </c>
      <c r="C68" s="82"/>
      <c r="D68" s="82"/>
      <c r="E68" s="82"/>
      <c r="F68" s="82"/>
      <c r="G68" s="82"/>
      <c r="H68" s="82"/>
      <c r="I68" s="35" t="str">
        <f>IF(OR(C68="✔",AND(C68="",D68&lt;&gt;"")),各種設定金額!$B$2,IF(C68="2️⃣",各種設定金額!$B$3,IF(AND(C68="",E68="✔"),各種設定金額!$B$4,IF(AND(C68="",E68="",F68="✔"),各種設定金額!$B$5,""))))</f>
        <v/>
      </c>
      <c r="J68" s="35">
        <f>IF(B68&lt;&gt;"",各種設定金額!$C$2,0)</f>
        <v>0</v>
      </c>
      <c r="K68" s="35">
        <f>IF(INDEX(Sheet1!$CF:$CF,ROWS($A$2:$A68)+1)&lt;&gt;"",0,IF(C68="✔",IF(H68="◯",IF(G68="◯",各種設定金額!$H$4,各種設定金額!$H$5),IF(G68="◯",各種設定金額!$H$3,各種設定金額!$H$2)),IF(C68="2️⃣",IF(G68="◯",各種設定金額!$I$3,各種設定金額!$I$2),0)))</f>
        <v>0</v>
      </c>
      <c r="L68" s="35">
        <f>IF(OR(C68="✔",C68="2️⃣"),各種設定金額!$M$2,0)</f>
        <v>0</v>
      </c>
      <c r="M68" s="35">
        <f>IF(INDEX(Sheet1!$CF:$CF,ROWS($A$2:$A68)+1)&lt;&gt;"",0,IF(E68="✔",IF(H68="◯",IF(G68="◯",各種設定金額!$J$4,各種設定金額!$J$5),IF(G68="◯",各種設定金額!$J$3,各種設定金額!$J$2)),0))</f>
        <v>0</v>
      </c>
      <c r="N68" s="35">
        <f>IF(E68="✔",各種設定金額!$M$2,0)</f>
        <v>0</v>
      </c>
      <c r="O68" s="35">
        <f>IF(INDEX(Sheet1!$CF:$CF,ROWS($A$2:$A68)+1)&lt;&gt;"",0,IF(F68="✔",IF(H68="◯",IF(G68="◯",各種設定金額!$K$4,各種設定金額!$K$5),IF(G68="◯",各種設定金額!$K$3,各種設定金額!$K$2)),0))</f>
        <v>0</v>
      </c>
      <c r="P68" s="35">
        <f>IF(F68="✔",各種設定金額!$M$2,0)</f>
        <v>0</v>
      </c>
      <c r="Q68" s="35">
        <f>IF(B68&lt;&gt;"",各種設定金額!$D$2,0)</f>
        <v>0</v>
      </c>
      <c r="R68" s="84"/>
      <c r="S68" s="35">
        <f>IF(D68="A",各種設定金額!$P$2,IF(D68="B",各種設定金額!$P$3,IF(D68="C",各種設定金額!$P$4,0)))</f>
        <v>0</v>
      </c>
      <c r="T68" s="35">
        <f>IF(E68="✔",各種設定金額!$Q$2,0)</f>
        <v>0</v>
      </c>
      <c r="U68" s="35">
        <f t="shared" si="1"/>
        <v>0</v>
      </c>
    </row>
    <row r="69" spans="1:21" ht="20.100000000000001" customHeight="1" x14ac:dyDescent="0.15">
      <c r="A69" s="31" t="str">
        <f>IF(B69="","",IF(SUBTOTAL(103,B69)=0,"",SUBTOTAL(103,$B$2:B69)))</f>
        <v/>
      </c>
      <c r="B69" s="31" t="str">
        <f>INDEX(Sheet1!$B:$B,ROWS($A$2:$A69)+1)&amp;""</f>
        <v/>
      </c>
      <c r="C69" s="82"/>
      <c r="D69" s="82"/>
      <c r="E69" s="82"/>
      <c r="F69" s="82"/>
      <c r="G69" s="82"/>
      <c r="H69" s="82"/>
      <c r="I69" s="35" t="str">
        <f>IF(OR(C69="✔",AND(C69="",D69&lt;&gt;"")),各種設定金額!$B$2,IF(C69="2️⃣",各種設定金額!$B$3,IF(AND(C69="",E69="✔"),各種設定金額!$B$4,IF(AND(C69="",E69="",F69="✔"),各種設定金額!$B$5,""))))</f>
        <v/>
      </c>
      <c r="J69" s="35">
        <f>IF(B69&lt;&gt;"",各種設定金額!$C$2,0)</f>
        <v>0</v>
      </c>
      <c r="K69" s="35">
        <f>IF(INDEX(Sheet1!$CF:$CF,ROWS($A$2:$A69)+1)&lt;&gt;"",0,IF(C69="✔",IF(H69="◯",IF(G69="◯",各種設定金額!$H$4,各種設定金額!$H$5),IF(G69="◯",各種設定金額!$H$3,各種設定金額!$H$2)),IF(C69="2️⃣",IF(G69="◯",各種設定金額!$I$3,各種設定金額!$I$2),0)))</f>
        <v>0</v>
      </c>
      <c r="L69" s="35">
        <f>IF(OR(C69="✔",C69="2️⃣"),各種設定金額!$M$2,0)</f>
        <v>0</v>
      </c>
      <c r="M69" s="35">
        <f>IF(INDEX(Sheet1!$CF:$CF,ROWS($A$2:$A69)+1)&lt;&gt;"",0,IF(E69="✔",IF(H69="◯",IF(G69="◯",各種設定金額!$J$4,各種設定金額!$J$5),IF(G69="◯",各種設定金額!$J$3,各種設定金額!$J$2)),0))</f>
        <v>0</v>
      </c>
      <c r="N69" s="35">
        <f>IF(E69="✔",各種設定金額!$M$2,0)</f>
        <v>0</v>
      </c>
      <c r="O69" s="35">
        <f>IF(INDEX(Sheet1!$CF:$CF,ROWS($A$2:$A69)+1)&lt;&gt;"",0,IF(F69="✔",IF(H69="◯",IF(G69="◯",各種設定金額!$K$4,各種設定金額!$K$5),IF(G69="◯",各種設定金額!$K$3,各種設定金額!$K$2)),0))</f>
        <v>0</v>
      </c>
      <c r="P69" s="35">
        <f>IF(F69="✔",各種設定金額!$M$2,0)</f>
        <v>0</v>
      </c>
      <c r="Q69" s="35">
        <f>IF(B69&lt;&gt;"",各種設定金額!$D$2,0)</f>
        <v>0</v>
      </c>
      <c r="R69" s="84"/>
      <c r="S69" s="35">
        <f>IF(D69="A",各種設定金額!$P$2,IF(D69="B",各種設定金額!$P$3,IF(D69="C",各種設定金額!$P$4,0)))</f>
        <v>0</v>
      </c>
      <c r="T69" s="35">
        <f>IF(E69="✔",各種設定金額!$Q$2,0)</f>
        <v>0</v>
      </c>
      <c r="U69" s="35">
        <f t="shared" si="1"/>
        <v>0</v>
      </c>
    </row>
    <row r="70" spans="1:21" ht="20.100000000000001" customHeight="1" x14ac:dyDescent="0.15">
      <c r="A70" s="31" t="str">
        <f>IF(B70="","",IF(SUBTOTAL(103,B70)=0,"",SUBTOTAL(103,$B$2:B70)))</f>
        <v/>
      </c>
      <c r="B70" s="31" t="str">
        <f>INDEX(Sheet1!$B:$B,ROWS($A$2:$A70)+1)&amp;""</f>
        <v/>
      </c>
      <c r="C70" s="82"/>
      <c r="D70" s="82"/>
      <c r="E70" s="82"/>
      <c r="F70" s="82"/>
      <c r="G70" s="82"/>
      <c r="H70" s="82"/>
      <c r="I70" s="35" t="str">
        <f>IF(OR(C70="✔",AND(C70="",D70&lt;&gt;"")),各種設定金額!$B$2,IF(C70="2️⃣",各種設定金額!$B$3,IF(AND(C70="",E70="✔"),各種設定金額!$B$4,IF(AND(C70="",E70="",F70="✔"),各種設定金額!$B$5,""))))</f>
        <v/>
      </c>
      <c r="J70" s="35">
        <f>IF(B70&lt;&gt;"",各種設定金額!$C$2,0)</f>
        <v>0</v>
      </c>
      <c r="K70" s="35">
        <f>IF(INDEX(Sheet1!$CF:$CF,ROWS($A$2:$A70)+1)&lt;&gt;"",0,IF(C70="✔",IF(H70="◯",IF(G70="◯",各種設定金額!$H$4,各種設定金額!$H$5),IF(G70="◯",各種設定金額!$H$3,各種設定金額!$H$2)),IF(C70="2️⃣",IF(G70="◯",各種設定金額!$I$3,各種設定金額!$I$2),0)))</f>
        <v>0</v>
      </c>
      <c r="L70" s="35">
        <f>IF(OR(C70="✔",C70="2️⃣"),各種設定金額!$M$2,0)</f>
        <v>0</v>
      </c>
      <c r="M70" s="35">
        <f>IF(INDEX(Sheet1!$CF:$CF,ROWS($A$2:$A70)+1)&lt;&gt;"",0,IF(E70="✔",IF(H70="◯",IF(G70="◯",各種設定金額!$J$4,各種設定金額!$J$5),IF(G70="◯",各種設定金額!$J$3,各種設定金額!$J$2)),0))</f>
        <v>0</v>
      </c>
      <c r="N70" s="35">
        <f>IF(E70="✔",各種設定金額!$M$2,0)</f>
        <v>0</v>
      </c>
      <c r="O70" s="35">
        <f>IF(INDEX(Sheet1!$CF:$CF,ROWS($A$2:$A70)+1)&lt;&gt;"",0,IF(F70="✔",IF(H70="◯",IF(G70="◯",各種設定金額!$K$4,各種設定金額!$K$5),IF(G70="◯",各種設定金額!$K$3,各種設定金額!$K$2)),0))</f>
        <v>0</v>
      </c>
      <c r="P70" s="35">
        <f>IF(F70="✔",各種設定金額!$M$2,0)</f>
        <v>0</v>
      </c>
      <c r="Q70" s="35">
        <f>IF(B70&lt;&gt;"",各種設定金額!$D$2,0)</f>
        <v>0</v>
      </c>
      <c r="R70" s="84"/>
      <c r="S70" s="35">
        <f>IF(D70="A",各種設定金額!$P$2,IF(D70="B",各種設定金額!$P$3,IF(D70="C",各種設定金額!$P$4,0)))</f>
        <v>0</v>
      </c>
      <c r="T70" s="35">
        <f>IF(E70="✔",各種設定金額!$Q$2,0)</f>
        <v>0</v>
      </c>
      <c r="U70" s="35">
        <f t="shared" si="1"/>
        <v>0</v>
      </c>
    </row>
    <row r="71" spans="1:21" ht="20.100000000000001" customHeight="1" x14ac:dyDescent="0.15">
      <c r="A71" s="31" t="str">
        <f>IF(B71="","",IF(SUBTOTAL(103,B71)=0,"",SUBTOTAL(103,$B$2:B71)))</f>
        <v/>
      </c>
      <c r="B71" s="31" t="str">
        <f>INDEX(Sheet1!$B:$B,ROWS($A$2:$A71)+1)&amp;""</f>
        <v/>
      </c>
      <c r="C71" s="82"/>
      <c r="D71" s="82"/>
      <c r="E71" s="82"/>
      <c r="F71" s="82"/>
      <c r="G71" s="82"/>
      <c r="H71" s="82"/>
      <c r="I71" s="35" t="str">
        <f>IF(OR(C71="✔",AND(C71="",D71&lt;&gt;"")),各種設定金額!$B$2,IF(C71="2️⃣",各種設定金額!$B$3,IF(AND(C71="",E71="✔"),各種設定金額!$B$4,IF(AND(C71="",E71="",F71="✔"),各種設定金額!$B$5,""))))</f>
        <v/>
      </c>
      <c r="J71" s="35">
        <f>IF(B71&lt;&gt;"",各種設定金額!$C$2,0)</f>
        <v>0</v>
      </c>
      <c r="K71" s="35">
        <f>IF(INDEX(Sheet1!$CF:$CF,ROWS($A$2:$A71)+1)&lt;&gt;"",0,IF(C71="✔",IF(H71="◯",IF(G71="◯",各種設定金額!$H$4,各種設定金額!$H$5),IF(G71="◯",各種設定金額!$H$3,各種設定金額!$H$2)),IF(C71="2️⃣",IF(G71="◯",各種設定金額!$I$3,各種設定金額!$I$2),0)))</f>
        <v>0</v>
      </c>
      <c r="L71" s="35">
        <f>IF(OR(C71="✔",C71="2️⃣"),各種設定金額!$M$2,0)</f>
        <v>0</v>
      </c>
      <c r="M71" s="35">
        <f>IF(INDEX(Sheet1!$CF:$CF,ROWS($A$2:$A71)+1)&lt;&gt;"",0,IF(E71="✔",IF(H71="◯",IF(G71="◯",各種設定金額!$J$4,各種設定金額!$J$5),IF(G71="◯",各種設定金額!$J$3,各種設定金額!$J$2)),0))</f>
        <v>0</v>
      </c>
      <c r="N71" s="35">
        <f>IF(E71="✔",各種設定金額!$M$2,0)</f>
        <v>0</v>
      </c>
      <c r="O71" s="35">
        <f>IF(INDEX(Sheet1!$CF:$CF,ROWS($A$2:$A71)+1)&lt;&gt;"",0,IF(F71="✔",IF(H71="◯",IF(G71="◯",各種設定金額!$K$4,各種設定金額!$K$5),IF(G71="◯",各種設定金額!$K$3,各種設定金額!$K$2)),0))</f>
        <v>0</v>
      </c>
      <c r="P71" s="35">
        <f>IF(F71="✔",各種設定金額!$M$2,0)</f>
        <v>0</v>
      </c>
      <c r="Q71" s="35">
        <f>IF(B71&lt;&gt;"",各種設定金額!$D$2,0)</f>
        <v>0</v>
      </c>
      <c r="R71" s="84"/>
      <c r="S71" s="35">
        <f>IF(D71="A",各種設定金額!$P$2,IF(D71="B",各種設定金額!$P$3,IF(D71="C",各種設定金額!$P$4,0)))</f>
        <v>0</v>
      </c>
      <c r="T71" s="35">
        <f>IF(E71="✔",各種設定金額!$Q$2,0)</f>
        <v>0</v>
      </c>
      <c r="U71" s="35">
        <f t="shared" si="1"/>
        <v>0</v>
      </c>
    </row>
    <row r="72" spans="1:21" ht="20.100000000000001" customHeight="1" x14ac:dyDescent="0.15">
      <c r="A72" s="31" t="str">
        <f>IF(B72="","",IF(SUBTOTAL(103,B72)=0,"",SUBTOTAL(103,$B$2:B72)))</f>
        <v/>
      </c>
      <c r="B72" s="31" t="str">
        <f>INDEX(Sheet1!$B:$B,ROWS($A$2:$A72)+1)&amp;""</f>
        <v/>
      </c>
      <c r="C72" s="82"/>
      <c r="D72" s="82"/>
      <c r="E72" s="82"/>
      <c r="F72" s="82"/>
      <c r="G72" s="82"/>
      <c r="H72" s="82"/>
      <c r="I72" s="35" t="str">
        <f>IF(OR(C72="✔",AND(C72="",D72&lt;&gt;"")),各種設定金額!$B$2,IF(C72="2️⃣",各種設定金額!$B$3,IF(AND(C72="",E72="✔"),各種設定金額!$B$4,IF(AND(C72="",E72="",F72="✔"),各種設定金額!$B$5,""))))</f>
        <v/>
      </c>
      <c r="J72" s="35">
        <f>IF(B72&lt;&gt;"",各種設定金額!$C$2,0)</f>
        <v>0</v>
      </c>
      <c r="K72" s="35">
        <f>IF(INDEX(Sheet1!$CF:$CF,ROWS($A$2:$A72)+1)&lt;&gt;"",0,IF(C72="✔",IF(H72="◯",IF(G72="◯",各種設定金額!$H$4,各種設定金額!$H$5),IF(G72="◯",各種設定金額!$H$3,各種設定金額!$H$2)),IF(C72="2️⃣",IF(G72="◯",各種設定金額!$I$3,各種設定金額!$I$2),0)))</f>
        <v>0</v>
      </c>
      <c r="L72" s="35">
        <f>IF(OR(C72="✔",C72="2️⃣"),各種設定金額!$M$2,0)</f>
        <v>0</v>
      </c>
      <c r="M72" s="35">
        <f>IF(INDEX(Sheet1!$CF:$CF,ROWS($A$2:$A72)+1)&lt;&gt;"",0,IF(E72="✔",IF(H72="◯",IF(G72="◯",各種設定金額!$J$4,各種設定金額!$J$5),IF(G72="◯",各種設定金額!$J$3,各種設定金額!$J$2)),0))</f>
        <v>0</v>
      </c>
      <c r="N72" s="35">
        <f>IF(E72="✔",各種設定金額!$M$2,0)</f>
        <v>0</v>
      </c>
      <c r="O72" s="35">
        <f>IF(INDEX(Sheet1!$CF:$CF,ROWS($A$2:$A72)+1)&lt;&gt;"",0,IF(F72="✔",IF(H72="◯",IF(G72="◯",各種設定金額!$K$4,各種設定金額!$K$5),IF(G72="◯",各種設定金額!$K$3,各種設定金額!$K$2)),0))</f>
        <v>0</v>
      </c>
      <c r="P72" s="35">
        <f>IF(F72="✔",各種設定金額!$M$2,0)</f>
        <v>0</v>
      </c>
      <c r="Q72" s="35">
        <f>IF(B72&lt;&gt;"",各種設定金額!$D$2,0)</f>
        <v>0</v>
      </c>
      <c r="R72" s="84"/>
      <c r="S72" s="35">
        <f>IF(D72="A",各種設定金額!$P$2,IF(D72="B",各種設定金額!$P$3,IF(D72="C",各種設定金額!$P$4,0)))</f>
        <v>0</v>
      </c>
      <c r="T72" s="35">
        <f>IF(E72="✔",各種設定金額!$Q$2,0)</f>
        <v>0</v>
      </c>
      <c r="U72" s="35">
        <f t="shared" si="1"/>
        <v>0</v>
      </c>
    </row>
    <row r="73" spans="1:21" ht="20.100000000000001" customHeight="1" x14ac:dyDescent="0.15">
      <c r="A73" s="31" t="str">
        <f>IF(B73="","",IF(SUBTOTAL(103,B73)=0,"",SUBTOTAL(103,$B$2:B73)))</f>
        <v/>
      </c>
      <c r="B73" s="31" t="str">
        <f>INDEX(Sheet1!$B:$B,ROWS($A$2:$A73)+1)&amp;""</f>
        <v/>
      </c>
      <c r="C73" s="82"/>
      <c r="D73" s="82"/>
      <c r="E73" s="82"/>
      <c r="F73" s="82"/>
      <c r="G73" s="82"/>
      <c r="H73" s="82"/>
      <c r="I73" s="35" t="str">
        <f>IF(OR(C73="✔",AND(C73="",D73&lt;&gt;"")),各種設定金額!$B$2,IF(C73="2️⃣",各種設定金額!$B$3,IF(AND(C73="",E73="✔"),各種設定金額!$B$4,IF(AND(C73="",E73="",F73="✔"),各種設定金額!$B$5,""))))</f>
        <v/>
      </c>
      <c r="J73" s="35">
        <f>IF(B73&lt;&gt;"",各種設定金額!$C$2,0)</f>
        <v>0</v>
      </c>
      <c r="K73" s="35">
        <f>IF(INDEX(Sheet1!$CF:$CF,ROWS($A$2:$A73)+1)&lt;&gt;"",0,IF(C73="✔",IF(H73="◯",IF(G73="◯",各種設定金額!$H$4,各種設定金額!$H$5),IF(G73="◯",各種設定金額!$H$3,各種設定金額!$H$2)),IF(C73="2️⃣",IF(G73="◯",各種設定金額!$I$3,各種設定金額!$I$2),0)))</f>
        <v>0</v>
      </c>
      <c r="L73" s="35">
        <f>IF(OR(C73="✔",C73="2️⃣"),各種設定金額!$M$2,0)</f>
        <v>0</v>
      </c>
      <c r="M73" s="35">
        <f>IF(INDEX(Sheet1!$CF:$CF,ROWS($A$2:$A73)+1)&lt;&gt;"",0,IF(E73="✔",IF(H73="◯",IF(G73="◯",各種設定金額!$J$4,各種設定金額!$J$5),IF(G73="◯",各種設定金額!$J$3,各種設定金額!$J$2)),0))</f>
        <v>0</v>
      </c>
      <c r="N73" s="35">
        <f>IF(E73="✔",各種設定金額!$M$2,0)</f>
        <v>0</v>
      </c>
      <c r="O73" s="35">
        <f>IF(INDEX(Sheet1!$CF:$CF,ROWS($A$2:$A73)+1)&lt;&gt;"",0,IF(F73="✔",IF(H73="◯",IF(G73="◯",各種設定金額!$K$4,各種設定金額!$K$5),IF(G73="◯",各種設定金額!$K$3,各種設定金額!$K$2)),0))</f>
        <v>0</v>
      </c>
      <c r="P73" s="35">
        <f>IF(F73="✔",各種設定金額!$M$2,0)</f>
        <v>0</v>
      </c>
      <c r="Q73" s="35">
        <f>IF(B73&lt;&gt;"",各種設定金額!$D$2,0)</f>
        <v>0</v>
      </c>
      <c r="R73" s="84"/>
      <c r="S73" s="35">
        <f>IF(D73="A",各種設定金額!$P$2,IF(D73="B",各種設定金額!$P$3,IF(D73="C",各種設定金額!$P$4,0)))</f>
        <v>0</v>
      </c>
      <c r="T73" s="35">
        <f>IF(E73="✔",各種設定金額!$Q$2,0)</f>
        <v>0</v>
      </c>
      <c r="U73" s="35">
        <f t="shared" si="1"/>
        <v>0</v>
      </c>
    </row>
    <row r="74" spans="1:21" ht="20.100000000000001" customHeight="1" x14ac:dyDescent="0.15">
      <c r="A74" s="31" t="str">
        <f>IF(B74="","",IF(SUBTOTAL(103,B74)=0,"",SUBTOTAL(103,$B$2:B74)))</f>
        <v/>
      </c>
      <c r="B74" s="31" t="str">
        <f>INDEX(Sheet1!$B:$B,ROWS($A$2:$A74)+1)&amp;""</f>
        <v/>
      </c>
      <c r="C74" s="82"/>
      <c r="D74" s="82"/>
      <c r="E74" s="82"/>
      <c r="F74" s="82"/>
      <c r="G74" s="82"/>
      <c r="H74" s="82"/>
      <c r="I74" s="35" t="str">
        <f>IF(OR(C74="✔",AND(C74="",D74&lt;&gt;"")),各種設定金額!$B$2,IF(C74="2️⃣",各種設定金額!$B$3,IF(AND(C74="",E74="✔"),各種設定金額!$B$4,IF(AND(C74="",E74="",F74="✔"),各種設定金額!$B$5,""))))</f>
        <v/>
      </c>
      <c r="J74" s="35">
        <f>IF(B74&lt;&gt;"",各種設定金額!$C$2,0)</f>
        <v>0</v>
      </c>
      <c r="K74" s="35">
        <f>IF(INDEX(Sheet1!$CF:$CF,ROWS($A$2:$A74)+1)&lt;&gt;"",0,IF(C74="✔",IF(H74="◯",IF(G74="◯",各種設定金額!$H$4,各種設定金額!$H$5),IF(G74="◯",各種設定金額!$H$3,各種設定金額!$H$2)),IF(C74="2️⃣",IF(G74="◯",各種設定金額!$I$3,各種設定金額!$I$2),0)))</f>
        <v>0</v>
      </c>
      <c r="L74" s="35">
        <f>IF(OR(C74="✔",C74="2️⃣"),各種設定金額!$M$2,0)</f>
        <v>0</v>
      </c>
      <c r="M74" s="35">
        <f>IF(INDEX(Sheet1!$CF:$CF,ROWS($A$2:$A74)+1)&lt;&gt;"",0,IF(E74="✔",IF(H74="◯",IF(G74="◯",各種設定金額!$J$4,各種設定金額!$J$5),IF(G74="◯",各種設定金額!$J$3,各種設定金額!$J$2)),0))</f>
        <v>0</v>
      </c>
      <c r="N74" s="35">
        <f>IF(E74="✔",各種設定金額!$M$2,0)</f>
        <v>0</v>
      </c>
      <c r="O74" s="35">
        <f>IF(INDEX(Sheet1!$CF:$CF,ROWS($A$2:$A74)+1)&lt;&gt;"",0,IF(F74="✔",IF(H74="◯",IF(G74="◯",各種設定金額!$K$4,各種設定金額!$K$5),IF(G74="◯",各種設定金額!$K$3,各種設定金額!$K$2)),0))</f>
        <v>0</v>
      </c>
      <c r="P74" s="35">
        <f>IF(F74="✔",各種設定金額!$M$2,0)</f>
        <v>0</v>
      </c>
      <c r="Q74" s="35">
        <f>IF(B74&lt;&gt;"",各種設定金額!$D$2,0)</f>
        <v>0</v>
      </c>
      <c r="R74" s="84"/>
      <c r="S74" s="35">
        <f>IF(D74="A",各種設定金額!$P$2,IF(D74="B",各種設定金額!$P$3,IF(D74="C",各種設定金額!$P$4,0)))</f>
        <v>0</v>
      </c>
      <c r="T74" s="35">
        <f>IF(E74="✔",各種設定金額!$Q$2,0)</f>
        <v>0</v>
      </c>
      <c r="U74" s="35">
        <f t="shared" si="1"/>
        <v>0</v>
      </c>
    </row>
    <row r="75" spans="1:21" ht="20.100000000000001" customHeight="1" x14ac:dyDescent="0.15">
      <c r="A75" s="31" t="str">
        <f>IF(B75="","",IF(SUBTOTAL(103,B75)=0,"",SUBTOTAL(103,$B$2:B75)))</f>
        <v/>
      </c>
      <c r="B75" s="31" t="str">
        <f>INDEX(Sheet1!$B:$B,ROWS($A$2:$A75)+1)&amp;""</f>
        <v/>
      </c>
      <c r="C75" s="82"/>
      <c r="D75" s="82"/>
      <c r="E75" s="82"/>
      <c r="F75" s="82"/>
      <c r="G75" s="82"/>
      <c r="H75" s="82"/>
      <c r="I75" s="35" t="str">
        <f>IF(OR(C75="✔",AND(C75="",D75&lt;&gt;"")),各種設定金額!$B$2,IF(C75="2️⃣",各種設定金額!$B$3,IF(AND(C75="",E75="✔"),各種設定金額!$B$4,IF(AND(C75="",E75="",F75="✔"),各種設定金額!$B$5,""))))</f>
        <v/>
      </c>
      <c r="J75" s="35">
        <f>IF(B75&lt;&gt;"",各種設定金額!$C$2,0)</f>
        <v>0</v>
      </c>
      <c r="K75" s="35">
        <f>IF(INDEX(Sheet1!$CF:$CF,ROWS($A$2:$A75)+1)&lt;&gt;"",0,IF(C75="✔",IF(H75="◯",IF(G75="◯",各種設定金額!$H$4,各種設定金額!$H$5),IF(G75="◯",各種設定金額!$H$3,各種設定金額!$H$2)),IF(C75="2️⃣",IF(G75="◯",各種設定金額!$I$3,各種設定金額!$I$2),0)))</f>
        <v>0</v>
      </c>
      <c r="L75" s="35">
        <f>IF(OR(C75="✔",C75="2️⃣"),各種設定金額!$M$2,0)</f>
        <v>0</v>
      </c>
      <c r="M75" s="35">
        <f>IF(INDEX(Sheet1!$CF:$CF,ROWS($A$2:$A75)+1)&lt;&gt;"",0,IF(E75="✔",IF(H75="◯",IF(G75="◯",各種設定金額!$J$4,各種設定金額!$J$5),IF(G75="◯",各種設定金額!$J$3,各種設定金額!$J$2)),0))</f>
        <v>0</v>
      </c>
      <c r="N75" s="35">
        <f>IF(E75="✔",各種設定金額!$M$2,0)</f>
        <v>0</v>
      </c>
      <c r="O75" s="35">
        <f>IF(INDEX(Sheet1!$CF:$CF,ROWS($A$2:$A75)+1)&lt;&gt;"",0,IF(F75="✔",IF(H75="◯",IF(G75="◯",各種設定金額!$K$4,各種設定金額!$K$5),IF(G75="◯",各種設定金額!$K$3,各種設定金額!$K$2)),0))</f>
        <v>0</v>
      </c>
      <c r="P75" s="35">
        <f>IF(F75="✔",各種設定金額!$M$2,0)</f>
        <v>0</v>
      </c>
      <c r="Q75" s="35">
        <f>IF(B75&lt;&gt;"",各種設定金額!$D$2,0)</f>
        <v>0</v>
      </c>
      <c r="R75" s="84"/>
      <c r="S75" s="35">
        <f>IF(D75="A",各種設定金額!$P$2,IF(D75="B",各種設定金額!$P$3,IF(D75="C",各種設定金額!$P$4,0)))</f>
        <v>0</v>
      </c>
      <c r="T75" s="35">
        <f>IF(E75="✔",各種設定金額!$Q$2,0)</f>
        <v>0</v>
      </c>
      <c r="U75" s="35">
        <f t="shared" si="1"/>
        <v>0</v>
      </c>
    </row>
    <row r="76" spans="1:21" ht="20.100000000000001" customHeight="1" x14ac:dyDescent="0.15">
      <c r="A76" s="31" t="str">
        <f>IF(B76="","",IF(SUBTOTAL(103,B76)=0,"",SUBTOTAL(103,$B$2:B76)))</f>
        <v/>
      </c>
      <c r="B76" s="31" t="str">
        <f>INDEX(Sheet1!$B:$B,ROWS($A$2:$A76)+1)&amp;""</f>
        <v/>
      </c>
      <c r="C76" s="82"/>
      <c r="D76" s="82"/>
      <c r="E76" s="82"/>
      <c r="F76" s="82"/>
      <c r="G76" s="82"/>
      <c r="H76" s="82"/>
      <c r="I76" s="35" t="str">
        <f>IF(OR(C76="✔",AND(C76="",D76&lt;&gt;"")),各種設定金額!$B$2,IF(C76="2️⃣",各種設定金額!$B$3,IF(AND(C76="",E76="✔"),各種設定金額!$B$4,IF(AND(C76="",E76="",F76="✔"),各種設定金額!$B$5,""))))</f>
        <v/>
      </c>
      <c r="J76" s="35">
        <f>IF(B76&lt;&gt;"",各種設定金額!$C$2,0)</f>
        <v>0</v>
      </c>
      <c r="K76" s="35">
        <f>IF(INDEX(Sheet1!$CF:$CF,ROWS($A$2:$A76)+1)&lt;&gt;"",0,IF(C76="✔",IF(H76="◯",IF(G76="◯",各種設定金額!$H$4,各種設定金額!$H$5),IF(G76="◯",各種設定金額!$H$3,各種設定金額!$H$2)),IF(C76="2️⃣",IF(G76="◯",各種設定金額!$I$3,各種設定金額!$I$2),0)))</f>
        <v>0</v>
      </c>
      <c r="L76" s="35">
        <f>IF(OR(C76="✔",C76="2️⃣"),各種設定金額!$M$2,0)</f>
        <v>0</v>
      </c>
      <c r="M76" s="35">
        <f>IF(INDEX(Sheet1!$CF:$CF,ROWS($A$2:$A76)+1)&lt;&gt;"",0,IF(E76="✔",IF(H76="◯",IF(G76="◯",各種設定金額!$J$4,各種設定金額!$J$5),IF(G76="◯",各種設定金額!$J$3,各種設定金額!$J$2)),0))</f>
        <v>0</v>
      </c>
      <c r="N76" s="35">
        <f>IF(E76="✔",各種設定金額!$M$2,0)</f>
        <v>0</v>
      </c>
      <c r="O76" s="35">
        <f>IF(INDEX(Sheet1!$CF:$CF,ROWS($A$2:$A76)+1)&lt;&gt;"",0,IF(F76="✔",IF(H76="◯",IF(G76="◯",各種設定金額!$K$4,各種設定金額!$K$5),IF(G76="◯",各種設定金額!$K$3,各種設定金額!$K$2)),0))</f>
        <v>0</v>
      </c>
      <c r="P76" s="35">
        <f>IF(F76="✔",各種設定金額!$M$2,0)</f>
        <v>0</v>
      </c>
      <c r="Q76" s="35">
        <f>IF(B76&lt;&gt;"",各種設定金額!$D$2,0)</f>
        <v>0</v>
      </c>
      <c r="R76" s="84"/>
      <c r="S76" s="35">
        <f>IF(D76="A",各種設定金額!$P$2,IF(D76="B",各種設定金額!$P$3,IF(D76="C",各種設定金額!$P$4,0)))</f>
        <v>0</v>
      </c>
      <c r="T76" s="35">
        <f>IF(E76="✔",各種設定金額!$Q$2,0)</f>
        <v>0</v>
      </c>
      <c r="U76" s="35">
        <f t="shared" si="1"/>
        <v>0</v>
      </c>
    </row>
    <row r="77" spans="1:21" ht="20.100000000000001" customHeight="1" x14ac:dyDescent="0.15">
      <c r="A77" s="31" t="str">
        <f>IF(B77="","",IF(SUBTOTAL(103,B77)=0,"",SUBTOTAL(103,$B$2:B77)))</f>
        <v/>
      </c>
      <c r="B77" s="31" t="str">
        <f>INDEX(Sheet1!$B:$B,ROWS($A$2:$A77)+1)&amp;""</f>
        <v/>
      </c>
      <c r="C77" s="82"/>
      <c r="D77" s="82"/>
      <c r="E77" s="82"/>
      <c r="F77" s="82"/>
      <c r="G77" s="82"/>
      <c r="H77" s="82"/>
      <c r="I77" s="35" t="str">
        <f>IF(OR(C77="✔",AND(C77="",D77&lt;&gt;"")),各種設定金額!$B$2,IF(C77="2️⃣",各種設定金額!$B$3,IF(AND(C77="",E77="✔"),各種設定金額!$B$4,IF(AND(C77="",E77="",F77="✔"),各種設定金額!$B$5,""))))</f>
        <v/>
      </c>
      <c r="J77" s="35">
        <f>IF(B77&lt;&gt;"",各種設定金額!$C$2,0)</f>
        <v>0</v>
      </c>
      <c r="K77" s="35">
        <f>IF(INDEX(Sheet1!$CF:$CF,ROWS($A$2:$A77)+1)&lt;&gt;"",0,IF(C77="✔",IF(H77="◯",IF(G77="◯",各種設定金額!$H$4,各種設定金額!$H$5),IF(G77="◯",各種設定金額!$H$3,各種設定金額!$H$2)),IF(C77="2️⃣",IF(G77="◯",各種設定金額!$I$3,各種設定金額!$I$2),0)))</f>
        <v>0</v>
      </c>
      <c r="L77" s="35">
        <f>IF(OR(C77="✔",C77="2️⃣"),各種設定金額!$M$2,0)</f>
        <v>0</v>
      </c>
      <c r="M77" s="35">
        <f>IF(INDEX(Sheet1!$CF:$CF,ROWS($A$2:$A77)+1)&lt;&gt;"",0,IF(E77="✔",IF(H77="◯",IF(G77="◯",各種設定金額!$J$4,各種設定金額!$J$5),IF(G77="◯",各種設定金額!$J$3,各種設定金額!$J$2)),0))</f>
        <v>0</v>
      </c>
      <c r="N77" s="35">
        <f>IF(E77="✔",各種設定金額!$M$2,0)</f>
        <v>0</v>
      </c>
      <c r="O77" s="35">
        <f>IF(INDEX(Sheet1!$CF:$CF,ROWS($A$2:$A77)+1)&lt;&gt;"",0,IF(F77="✔",IF(H77="◯",IF(G77="◯",各種設定金額!$K$4,各種設定金額!$K$5),IF(G77="◯",各種設定金額!$K$3,各種設定金額!$K$2)),0))</f>
        <v>0</v>
      </c>
      <c r="P77" s="35">
        <f>IF(F77="✔",各種設定金額!$M$2,0)</f>
        <v>0</v>
      </c>
      <c r="Q77" s="35">
        <f>IF(B77&lt;&gt;"",各種設定金額!$D$2,0)</f>
        <v>0</v>
      </c>
      <c r="R77" s="84"/>
      <c r="S77" s="35">
        <f>IF(D77="A",各種設定金額!$P$2,IF(D77="B",各種設定金額!$P$3,IF(D77="C",各種設定金額!$P$4,0)))</f>
        <v>0</v>
      </c>
      <c r="T77" s="35">
        <f>IF(E77="✔",各種設定金額!$Q$2,0)</f>
        <v>0</v>
      </c>
      <c r="U77" s="35">
        <f t="shared" si="1"/>
        <v>0</v>
      </c>
    </row>
    <row r="78" spans="1:21" ht="20.100000000000001" customHeight="1" x14ac:dyDescent="0.15">
      <c r="A78" s="31" t="str">
        <f>IF(B78="","",IF(SUBTOTAL(103,B78)=0,"",SUBTOTAL(103,$B$2:B78)))</f>
        <v/>
      </c>
      <c r="B78" s="31" t="str">
        <f>INDEX(Sheet1!$B:$B,ROWS($A$2:$A78)+1)&amp;""</f>
        <v/>
      </c>
      <c r="C78" s="82"/>
      <c r="D78" s="82"/>
      <c r="E78" s="82"/>
      <c r="F78" s="82"/>
      <c r="G78" s="82"/>
      <c r="H78" s="82"/>
      <c r="I78" s="35" t="str">
        <f>IF(OR(C78="✔",AND(C78="",D78&lt;&gt;"")),各種設定金額!$B$2,IF(C78="2️⃣",各種設定金額!$B$3,IF(AND(C78="",E78="✔"),各種設定金額!$B$4,IF(AND(C78="",E78="",F78="✔"),各種設定金額!$B$5,""))))</f>
        <v/>
      </c>
      <c r="J78" s="35">
        <f>IF(B78&lt;&gt;"",各種設定金額!$C$2,0)</f>
        <v>0</v>
      </c>
      <c r="K78" s="35">
        <f>IF(INDEX(Sheet1!$CF:$CF,ROWS($A$2:$A78)+1)&lt;&gt;"",0,IF(C78="✔",IF(H78="◯",IF(G78="◯",各種設定金額!$H$4,各種設定金額!$H$5),IF(G78="◯",各種設定金額!$H$3,各種設定金額!$H$2)),IF(C78="2️⃣",IF(G78="◯",各種設定金額!$I$3,各種設定金額!$I$2),0)))</f>
        <v>0</v>
      </c>
      <c r="L78" s="35">
        <f>IF(OR(C78="✔",C78="2️⃣"),各種設定金額!$M$2,0)</f>
        <v>0</v>
      </c>
      <c r="M78" s="35">
        <f>IF(INDEX(Sheet1!$CF:$CF,ROWS($A$2:$A78)+1)&lt;&gt;"",0,IF(E78="✔",IF(H78="◯",IF(G78="◯",各種設定金額!$J$4,各種設定金額!$J$5),IF(G78="◯",各種設定金額!$J$3,各種設定金額!$J$2)),0))</f>
        <v>0</v>
      </c>
      <c r="N78" s="35">
        <f>IF(E78="✔",各種設定金額!$M$2,0)</f>
        <v>0</v>
      </c>
      <c r="O78" s="35">
        <f>IF(INDEX(Sheet1!$CF:$CF,ROWS($A$2:$A78)+1)&lt;&gt;"",0,IF(F78="✔",IF(H78="◯",IF(G78="◯",各種設定金額!$K$4,各種設定金額!$K$5),IF(G78="◯",各種設定金額!$K$3,各種設定金額!$K$2)),0))</f>
        <v>0</v>
      </c>
      <c r="P78" s="35">
        <f>IF(F78="✔",各種設定金額!$M$2,0)</f>
        <v>0</v>
      </c>
      <c r="Q78" s="35">
        <f>IF(B78&lt;&gt;"",各種設定金額!$D$2,0)</f>
        <v>0</v>
      </c>
      <c r="R78" s="84"/>
      <c r="S78" s="35">
        <f>IF(D78="A",各種設定金額!$P$2,IF(D78="B",各種設定金額!$P$3,IF(D78="C",各種設定金額!$P$4,0)))</f>
        <v>0</v>
      </c>
      <c r="T78" s="35">
        <f>IF(E78="✔",各種設定金額!$Q$2,0)</f>
        <v>0</v>
      </c>
      <c r="U78" s="35">
        <f t="shared" si="1"/>
        <v>0</v>
      </c>
    </row>
    <row r="79" spans="1:21" ht="20.100000000000001" customHeight="1" x14ac:dyDescent="0.15">
      <c r="A79" s="31" t="str">
        <f>IF(B79="","",IF(SUBTOTAL(103,B79)=0,"",SUBTOTAL(103,$B$2:B79)))</f>
        <v/>
      </c>
      <c r="B79" s="31" t="str">
        <f>INDEX(Sheet1!$B:$B,ROWS($A$2:$A79)+1)&amp;""</f>
        <v/>
      </c>
      <c r="C79" s="82"/>
      <c r="D79" s="82"/>
      <c r="E79" s="82"/>
      <c r="F79" s="82"/>
      <c r="G79" s="82"/>
      <c r="H79" s="82"/>
      <c r="I79" s="35" t="str">
        <f>IF(OR(C79="✔",AND(C79="",D79&lt;&gt;"")),各種設定金額!$B$2,IF(C79="2️⃣",各種設定金額!$B$3,IF(AND(C79="",E79="✔"),各種設定金額!$B$4,IF(AND(C79="",E79="",F79="✔"),各種設定金額!$B$5,""))))</f>
        <v/>
      </c>
      <c r="J79" s="35">
        <f>IF(B79&lt;&gt;"",各種設定金額!$C$2,0)</f>
        <v>0</v>
      </c>
      <c r="K79" s="35">
        <f>IF(INDEX(Sheet1!$CF:$CF,ROWS($A$2:$A79)+1)&lt;&gt;"",0,IF(C79="✔",IF(H79="◯",IF(G79="◯",各種設定金額!$H$4,各種設定金額!$H$5),IF(G79="◯",各種設定金額!$H$3,各種設定金額!$H$2)),IF(C79="2️⃣",IF(G79="◯",各種設定金額!$I$3,各種設定金額!$I$2),0)))</f>
        <v>0</v>
      </c>
      <c r="L79" s="35">
        <f>IF(OR(C79="✔",C79="2️⃣"),各種設定金額!$M$2,0)</f>
        <v>0</v>
      </c>
      <c r="M79" s="35">
        <f>IF(INDEX(Sheet1!$CF:$CF,ROWS($A$2:$A79)+1)&lt;&gt;"",0,IF(E79="✔",IF(H79="◯",IF(G79="◯",各種設定金額!$J$4,各種設定金額!$J$5),IF(G79="◯",各種設定金額!$J$3,各種設定金額!$J$2)),0))</f>
        <v>0</v>
      </c>
      <c r="N79" s="35">
        <f>IF(E79="✔",各種設定金額!$M$2,0)</f>
        <v>0</v>
      </c>
      <c r="O79" s="35">
        <f>IF(INDEX(Sheet1!$CF:$CF,ROWS($A$2:$A79)+1)&lt;&gt;"",0,IF(F79="✔",IF(H79="◯",IF(G79="◯",各種設定金額!$K$4,各種設定金額!$K$5),IF(G79="◯",各種設定金額!$K$3,各種設定金額!$K$2)),0))</f>
        <v>0</v>
      </c>
      <c r="P79" s="35">
        <f>IF(F79="✔",各種設定金額!$M$2,0)</f>
        <v>0</v>
      </c>
      <c r="Q79" s="35">
        <f>IF(B79&lt;&gt;"",各種設定金額!$D$2,0)</f>
        <v>0</v>
      </c>
      <c r="R79" s="84"/>
      <c r="S79" s="35">
        <f>IF(D79="A",各種設定金額!$P$2,IF(D79="B",各種設定金額!$P$3,IF(D79="C",各種設定金額!$P$4,0)))</f>
        <v>0</v>
      </c>
      <c r="T79" s="35">
        <f>IF(E79="✔",各種設定金額!$Q$2,0)</f>
        <v>0</v>
      </c>
      <c r="U79" s="35">
        <f t="shared" si="1"/>
        <v>0</v>
      </c>
    </row>
    <row r="80" spans="1:21" ht="20.100000000000001" customHeight="1" x14ac:dyDescent="0.15">
      <c r="A80" s="31" t="str">
        <f>IF(B80="","",IF(SUBTOTAL(103,B80)=0,"",SUBTOTAL(103,$B$2:B80)))</f>
        <v/>
      </c>
      <c r="B80" s="31" t="str">
        <f>INDEX(Sheet1!$B:$B,ROWS($A$2:$A80)+1)&amp;""</f>
        <v/>
      </c>
      <c r="C80" s="82"/>
      <c r="D80" s="82"/>
      <c r="E80" s="82"/>
      <c r="F80" s="82"/>
      <c r="G80" s="82"/>
      <c r="H80" s="82"/>
      <c r="I80" s="35" t="str">
        <f>IF(OR(C80="✔",AND(C80="",D80&lt;&gt;"")),各種設定金額!$B$2,IF(C80="2️⃣",各種設定金額!$B$3,IF(AND(C80="",E80="✔"),各種設定金額!$B$4,IF(AND(C80="",E80="",F80="✔"),各種設定金額!$B$5,""))))</f>
        <v/>
      </c>
      <c r="J80" s="35">
        <f>IF(B80&lt;&gt;"",各種設定金額!$C$2,0)</f>
        <v>0</v>
      </c>
      <c r="K80" s="35">
        <f>IF(INDEX(Sheet1!$CF:$CF,ROWS($A$2:$A80)+1)&lt;&gt;"",0,IF(C80="✔",IF(H80="◯",IF(G80="◯",各種設定金額!$H$4,各種設定金額!$H$5),IF(G80="◯",各種設定金額!$H$3,各種設定金額!$H$2)),IF(C80="2️⃣",IF(G80="◯",各種設定金額!$I$3,各種設定金額!$I$2),0)))</f>
        <v>0</v>
      </c>
      <c r="L80" s="35">
        <f>IF(OR(C80="✔",C80="2️⃣"),各種設定金額!$M$2,0)</f>
        <v>0</v>
      </c>
      <c r="M80" s="35">
        <f>IF(INDEX(Sheet1!$CF:$CF,ROWS($A$2:$A80)+1)&lt;&gt;"",0,IF(E80="✔",IF(H80="◯",IF(G80="◯",各種設定金額!$J$4,各種設定金額!$J$5),IF(G80="◯",各種設定金額!$J$3,各種設定金額!$J$2)),0))</f>
        <v>0</v>
      </c>
      <c r="N80" s="35">
        <f>IF(E80="✔",各種設定金額!$M$2,0)</f>
        <v>0</v>
      </c>
      <c r="O80" s="35">
        <f>IF(INDEX(Sheet1!$CF:$CF,ROWS($A$2:$A80)+1)&lt;&gt;"",0,IF(F80="✔",IF(H80="◯",IF(G80="◯",各種設定金額!$K$4,各種設定金額!$K$5),IF(G80="◯",各種設定金額!$K$3,各種設定金額!$K$2)),0))</f>
        <v>0</v>
      </c>
      <c r="P80" s="35">
        <f>IF(F80="✔",各種設定金額!$M$2,0)</f>
        <v>0</v>
      </c>
      <c r="Q80" s="35">
        <f>IF(B80&lt;&gt;"",各種設定金額!$D$2,0)</f>
        <v>0</v>
      </c>
      <c r="R80" s="84"/>
      <c r="S80" s="35">
        <f>IF(D80="A",各種設定金額!$P$2,IF(D80="B",各種設定金額!$P$3,IF(D80="C",各種設定金額!$P$4,0)))</f>
        <v>0</v>
      </c>
      <c r="T80" s="35">
        <f>IF(E80="✔",各種設定金額!$Q$2,0)</f>
        <v>0</v>
      </c>
      <c r="U80" s="35">
        <f t="shared" si="1"/>
        <v>0</v>
      </c>
    </row>
    <row r="81" spans="1:21" ht="20.100000000000001" customHeight="1" x14ac:dyDescent="0.15">
      <c r="A81" s="31" t="str">
        <f>IF(B81="","",IF(SUBTOTAL(103,B81)=0,"",SUBTOTAL(103,$B$2:B81)))</f>
        <v/>
      </c>
      <c r="B81" s="31" t="str">
        <f>INDEX(Sheet1!$B:$B,ROWS($A$2:$A81)+1)&amp;""</f>
        <v/>
      </c>
      <c r="C81" s="82"/>
      <c r="D81" s="82"/>
      <c r="E81" s="82"/>
      <c r="F81" s="82"/>
      <c r="G81" s="82"/>
      <c r="H81" s="82"/>
      <c r="I81" s="35" t="str">
        <f>IF(OR(C81="✔",AND(C81="",D81&lt;&gt;"")),各種設定金額!$B$2,IF(C81="2️⃣",各種設定金額!$B$3,IF(AND(C81="",E81="✔"),各種設定金額!$B$4,IF(AND(C81="",E81="",F81="✔"),各種設定金額!$B$5,""))))</f>
        <v/>
      </c>
      <c r="J81" s="35">
        <f>IF(B81&lt;&gt;"",各種設定金額!$C$2,0)</f>
        <v>0</v>
      </c>
      <c r="K81" s="35">
        <f>IF(INDEX(Sheet1!$CF:$CF,ROWS($A$2:$A81)+1)&lt;&gt;"",0,IF(C81="✔",IF(H81="◯",IF(G81="◯",各種設定金額!$H$4,各種設定金額!$H$5),IF(G81="◯",各種設定金額!$H$3,各種設定金額!$H$2)),IF(C81="2️⃣",IF(G81="◯",各種設定金額!$I$3,各種設定金額!$I$2),0)))</f>
        <v>0</v>
      </c>
      <c r="L81" s="35">
        <f>IF(OR(C81="✔",C81="2️⃣"),各種設定金額!$M$2,0)</f>
        <v>0</v>
      </c>
      <c r="M81" s="35">
        <f>IF(INDEX(Sheet1!$CF:$CF,ROWS($A$2:$A81)+1)&lt;&gt;"",0,IF(E81="✔",IF(H81="◯",IF(G81="◯",各種設定金額!$J$4,各種設定金額!$J$5),IF(G81="◯",各種設定金額!$J$3,各種設定金額!$J$2)),0))</f>
        <v>0</v>
      </c>
      <c r="N81" s="35">
        <f>IF(E81="✔",各種設定金額!$M$2,0)</f>
        <v>0</v>
      </c>
      <c r="O81" s="35">
        <f>IF(INDEX(Sheet1!$CF:$CF,ROWS($A$2:$A81)+1)&lt;&gt;"",0,IF(F81="✔",IF(H81="◯",IF(G81="◯",各種設定金額!$K$4,各種設定金額!$K$5),IF(G81="◯",各種設定金額!$K$3,各種設定金額!$K$2)),0))</f>
        <v>0</v>
      </c>
      <c r="P81" s="35">
        <f>IF(F81="✔",各種設定金額!$M$2,0)</f>
        <v>0</v>
      </c>
      <c r="Q81" s="35">
        <f>IF(B81&lt;&gt;"",各種設定金額!$D$2,0)</f>
        <v>0</v>
      </c>
      <c r="R81" s="84"/>
      <c r="S81" s="35">
        <f>IF(D81="A",各種設定金額!$P$2,IF(D81="B",各種設定金額!$P$3,IF(D81="C",各種設定金額!$P$4,0)))</f>
        <v>0</v>
      </c>
      <c r="T81" s="35">
        <f>IF(E81="✔",各種設定金額!$Q$2,0)</f>
        <v>0</v>
      </c>
      <c r="U81" s="35">
        <f t="shared" si="1"/>
        <v>0</v>
      </c>
    </row>
    <row r="82" spans="1:21" ht="20.100000000000001" customHeight="1" x14ac:dyDescent="0.15">
      <c r="A82" s="31" t="str">
        <f>IF(B82="","",IF(SUBTOTAL(103,B82)=0,"",SUBTOTAL(103,$B$2:B82)))</f>
        <v/>
      </c>
      <c r="B82" s="31" t="str">
        <f>INDEX(Sheet1!$B:$B,ROWS($A$2:$A82)+1)&amp;""</f>
        <v/>
      </c>
      <c r="C82" s="82"/>
      <c r="D82" s="82"/>
      <c r="E82" s="82"/>
      <c r="F82" s="82"/>
      <c r="G82" s="82"/>
      <c r="H82" s="82"/>
      <c r="I82" s="35" t="str">
        <f>IF(OR(C82="✔",AND(C82="",D82&lt;&gt;"")),各種設定金額!$B$2,IF(C82="2️⃣",各種設定金額!$B$3,IF(AND(C82="",E82="✔"),各種設定金額!$B$4,IF(AND(C82="",E82="",F82="✔"),各種設定金額!$B$5,""))))</f>
        <v/>
      </c>
      <c r="J82" s="35">
        <f>IF(B82&lt;&gt;"",各種設定金額!$C$2,0)</f>
        <v>0</v>
      </c>
      <c r="K82" s="35">
        <f>IF(INDEX(Sheet1!$CF:$CF,ROWS($A$2:$A82)+1)&lt;&gt;"",0,IF(C82="✔",IF(H82="◯",IF(G82="◯",各種設定金額!$H$4,各種設定金額!$H$5),IF(G82="◯",各種設定金額!$H$3,各種設定金額!$H$2)),IF(C82="2️⃣",IF(G82="◯",各種設定金額!$I$3,各種設定金額!$I$2),0)))</f>
        <v>0</v>
      </c>
      <c r="L82" s="35">
        <f>IF(OR(C82="✔",C82="2️⃣"),各種設定金額!$M$2,0)</f>
        <v>0</v>
      </c>
      <c r="M82" s="35">
        <f>IF(INDEX(Sheet1!$CF:$CF,ROWS($A$2:$A82)+1)&lt;&gt;"",0,IF(E82="✔",IF(H82="◯",IF(G82="◯",各種設定金額!$J$4,各種設定金額!$J$5),IF(G82="◯",各種設定金額!$J$3,各種設定金額!$J$2)),0))</f>
        <v>0</v>
      </c>
      <c r="N82" s="35">
        <f>IF(E82="✔",各種設定金額!$M$2,0)</f>
        <v>0</v>
      </c>
      <c r="O82" s="35">
        <f>IF(INDEX(Sheet1!$CF:$CF,ROWS($A$2:$A82)+1)&lt;&gt;"",0,IF(F82="✔",IF(H82="◯",IF(G82="◯",各種設定金額!$K$4,各種設定金額!$K$5),IF(G82="◯",各種設定金額!$K$3,各種設定金額!$K$2)),0))</f>
        <v>0</v>
      </c>
      <c r="P82" s="35">
        <f>IF(F82="✔",各種設定金額!$M$2,0)</f>
        <v>0</v>
      </c>
      <c r="Q82" s="35">
        <f>IF(B82&lt;&gt;"",各種設定金額!$D$2,0)</f>
        <v>0</v>
      </c>
      <c r="R82" s="84"/>
      <c r="S82" s="35">
        <f>IF(D82="A",各種設定金額!$P$2,IF(D82="B",各種設定金額!$P$3,IF(D82="C",各種設定金額!$P$4,0)))</f>
        <v>0</v>
      </c>
      <c r="T82" s="35">
        <f>IF(E82="✔",各種設定金額!$Q$2,0)</f>
        <v>0</v>
      </c>
      <c r="U82" s="35">
        <f t="shared" si="1"/>
        <v>0</v>
      </c>
    </row>
    <row r="83" spans="1:21" ht="20.100000000000001" customHeight="1" x14ac:dyDescent="0.15">
      <c r="A83" s="31" t="str">
        <f>IF(B83="","",IF(SUBTOTAL(103,B83)=0,"",SUBTOTAL(103,$B$2:B83)))</f>
        <v/>
      </c>
      <c r="B83" s="31" t="str">
        <f>INDEX(Sheet1!$B:$B,ROWS($A$2:$A83)+1)&amp;""</f>
        <v/>
      </c>
      <c r="C83" s="82"/>
      <c r="D83" s="82"/>
      <c r="E83" s="82"/>
      <c r="F83" s="82"/>
      <c r="G83" s="82"/>
      <c r="H83" s="82"/>
      <c r="I83" s="35" t="str">
        <f>IF(OR(C83="✔",AND(C83="",D83&lt;&gt;"")),各種設定金額!$B$2,IF(C83="2️⃣",各種設定金額!$B$3,IF(AND(C83="",E83="✔"),各種設定金額!$B$4,IF(AND(C83="",E83="",F83="✔"),各種設定金額!$B$5,""))))</f>
        <v/>
      </c>
      <c r="J83" s="35">
        <f>IF(B83&lt;&gt;"",各種設定金額!$C$2,0)</f>
        <v>0</v>
      </c>
      <c r="K83" s="35">
        <f>IF(INDEX(Sheet1!$CF:$CF,ROWS($A$2:$A83)+1)&lt;&gt;"",0,IF(C83="✔",IF(H83="◯",IF(G83="◯",各種設定金額!$H$4,各種設定金額!$H$5),IF(G83="◯",各種設定金額!$H$3,各種設定金額!$H$2)),IF(C83="2️⃣",IF(G83="◯",各種設定金額!$I$3,各種設定金額!$I$2),0)))</f>
        <v>0</v>
      </c>
      <c r="L83" s="35">
        <f>IF(OR(C83="✔",C83="2️⃣"),各種設定金額!$M$2,0)</f>
        <v>0</v>
      </c>
      <c r="M83" s="35">
        <f>IF(INDEX(Sheet1!$CF:$CF,ROWS($A$2:$A83)+1)&lt;&gt;"",0,IF(E83="✔",IF(H83="◯",IF(G83="◯",各種設定金額!$J$4,各種設定金額!$J$5),IF(G83="◯",各種設定金額!$J$3,各種設定金額!$J$2)),0))</f>
        <v>0</v>
      </c>
      <c r="N83" s="35">
        <f>IF(E83="✔",各種設定金額!$M$2,0)</f>
        <v>0</v>
      </c>
      <c r="O83" s="35">
        <f>IF(INDEX(Sheet1!$CF:$CF,ROWS($A$2:$A83)+1)&lt;&gt;"",0,IF(F83="✔",IF(H83="◯",IF(G83="◯",各種設定金額!$K$4,各種設定金額!$K$5),IF(G83="◯",各種設定金額!$K$3,各種設定金額!$K$2)),0))</f>
        <v>0</v>
      </c>
      <c r="P83" s="35">
        <f>IF(F83="✔",各種設定金額!$M$2,0)</f>
        <v>0</v>
      </c>
      <c r="Q83" s="35">
        <f>IF(B83&lt;&gt;"",各種設定金額!$D$2,0)</f>
        <v>0</v>
      </c>
      <c r="R83" s="84"/>
      <c r="S83" s="35">
        <f>IF(D83="A",各種設定金額!$P$2,IF(D83="B",各種設定金額!$P$3,IF(D83="C",各種設定金額!$P$4,0)))</f>
        <v>0</v>
      </c>
      <c r="T83" s="35">
        <f>IF(E83="✔",各種設定金額!$Q$2,0)</f>
        <v>0</v>
      </c>
      <c r="U83" s="35">
        <f t="shared" si="1"/>
        <v>0</v>
      </c>
    </row>
    <row r="84" spans="1:21" ht="20.100000000000001" customHeight="1" x14ac:dyDescent="0.15">
      <c r="A84" s="31" t="str">
        <f>IF(B84="","",IF(SUBTOTAL(103,B84)=0,"",SUBTOTAL(103,$B$2:B84)))</f>
        <v/>
      </c>
      <c r="B84" s="31" t="str">
        <f>INDEX(Sheet1!$B:$B,ROWS($A$2:$A84)+1)&amp;""</f>
        <v/>
      </c>
      <c r="C84" s="82"/>
      <c r="D84" s="82"/>
      <c r="E84" s="82"/>
      <c r="F84" s="82"/>
      <c r="G84" s="82"/>
      <c r="H84" s="82"/>
      <c r="I84" s="35" t="str">
        <f>IF(OR(C84="✔",AND(C84="",D84&lt;&gt;"")),各種設定金額!$B$2,IF(C84="2️⃣",各種設定金額!$B$3,IF(AND(C84="",E84="✔"),各種設定金額!$B$4,IF(AND(C84="",E84="",F84="✔"),各種設定金額!$B$5,""))))</f>
        <v/>
      </c>
      <c r="J84" s="35">
        <f>IF(B84&lt;&gt;"",各種設定金額!$C$2,0)</f>
        <v>0</v>
      </c>
      <c r="K84" s="35">
        <f>IF(INDEX(Sheet1!$CF:$CF,ROWS($A$2:$A84)+1)&lt;&gt;"",0,IF(C84="✔",IF(H84="◯",IF(G84="◯",各種設定金額!$H$4,各種設定金額!$H$5),IF(G84="◯",各種設定金額!$H$3,各種設定金額!$H$2)),IF(C84="2️⃣",IF(G84="◯",各種設定金額!$I$3,各種設定金額!$I$2),0)))</f>
        <v>0</v>
      </c>
      <c r="L84" s="35">
        <f>IF(OR(C84="✔",C84="2️⃣"),各種設定金額!$M$2,0)</f>
        <v>0</v>
      </c>
      <c r="M84" s="35">
        <f>IF(INDEX(Sheet1!$CF:$CF,ROWS($A$2:$A84)+1)&lt;&gt;"",0,IF(E84="✔",IF(H84="◯",IF(G84="◯",各種設定金額!$J$4,各種設定金額!$J$5),IF(G84="◯",各種設定金額!$J$3,各種設定金額!$J$2)),0))</f>
        <v>0</v>
      </c>
      <c r="N84" s="35">
        <f>IF(E84="✔",各種設定金額!$M$2,0)</f>
        <v>0</v>
      </c>
      <c r="O84" s="35">
        <f>IF(INDEX(Sheet1!$CF:$CF,ROWS($A$2:$A84)+1)&lt;&gt;"",0,IF(F84="✔",IF(H84="◯",IF(G84="◯",各種設定金額!$K$4,各種設定金額!$K$5),IF(G84="◯",各種設定金額!$K$3,各種設定金額!$K$2)),0))</f>
        <v>0</v>
      </c>
      <c r="P84" s="35">
        <f>IF(F84="✔",各種設定金額!$M$2,0)</f>
        <v>0</v>
      </c>
      <c r="Q84" s="35">
        <f>IF(B84&lt;&gt;"",各種設定金額!$D$2,0)</f>
        <v>0</v>
      </c>
      <c r="R84" s="84"/>
      <c r="S84" s="35">
        <f>IF(D84="A",各種設定金額!$P$2,IF(D84="B",各種設定金額!$P$3,IF(D84="C",各種設定金額!$P$4,0)))</f>
        <v>0</v>
      </c>
      <c r="T84" s="35">
        <f>IF(E84="✔",各種設定金額!$Q$2,0)</f>
        <v>0</v>
      </c>
      <c r="U84" s="35">
        <f t="shared" si="1"/>
        <v>0</v>
      </c>
    </row>
    <row r="85" spans="1:21" ht="20.100000000000001" customHeight="1" x14ac:dyDescent="0.15">
      <c r="A85" s="31" t="str">
        <f>IF(B85="","",IF(SUBTOTAL(103,B85)=0,"",SUBTOTAL(103,$B$2:B85)))</f>
        <v/>
      </c>
      <c r="B85" s="31" t="str">
        <f>INDEX(Sheet1!$B:$B,ROWS($A$2:$A85)+1)&amp;""</f>
        <v/>
      </c>
      <c r="C85" s="82"/>
      <c r="D85" s="82"/>
      <c r="E85" s="82"/>
      <c r="F85" s="82"/>
      <c r="G85" s="82"/>
      <c r="H85" s="82"/>
      <c r="I85" s="35" t="str">
        <f>IF(OR(C85="✔",AND(C85="",D85&lt;&gt;"")),各種設定金額!$B$2,IF(C85="2️⃣",各種設定金額!$B$3,IF(AND(C85="",E85="✔"),各種設定金額!$B$4,IF(AND(C85="",E85="",F85="✔"),各種設定金額!$B$5,""))))</f>
        <v/>
      </c>
      <c r="J85" s="35">
        <f>IF(B85&lt;&gt;"",各種設定金額!$C$2,0)</f>
        <v>0</v>
      </c>
      <c r="K85" s="35">
        <f>IF(INDEX(Sheet1!$CF:$CF,ROWS($A$2:$A85)+1)&lt;&gt;"",0,IF(C85="✔",IF(H85="◯",IF(G85="◯",各種設定金額!$H$4,各種設定金額!$H$5),IF(G85="◯",各種設定金額!$H$3,各種設定金額!$H$2)),IF(C85="2️⃣",IF(G85="◯",各種設定金額!$I$3,各種設定金額!$I$2),0)))</f>
        <v>0</v>
      </c>
      <c r="L85" s="35">
        <f>IF(OR(C85="✔",C85="2️⃣"),各種設定金額!$M$2,0)</f>
        <v>0</v>
      </c>
      <c r="M85" s="35">
        <f>IF(INDEX(Sheet1!$CF:$CF,ROWS($A$2:$A85)+1)&lt;&gt;"",0,IF(E85="✔",IF(H85="◯",IF(G85="◯",各種設定金額!$J$4,各種設定金額!$J$5),IF(G85="◯",各種設定金額!$J$3,各種設定金額!$J$2)),0))</f>
        <v>0</v>
      </c>
      <c r="N85" s="35">
        <f>IF(E85="✔",各種設定金額!$M$2,0)</f>
        <v>0</v>
      </c>
      <c r="O85" s="35">
        <f>IF(INDEX(Sheet1!$CF:$CF,ROWS($A$2:$A85)+1)&lt;&gt;"",0,IF(F85="✔",IF(H85="◯",IF(G85="◯",各種設定金額!$K$4,各種設定金額!$K$5),IF(G85="◯",各種設定金額!$K$3,各種設定金額!$K$2)),0))</f>
        <v>0</v>
      </c>
      <c r="P85" s="35">
        <f>IF(F85="✔",各種設定金額!$M$2,0)</f>
        <v>0</v>
      </c>
      <c r="Q85" s="35">
        <f>IF(B85&lt;&gt;"",各種設定金額!$D$2,0)</f>
        <v>0</v>
      </c>
      <c r="R85" s="84"/>
      <c r="S85" s="35">
        <f>IF(D85="A",各種設定金額!$P$2,IF(D85="B",各種設定金額!$P$3,IF(D85="C",各種設定金額!$P$4,0)))</f>
        <v>0</v>
      </c>
      <c r="T85" s="35">
        <f>IF(E85="✔",各種設定金額!$Q$2,0)</f>
        <v>0</v>
      </c>
      <c r="U85" s="35">
        <f t="shared" si="1"/>
        <v>0</v>
      </c>
    </row>
    <row r="86" spans="1:21" ht="20.100000000000001" customHeight="1" x14ac:dyDescent="0.15">
      <c r="A86" s="31" t="str">
        <f>IF(B86="","",IF(SUBTOTAL(103,B86)=0,"",SUBTOTAL(103,$B$2:B86)))</f>
        <v/>
      </c>
      <c r="B86" s="31" t="str">
        <f>INDEX(Sheet1!$B:$B,ROWS($A$2:$A86)+1)&amp;""</f>
        <v/>
      </c>
      <c r="C86" s="82"/>
      <c r="D86" s="82"/>
      <c r="E86" s="82"/>
      <c r="F86" s="82"/>
      <c r="G86" s="82"/>
      <c r="H86" s="82"/>
      <c r="I86" s="35" t="str">
        <f>IF(OR(C86="✔",AND(C86="",D86&lt;&gt;"")),各種設定金額!$B$2,IF(C86="2️⃣",各種設定金額!$B$3,IF(AND(C86="",E86="✔"),各種設定金額!$B$4,IF(AND(C86="",E86="",F86="✔"),各種設定金額!$B$5,""))))</f>
        <v/>
      </c>
      <c r="J86" s="35">
        <f>IF(B86&lt;&gt;"",各種設定金額!$C$2,0)</f>
        <v>0</v>
      </c>
      <c r="K86" s="35">
        <f>IF(INDEX(Sheet1!$CF:$CF,ROWS($A$2:$A86)+1)&lt;&gt;"",0,IF(C86="✔",IF(H86="◯",IF(G86="◯",各種設定金額!$H$4,各種設定金額!$H$5),IF(G86="◯",各種設定金額!$H$3,各種設定金額!$H$2)),IF(C86="2️⃣",IF(G86="◯",各種設定金額!$I$3,各種設定金額!$I$2),0)))</f>
        <v>0</v>
      </c>
      <c r="L86" s="35">
        <f>IF(OR(C86="✔",C86="2️⃣"),各種設定金額!$M$2,0)</f>
        <v>0</v>
      </c>
      <c r="M86" s="35">
        <f>IF(INDEX(Sheet1!$CF:$CF,ROWS($A$2:$A86)+1)&lt;&gt;"",0,IF(E86="✔",IF(H86="◯",IF(G86="◯",各種設定金額!$J$4,各種設定金額!$J$5),IF(G86="◯",各種設定金額!$J$3,各種設定金額!$J$2)),0))</f>
        <v>0</v>
      </c>
      <c r="N86" s="35">
        <f>IF(E86="✔",各種設定金額!$M$2,0)</f>
        <v>0</v>
      </c>
      <c r="O86" s="35">
        <f>IF(INDEX(Sheet1!$CF:$CF,ROWS($A$2:$A86)+1)&lt;&gt;"",0,IF(F86="✔",IF(H86="◯",IF(G86="◯",各種設定金額!$K$4,各種設定金額!$K$5),IF(G86="◯",各種設定金額!$K$3,各種設定金額!$K$2)),0))</f>
        <v>0</v>
      </c>
      <c r="P86" s="35">
        <f>IF(F86="✔",各種設定金額!$M$2,0)</f>
        <v>0</v>
      </c>
      <c r="Q86" s="35">
        <f>IF(B86&lt;&gt;"",各種設定金額!$D$2,0)</f>
        <v>0</v>
      </c>
      <c r="R86" s="84"/>
      <c r="S86" s="35">
        <f>IF(D86="A",各種設定金額!$P$2,IF(D86="B",各種設定金額!$P$3,IF(D86="C",各種設定金額!$P$4,0)))</f>
        <v>0</v>
      </c>
      <c r="T86" s="35">
        <f>IF(E86="✔",各種設定金額!$Q$2,0)</f>
        <v>0</v>
      </c>
      <c r="U86" s="35">
        <f t="shared" si="1"/>
        <v>0</v>
      </c>
    </row>
    <row r="87" spans="1:21" ht="20.100000000000001" customHeight="1" x14ac:dyDescent="0.15">
      <c r="A87" s="31" t="str">
        <f>IF(B87="","",IF(SUBTOTAL(103,B87)=0,"",SUBTOTAL(103,$B$2:B87)))</f>
        <v/>
      </c>
      <c r="B87" s="31" t="str">
        <f>INDEX(Sheet1!$B:$B,ROWS($A$2:$A87)+1)&amp;""</f>
        <v/>
      </c>
      <c r="C87" s="82"/>
      <c r="D87" s="82"/>
      <c r="E87" s="82"/>
      <c r="F87" s="82"/>
      <c r="G87" s="82"/>
      <c r="H87" s="82"/>
      <c r="I87" s="35" t="str">
        <f>IF(OR(C87="✔",AND(C87="",D87&lt;&gt;"")),各種設定金額!$B$2,IF(C87="2️⃣",各種設定金額!$B$3,IF(AND(C87="",E87="✔"),各種設定金額!$B$4,IF(AND(C87="",E87="",F87="✔"),各種設定金額!$B$5,""))))</f>
        <v/>
      </c>
      <c r="J87" s="35">
        <f>IF(B87&lt;&gt;"",各種設定金額!$C$2,0)</f>
        <v>0</v>
      </c>
      <c r="K87" s="35">
        <f>IF(INDEX(Sheet1!$CF:$CF,ROWS($A$2:$A87)+1)&lt;&gt;"",0,IF(C87="✔",IF(H87="◯",IF(G87="◯",各種設定金額!$H$4,各種設定金額!$H$5),IF(G87="◯",各種設定金額!$H$3,各種設定金額!$H$2)),IF(C87="2️⃣",IF(G87="◯",各種設定金額!$I$3,各種設定金額!$I$2),0)))</f>
        <v>0</v>
      </c>
      <c r="L87" s="35">
        <f>IF(OR(C87="✔",C87="2️⃣"),各種設定金額!$M$2,0)</f>
        <v>0</v>
      </c>
      <c r="M87" s="35">
        <f>IF(INDEX(Sheet1!$CF:$CF,ROWS($A$2:$A87)+1)&lt;&gt;"",0,IF(E87="✔",IF(H87="◯",IF(G87="◯",各種設定金額!$J$4,各種設定金額!$J$5),IF(G87="◯",各種設定金額!$J$3,各種設定金額!$J$2)),0))</f>
        <v>0</v>
      </c>
      <c r="N87" s="35">
        <f>IF(E87="✔",各種設定金額!$M$2,0)</f>
        <v>0</v>
      </c>
      <c r="O87" s="35">
        <f>IF(INDEX(Sheet1!$CF:$CF,ROWS($A$2:$A87)+1)&lt;&gt;"",0,IF(F87="✔",IF(H87="◯",IF(G87="◯",各種設定金額!$K$4,各種設定金額!$K$5),IF(G87="◯",各種設定金額!$K$3,各種設定金額!$K$2)),0))</f>
        <v>0</v>
      </c>
      <c r="P87" s="35">
        <f>IF(F87="✔",各種設定金額!$M$2,0)</f>
        <v>0</v>
      </c>
      <c r="Q87" s="35">
        <f>IF(B87&lt;&gt;"",各種設定金額!$D$2,0)</f>
        <v>0</v>
      </c>
      <c r="R87" s="84"/>
      <c r="S87" s="35">
        <f>IF(D87="A",各種設定金額!$P$2,IF(D87="B",各種設定金額!$P$3,IF(D87="C",各種設定金額!$P$4,0)))</f>
        <v>0</v>
      </c>
      <c r="T87" s="35">
        <f>IF(E87="✔",各種設定金額!$Q$2,0)</f>
        <v>0</v>
      </c>
      <c r="U87" s="35">
        <f t="shared" si="1"/>
        <v>0</v>
      </c>
    </row>
    <row r="88" spans="1:21" ht="20.100000000000001" customHeight="1" x14ac:dyDescent="0.15">
      <c r="A88" s="31" t="str">
        <f>IF(B88="","",IF(SUBTOTAL(103,B88)=0,"",SUBTOTAL(103,$B$2:B88)))</f>
        <v/>
      </c>
      <c r="B88" s="31" t="str">
        <f>INDEX(Sheet1!$B:$B,ROWS($A$2:$A88)+1)&amp;""</f>
        <v/>
      </c>
      <c r="C88" s="82"/>
      <c r="D88" s="82"/>
      <c r="E88" s="82"/>
      <c r="F88" s="82"/>
      <c r="G88" s="82"/>
      <c r="H88" s="82"/>
      <c r="I88" s="35" t="str">
        <f>IF(OR(C88="✔",AND(C88="",D88&lt;&gt;"")),各種設定金額!$B$2,IF(C88="2️⃣",各種設定金額!$B$3,IF(AND(C88="",E88="✔"),各種設定金額!$B$4,IF(AND(C88="",E88="",F88="✔"),各種設定金額!$B$5,""))))</f>
        <v/>
      </c>
      <c r="J88" s="35">
        <f>IF(B88&lt;&gt;"",各種設定金額!$C$2,0)</f>
        <v>0</v>
      </c>
      <c r="K88" s="35">
        <f>IF(INDEX(Sheet1!$CF:$CF,ROWS($A$2:$A88)+1)&lt;&gt;"",0,IF(C88="✔",IF(H88="◯",IF(G88="◯",各種設定金額!$H$4,各種設定金額!$H$5),IF(G88="◯",各種設定金額!$H$3,各種設定金額!$H$2)),IF(C88="2️⃣",IF(G88="◯",各種設定金額!$I$3,各種設定金額!$I$2),0)))</f>
        <v>0</v>
      </c>
      <c r="L88" s="35">
        <f>IF(OR(C88="✔",C88="2️⃣"),各種設定金額!$M$2,0)</f>
        <v>0</v>
      </c>
      <c r="M88" s="35">
        <f>IF(INDEX(Sheet1!$CF:$CF,ROWS($A$2:$A88)+1)&lt;&gt;"",0,IF(E88="✔",IF(H88="◯",IF(G88="◯",各種設定金額!$J$4,各種設定金額!$J$5),IF(G88="◯",各種設定金額!$J$3,各種設定金額!$J$2)),0))</f>
        <v>0</v>
      </c>
      <c r="N88" s="35">
        <f>IF(E88="✔",各種設定金額!$M$2,0)</f>
        <v>0</v>
      </c>
      <c r="O88" s="35">
        <f>IF(INDEX(Sheet1!$CF:$CF,ROWS($A$2:$A88)+1)&lt;&gt;"",0,IF(F88="✔",IF(H88="◯",IF(G88="◯",各種設定金額!$K$4,各種設定金額!$K$5),IF(G88="◯",各種設定金額!$K$3,各種設定金額!$K$2)),0))</f>
        <v>0</v>
      </c>
      <c r="P88" s="35">
        <f>IF(F88="✔",各種設定金額!$M$2,0)</f>
        <v>0</v>
      </c>
      <c r="Q88" s="35">
        <f>IF(B88&lt;&gt;"",各種設定金額!$D$2,0)</f>
        <v>0</v>
      </c>
      <c r="R88" s="84"/>
      <c r="S88" s="35">
        <f>IF(D88="A",各種設定金額!$P$2,IF(D88="B",各種設定金額!$P$3,IF(D88="C",各種設定金額!$P$4,0)))</f>
        <v>0</v>
      </c>
      <c r="T88" s="35">
        <f>IF(E88="✔",各種設定金額!$Q$2,0)</f>
        <v>0</v>
      </c>
      <c r="U88" s="35">
        <f t="shared" si="1"/>
        <v>0</v>
      </c>
    </row>
    <row r="89" spans="1:21" ht="20.100000000000001" customHeight="1" x14ac:dyDescent="0.15">
      <c r="A89" s="31" t="str">
        <f>IF(B89="","",IF(SUBTOTAL(103,B89)=0,"",SUBTOTAL(103,$B$2:B89)))</f>
        <v/>
      </c>
      <c r="B89" s="31" t="str">
        <f>INDEX(Sheet1!$B:$B,ROWS($A$2:$A89)+1)&amp;""</f>
        <v/>
      </c>
      <c r="C89" s="82"/>
      <c r="D89" s="82"/>
      <c r="E89" s="82"/>
      <c r="F89" s="82"/>
      <c r="G89" s="82"/>
      <c r="H89" s="82"/>
      <c r="I89" s="35" t="str">
        <f>IF(OR(C89="✔",AND(C89="",D89&lt;&gt;"")),各種設定金額!$B$2,IF(C89="2️⃣",各種設定金額!$B$3,IF(AND(C89="",E89="✔"),各種設定金額!$B$4,IF(AND(C89="",E89="",F89="✔"),各種設定金額!$B$5,""))))</f>
        <v/>
      </c>
      <c r="J89" s="35">
        <f>IF(B89&lt;&gt;"",各種設定金額!$C$2,0)</f>
        <v>0</v>
      </c>
      <c r="K89" s="35">
        <f>IF(INDEX(Sheet1!$CF:$CF,ROWS($A$2:$A89)+1)&lt;&gt;"",0,IF(C89="✔",IF(H89="◯",IF(G89="◯",各種設定金額!$H$4,各種設定金額!$H$5),IF(G89="◯",各種設定金額!$H$3,各種設定金額!$H$2)),IF(C89="2️⃣",IF(G89="◯",各種設定金額!$I$3,各種設定金額!$I$2),0)))</f>
        <v>0</v>
      </c>
      <c r="L89" s="35">
        <f>IF(OR(C89="✔",C89="2️⃣"),各種設定金額!$M$2,0)</f>
        <v>0</v>
      </c>
      <c r="M89" s="35">
        <f>IF(INDEX(Sheet1!$CF:$CF,ROWS($A$2:$A89)+1)&lt;&gt;"",0,IF(E89="✔",IF(H89="◯",IF(G89="◯",各種設定金額!$J$4,各種設定金額!$J$5),IF(G89="◯",各種設定金額!$J$3,各種設定金額!$J$2)),0))</f>
        <v>0</v>
      </c>
      <c r="N89" s="35">
        <f>IF(E89="✔",各種設定金額!$M$2,0)</f>
        <v>0</v>
      </c>
      <c r="O89" s="35">
        <f>IF(INDEX(Sheet1!$CF:$CF,ROWS($A$2:$A89)+1)&lt;&gt;"",0,IF(F89="✔",IF(H89="◯",IF(G89="◯",各種設定金額!$K$4,各種設定金額!$K$5),IF(G89="◯",各種設定金額!$K$3,各種設定金額!$K$2)),0))</f>
        <v>0</v>
      </c>
      <c r="P89" s="35">
        <f>IF(F89="✔",各種設定金額!$M$2,0)</f>
        <v>0</v>
      </c>
      <c r="Q89" s="35">
        <f>IF(B89&lt;&gt;"",各種設定金額!$D$2,0)</f>
        <v>0</v>
      </c>
      <c r="R89" s="84"/>
      <c r="S89" s="35">
        <f>IF(D89="A",各種設定金額!$P$2,IF(D89="B",各種設定金額!$P$3,IF(D89="C",各種設定金額!$P$4,0)))</f>
        <v>0</v>
      </c>
      <c r="T89" s="35">
        <f>IF(E89="✔",各種設定金額!$Q$2,0)</f>
        <v>0</v>
      </c>
      <c r="U89" s="35">
        <f t="shared" si="1"/>
        <v>0</v>
      </c>
    </row>
    <row r="90" spans="1:21" ht="20.100000000000001" customHeight="1" x14ac:dyDescent="0.15">
      <c r="A90" s="31" t="str">
        <f>IF(B90="","",IF(SUBTOTAL(103,B90)=0,"",SUBTOTAL(103,$B$2:B90)))</f>
        <v/>
      </c>
      <c r="B90" s="31" t="str">
        <f>INDEX(Sheet1!$B:$B,ROWS($A$2:$A90)+1)&amp;""</f>
        <v/>
      </c>
      <c r="C90" s="82"/>
      <c r="D90" s="82"/>
      <c r="E90" s="82"/>
      <c r="F90" s="82"/>
      <c r="G90" s="82"/>
      <c r="H90" s="82"/>
      <c r="I90" s="35" t="str">
        <f>IF(OR(C90="✔",AND(C90="",D90&lt;&gt;"")),各種設定金額!$B$2,IF(C90="2️⃣",各種設定金額!$B$3,IF(AND(C90="",E90="✔"),各種設定金額!$B$4,IF(AND(C90="",E90="",F90="✔"),各種設定金額!$B$5,""))))</f>
        <v/>
      </c>
      <c r="J90" s="35">
        <f>IF(B90&lt;&gt;"",各種設定金額!$C$2,0)</f>
        <v>0</v>
      </c>
      <c r="K90" s="35">
        <f>IF(INDEX(Sheet1!$CF:$CF,ROWS($A$2:$A90)+1)&lt;&gt;"",0,IF(C90="✔",IF(H90="◯",IF(G90="◯",各種設定金額!$H$4,各種設定金額!$H$5),IF(G90="◯",各種設定金額!$H$3,各種設定金額!$H$2)),IF(C90="2️⃣",IF(G90="◯",各種設定金額!$I$3,各種設定金額!$I$2),0)))</f>
        <v>0</v>
      </c>
      <c r="L90" s="35">
        <f>IF(OR(C90="✔",C90="2️⃣"),各種設定金額!$M$2,0)</f>
        <v>0</v>
      </c>
      <c r="M90" s="35">
        <f>IF(INDEX(Sheet1!$CF:$CF,ROWS($A$2:$A90)+1)&lt;&gt;"",0,IF(E90="✔",IF(H90="◯",IF(G90="◯",各種設定金額!$J$4,各種設定金額!$J$5),IF(G90="◯",各種設定金額!$J$3,各種設定金額!$J$2)),0))</f>
        <v>0</v>
      </c>
      <c r="N90" s="35">
        <f>IF(E90="✔",各種設定金額!$M$2,0)</f>
        <v>0</v>
      </c>
      <c r="O90" s="35">
        <f>IF(INDEX(Sheet1!$CF:$CF,ROWS($A$2:$A90)+1)&lt;&gt;"",0,IF(F90="✔",IF(H90="◯",IF(G90="◯",各種設定金額!$K$4,各種設定金額!$K$5),IF(G90="◯",各種設定金額!$K$3,各種設定金額!$K$2)),0))</f>
        <v>0</v>
      </c>
      <c r="P90" s="35">
        <f>IF(F90="✔",各種設定金額!$M$2,0)</f>
        <v>0</v>
      </c>
      <c r="Q90" s="35">
        <f>IF(B90&lt;&gt;"",各種設定金額!$D$2,0)</f>
        <v>0</v>
      </c>
      <c r="R90" s="84"/>
      <c r="S90" s="35">
        <f>IF(D90="A",各種設定金額!$P$2,IF(D90="B",各種設定金額!$P$3,IF(D90="C",各種設定金額!$P$4,0)))</f>
        <v>0</v>
      </c>
      <c r="T90" s="35">
        <f>IF(E90="✔",各種設定金額!$Q$2,0)</f>
        <v>0</v>
      </c>
      <c r="U90" s="35">
        <f t="shared" si="1"/>
        <v>0</v>
      </c>
    </row>
    <row r="91" spans="1:21" ht="20.100000000000001" customHeight="1" x14ac:dyDescent="0.15">
      <c r="A91" s="31" t="str">
        <f>IF(B91="","",IF(SUBTOTAL(103,B91)=0,"",SUBTOTAL(103,$B$2:B91)))</f>
        <v/>
      </c>
      <c r="B91" s="31" t="str">
        <f>INDEX(Sheet1!$B:$B,ROWS($A$2:$A91)+1)&amp;""</f>
        <v/>
      </c>
      <c r="C91" s="82"/>
      <c r="D91" s="82"/>
      <c r="E91" s="82"/>
      <c r="F91" s="82"/>
      <c r="G91" s="82"/>
      <c r="H91" s="82"/>
      <c r="I91" s="35" t="str">
        <f>IF(OR(C91="✔",AND(C91="",D91&lt;&gt;"")),各種設定金額!$B$2,IF(C91="2️⃣",各種設定金額!$B$3,IF(AND(C91="",E91="✔"),各種設定金額!$B$4,IF(AND(C91="",E91="",F91="✔"),各種設定金額!$B$5,""))))</f>
        <v/>
      </c>
      <c r="J91" s="35">
        <f>IF(B91&lt;&gt;"",各種設定金額!$C$2,0)</f>
        <v>0</v>
      </c>
      <c r="K91" s="35">
        <f>IF(INDEX(Sheet1!$CF:$CF,ROWS($A$2:$A91)+1)&lt;&gt;"",0,IF(C91="✔",IF(H91="◯",IF(G91="◯",各種設定金額!$H$4,各種設定金額!$H$5),IF(G91="◯",各種設定金額!$H$3,各種設定金額!$H$2)),IF(C91="2️⃣",IF(G91="◯",各種設定金額!$I$3,各種設定金額!$I$2),0)))</f>
        <v>0</v>
      </c>
      <c r="L91" s="35">
        <f>IF(OR(C91="✔",C91="2️⃣"),各種設定金額!$M$2,0)</f>
        <v>0</v>
      </c>
      <c r="M91" s="35">
        <f>IF(INDEX(Sheet1!$CF:$CF,ROWS($A$2:$A91)+1)&lt;&gt;"",0,IF(E91="✔",IF(H91="◯",IF(G91="◯",各種設定金額!$J$4,各種設定金額!$J$5),IF(G91="◯",各種設定金額!$J$3,各種設定金額!$J$2)),0))</f>
        <v>0</v>
      </c>
      <c r="N91" s="35">
        <f>IF(E91="✔",各種設定金額!$M$2,0)</f>
        <v>0</v>
      </c>
      <c r="O91" s="35">
        <f>IF(INDEX(Sheet1!$CF:$CF,ROWS($A$2:$A91)+1)&lt;&gt;"",0,IF(F91="✔",IF(H91="◯",IF(G91="◯",各種設定金額!$K$4,各種設定金額!$K$5),IF(G91="◯",各種設定金額!$K$3,各種設定金額!$K$2)),0))</f>
        <v>0</v>
      </c>
      <c r="P91" s="35">
        <f>IF(F91="✔",各種設定金額!$M$2,0)</f>
        <v>0</v>
      </c>
      <c r="Q91" s="35">
        <f>IF(B91&lt;&gt;"",各種設定金額!$D$2,0)</f>
        <v>0</v>
      </c>
      <c r="R91" s="84"/>
      <c r="S91" s="35">
        <f>IF(D91="A",各種設定金額!$P$2,IF(D91="B",各種設定金額!$P$3,IF(D91="C",各種設定金額!$P$4,0)))</f>
        <v>0</v>
      </c>
      <c r="T91" s="35">
        <f>IF(E91="✔",各種設定金額!$Q$2,0)</f>
        <v>0</v>
      </c>
      <c r="U91" s="35">
        <f t="shared" si="1"/>
        <v>0</v>
      </c>
    </row>
    <row r="92" spans="1:21" ht="20.100000000000001" customHeight="1" x14ac:dyDescent="0.15">
      <c r="A92" s="31" t="str">
        <f>IF(B92="","",IF(SUBTOTAL(103,B92)=0,"",SUBTOTAL(103,$B$2:B92)))</f>
        <v/>
      </c>
      <c r="B92" s="31" t="str">
        <f>INDEX(Sheet1!$B:$B,ROWS($A$2:$A92)+1)&amp;""</f>
        <v/>
      </c>
      <c r="C92" s="82"/>
      <c r="D92" s="82"/>
      <c r="E92" s="82"/>
      <c r="F92" s="82"/>
      <c r="G92" s="82"/>
      <c r="H92" s="82"/>
      <c r="I92" s="35" t="str">
        <f>IF(OR(C92="✔",AND(C92="",D92&lt;&gt;"")),各種設定金額!$B$2,IF(C92="2️⃣",各種設定金額!$B$3,IF(AND(C92="",E92="✔"),各種設定金額!$B$4,IF(AND(C92="",E92="",F92="✔"),各種設定金額!$B$5,""))))</f>
        <v/>
      </c>
      <c r="J92" s="35">
        <f>IF(B92&lt;&gt;"",各種設定金額!$C$2,0)</f>
        <v>0</v>
      </c>
      <c r="K92" s="35">
        <f>IF(INDEX(Sheet1!$CF:$CF,ROWS($A$2:$A92)+1)&lt;&gt;"",0,IF(C92="✔",IF(H92="◯",IF(G92="◯",各種設定金額!$H$4,各種設定金額!$H$5),IF(G92="◯",各種設定金額!$H$3,各種設定金額!$H$2)),IF(C92="2️⃣",IF(G92="◯",各種設定金額!$I$3,各種設定金額!$I$2),0)))</f>
        <v>0</v>
      </c>
      <c r="L92" s="35">
        <f>IF(OR(C92="✔",C92="2️⃣"),各種設定金額!$M$2,0)</f>
        <v>0</v>
      </c>
      <c r="M92" s="35">
        <f>IF(INDEX(Sheet1!$CF:$CF,ROWS($A$2:$A92)+1)&lt;&gt;"",0,IF(E92="✔",IF(H92="◯",IF(G92="◯",各種設定金額!$J$4,各種設定金額!$J$5),IF(G92="◯",各種設定金額!$J$3,各種設定金額!$J$2)),0))</f>
        <v>0</v>
      </c>
      <c r="N92" s="35">
        <f>IF(E92="✔",各種設定金額!$M$2,0)</f>
        <v>0</v>
      </c>
      <c r="O92" s="35">
        <f>IF(INDEX(Sheet1!$CF:$CF,ROWS($A$2:$A92)+1)&lt;&gt;"",0,IF(F92="✔",IF(H92="◯",IF(G92="◯",各種設定金額!$K$4,各種設定金額!$K$5),IF(G92="◯",各種設定金額!$K$3,各種設定金額!$K$2)),0))</f>
        <v>0</v>
      </c>
      <c r="P92" s="35">
        <f>IF(F92="✔",各種設定金額!$M$2,0)</f>
        <v>0</v>
      </c>
      <c r="Q92" s="35">
        <f>IF(B92&lt;&gt;"",各種設定金額!$D$2,0)</f>
        <v>0</v>
      </c>
      <c r="R92" s="84"/>
      <c r="S92" s="35">
        <f>IF(D92="A",各種設定金額!$P$2,IF(D92="B",各種設定金額!$P$3,IF(D92="C",各種設定金額!$P$4,0)))</f>
        <v>0</v>
      </c>
      <c r="T92" s="35">
        <f>IF(E92="✔",各種設定金額!$Q$2,0)</f>
        <v>0</v>
      </c>
      <c r="U92" s="35">
        <f t="shared" si="1"/>
        <v>0</v>
      </c>
    </row>
    <row r="93" spans="1:21" ht="20.100000000000001" customHeight="1" x14ac:dyDescent="0.15">
      <c r="A93" s="31" t="str">
        <f>IF(B93="","",IF(SUBTOTAL(103,B93)=0,"",SUBTOTAL(103,$B$2:B93)))</f>
        <v/>
      </c>
      <c r="B93" s="31" t="str">
        <f>INDEX(Sheet1!$B:$B,ROWS($A$2:$A93)+1)&amp;""</f>
        <v/>
      </c>
      <c r="C93" s="82"/>
      <c r="D93" s="82"/>
      <c r="E93" s="82"/>
      <c r="F93" s="82"/>
      <c r="G93" s="82"/>
      <c r="H93" s="82"/>
      <c r="I93" s="35" t="str">
        <f>IF(OR(C93="✔",AND(C93="",D93&lt;&gt;"")),各種設定金額!$B$2,IF(C93="2️⃣",各種設定金額!$B$3,IF(AND(C93="",E93="✔"),各種設定金額!$B$4,IF(AND(C93="",E93="",F93="✔"),各種設定金額!$B$5,""))))</f>
        <v/>
      </c>
      <c r="J93" s="35">
        <f>IF(B93&lt;&gt;"",各種設定金額!$C$2,0)</f>
        <v>0</v>
      </c>
      <c r="K93" s="35">
        <f>IF(INDEX(Sheet1!$CF:$CF,ROWS($A$2:$A93)+1)&lt;&gt;"",0,IF(C93="✔",IF(H93="◯",IF(G93="◯",各種設定金額!$H$4,各種設定金額!$H$5),IF(G93="◯",各種設定金額!$H$3,各種設定金額!$H$2)),IF(C93="2️⃣",IF(G93="◯",各種設定金額!$I$3,各種設定金額!$I$2),0)))</f>
        <v>0</v>
      </c>
      <c r="L93" s="35">
        <f>IF(OR(C93="✔",C93="2️⃣"),各種設定金額!$M$2,0)</f>
        <v>0</v>
      </c>
      <c r="M93" s="35">
        <f>IF(INDEX(Sheet1!$CF:$CF,ROWS($A$2:$A93)+1)&lt;&gt;"",0,IF(E93="✔",IF(H93="◯",IF(G93="◯",各種設定金額!$J$4,各種設定金額!$J$5),IF(G93="◯",各種設定金額!$J$3,各種設定金額!$J$2)),0))</f>
        <v>0</v>
      </c>
      <c r="N93" s="35">
        <f>IF(E93="✔",各種設定金額!$M$2,0)</f>
        <v>0</v>
      </c>
      <c r="O93" s="35">
        <f>IF(INDEX(Sheet1!$CF:$CF,ROWS($A$2:$A93)+1)&lt;&gt;"",0,IF(F93="✔",IF(H93="◯",IF(G93="◯",各種設定金額!$K$4,各種設定金額!$K$5),IF(G93="◯",各種設定金額!$K$3,各種設定金額!$K$2)),0))</f>
        <v>0</v>
      </c>
      <c r="P93" s="35">
        <f>IF(F93="✔",各種設定金額!$M$2,0)</f>
        <v>0</v>
      </c>
      <c r="Q93" s="35">
        <f>IF(B93&lt;&gt;"",各種設定金額!$D$2,0)</f>
        <v>0</v>
      </c>
      <c r="R93" s="84"/>
      <c r="S93" s="35">
        <f>IF(D93="A",各種設定金額!$P$2,IF(D93="B",各種設定金額!$P$3,IF(D93="C",各種設定金額!$P$4,0)))</f>
        <v>0</v>
      </c>
      <c r="T93" s="35">
        <f>IF(E93="✔",各種設定金額!$Q$2,0)</f>
        <v>0</v>
      </c>
      <c r="U93" s="35">
        <f t="shared" si="1"/>
        <v>0</v>
      </c>
    </row>
    <row r="94" spans="1:21" ht="20.100000000000001" customHeight="1" x14ac:dyDescent="0.15">
      <c r="A94" s="31" t="str">
        <f>IF(B94="","",IF(SUBTOTAL(103,B94)=0,"",SUBTOTAL(103,$B$2:B94)))</f>
        <v/>
      </c>
      <c r="B94" s="31" t="str">
        <f>INDEX(Sheet1!$B:$B,ROWS($A$2:$A94)+1)&amp;""</f>
        <v/>
      </c>
      <c r="C94" s="82"/>
      <c r="D94" s="82"/>
      <c r="E94" s="82"/>
      <c r="F94" s="82"/>
      <c r="G94" s="82"/>
      <c r="H94" s="82"/>
      <c r="I94" s="35" t="str">
        <f>IF(OR(C94="✔",AND(C94="",D94&lt;&gt;"")),各種設定金額!$B$2,IF(C94="2️⃣",各種設定金額!$B$3,IF(AND(C94="",E94="✔"),各種設定金額!$B$4,IF(AND(C94="",E94="",F94="✔"),各種設定金額!$B$5,""))))</f>
        <v/>
      </c>
      <c r="J94" s="35">
        <f>IF(B94&lt;&gt;"",各種設定金額!$C$2,0)</f>
        <v>0</v>
      </c>
      <c r="K94" s="35">
        <f>IF(INDEX(Sheet1!$CF:$CF,ROWS($A$2:$A94)+1)&lt;&gt;"",0,IF(C94="✔",IF(H94="◯",IF(G94="◯",各種設定金額!$H$4,各種設定金額!$H$5),IF(G94="◯",各種設定金額!$H$3,各種設定金額!$H$2)),IF(C94="2️⃣",IF(G94="◯",各種設定金額!$I$3,各種設定金額!$I$2),0)))</f>
        <v>0</v>
      </c>
      <c r="L94" s="35">
        <f>IF(OR(C94="✔",C94="2️⃣"),各種設定金額!$M$2,0)</f>
        <v>0</v>
      </c>
      <c r="M94" s="35">
        <f>IF(INDEX(Sheet1!$CF:$CF,ROWS($A$2:$A94)+1)&lt;&gt;"",0,IF(E94="✔",IF(H94="◯",IF(G94="◯",各種設定金額!$J$4,各種設定金額!$J$5),IF(G94="◯",各種設定金額!$J$3,各種設定金額!$J$2)),0))</f>
        <v>0</v>
      </c>
      <c r="N94" s="35">
        <f>IF(E94="✔",各種設定金額!$M$2,0)</f>
        <v>0</v>
      </c>
      <c r="O94" s="35">
        <f>IF(INDEX(Sheet1!$CF:$CF,ROWS($A$2:$A94)+1)&lt;&gt;"",0,IF(F94="✔",IF(H94="◯",IF(G94="◯",各種設定金額!$K$4,各種設定金額!$K$5),IF(G94="◯",各種設定金額!$K$3,各種設定金額!$K$2)),0))</f>
        <v>0</v>
      </c>
      <c r="P94" s="35">
        <f>IF(F94="✔",各種設定金額!$M$2,0)</f>
        <v>0</v>
      </c>
      <c r="Q94" s="35">
        <f>IF(B94&lt;&gt;"",各種設定金額!$D$2,0)</f>
        <v>0</v>
      </c>
      <c r="R94" s="84"/>
      <c r="S94" s="35">
        <f>IF(D94="A",各種設定金額!$P$2,IF(D94="B",各種設定金額!$P$3,IF(D94="C",各種設定金額!$P$4,0)))</f>
        <v>0</v>
      </c>
      <c r="T94" s="35">
        <f>IF(E94="✔",各種設定金額!$Q$2,0)</f>
        <v>0</v>
      </c>
      <c r="U94" s="35">
        <f t="shared" si="1"/>
        <v>0</v>
      </c>
    </row>
    <row r="95" spans="1:21" ht="20.100000000000001" customHeight="1" x14ac:dyDescent="0.15">
      <c r="A95" s="31" t="str">
        <f>IF(B95="","",IF(SUBTOTAL(103,B95)=0,"",SUBTOTAL(103,$B$2:B95)))</f>
        <v/>
      </c>
      <c r="B95" s="31" t="str">
        <f>INDEX(Sheet1!$B:$B,ROWS($A$2:$A95)+1)&amp;""</f>
        <v/>
      </c>
      <c r="C95" s="82"/>
      <c r="D95" s="82"/>
      <c r="E95" s="82"/>
      <c r="F95" s="82"/>
      <c r="G95" s="82"/>
      <c r="H95" s="82"/>
      <c r="I95" s="35" t="str">
        <f>IF(OR(C95="✔",AND(C95="",D95&lt;&gt;"")),各種設定金額!$B$2,IF(C95="2️⃣",各種設定金額!$B$3,IF(AND(C95="",E95="✔"),各種設定金額!$B$4,IF(AND(C95="",E95="",F95="✔"),各種設定金額!$B$5,""))))</f>
        <v/>
      </c>
      <c r="J95" s="35">
        <f>IF(B95&lt;&gt;"",各種設定金額!$C$2,0)</f>
        <v>0</v>
      </c>
      <c r="K95" s="35">
        <f>IF(INDEX(Sheet1!$CF:$CF,ROWS($A$2:$A95)+1)&lt;&gt;"",0,IF(C95="✔",IF(H95="◯",IF(G95="◯",各種設定金額!$H$4,各種設定金額!$H$5),IF(G95="◯",各種設定金額!$H$3,各種設定金額!$H$2)),IF(C95="2️⃣",IF(G95="◯",各種設定金額!$I$3,各種設定金額!$I$2),0)))</f>
        <v>0</v>
      </c>
      <c r="L95" s="35">
        <f>IF(OR(C95="✔",C95="2️⃣"),各種設定金額!$M$2,0)</f>
        <v>0</v>
      </c>
      <c r="M95" s="35">
        <f>IF(INDEX(Sheet1!$CF:$CF,ROWS($A$2:$A95)+1)&lt;&gt;"",0,IF(E95="✔",IF(H95="◯",IF(G95="◯",各種設定金額!$J$4,各種設定金額!$J$5),IF(G95="◯",各種設定金額!$J$3,各種設定金額!$J$2)),0))</f>
        <v>0</v>
      </c>
      <c r="N95" s="35">
        <f>IF(E95="✔",各種設定金額!$M$2,0)</f>
        <v>0</v>
      </c>
      <c r="O95" s="35">
        <f>IF(INDEX(Sheet1!$CF:$CF,ROWS($A$2:$A95)+1)&lt;&gt;"",0,IF(F95="✔",IF(H95="◯",IF(G95="◯",各種設定金額!$K$4,各種設定金額!$K$5),IF(G95="◯",各種設定金額!$K$3,各種設定金額!$K$2)),0))</f>
        <v>0</v>
      </c>
      <c r="P95" s="35">
        <f>IF(F95="✔",各種設定金額!$M$2,0)</f>
        <v>0</v>
      </c>
      <c r="Q95" s="35">
        <f>IF(B95&lt;&gt;"",各種設定金額!$D$2,0)</f>
        <v>0</v>
      </c>
      <c r="R95" s="84"/>
      <c r="S95" s="35">
        <f>IF(D95="A",各種設定金額!$P$2,IF(D95="B",各種設定金額!$P$3,IF(D95="C",各種設定金額!$P$4,0)))</f>
        <v>0</v>
      </c>
      <c r="T95" s="35">
        <f>IF(E95="✔",各種設定金額!$Q$2,0)</f>
        <v>0</v>
      </c>
      <c r="U95" s="35">
        <f t="shared" si="1"/>
        <v>0</v>
      </c>
    </row>
    <row r="96" spans="1:21" ht="20.100000000000001" customHeight="1" x14ac:dyDescent="0.15">
      <c r="A96" s="31" t="str">
        <f>IF(B96="","",IF(SUBTOTAL(103,B96)=0,"",SUBTOTAL(103,$B$2:B96)))</f>
        <v/>
      </c>
      <c r="B96" s="31" t="str">
        <f>INDEX(Sheet1!$B:$B,ROWS($A$2:$A96)+1)&amp;""</f>
        <v/>
      </c>
      <c r="C96" s="82"/>
      <c r="D96" s="82"/>
      <c r="E96" s="82"/>
      <c r="F96" s="82"/>
      <c r="G96" s="82"/>
      <c r="H96" s="82"/>
      <c r="I96" s="35" t="str">
        <f>IF(OR(C96="✔",AND(C96="",D96&lt;&gt;"")),各種設定金額!$B$2,IF(C96="2️⃣",各種設定金額!$B$3,IF(AND(C96="",E96="✔"),各種設定金額!$B$4,IF(AND(C96="",E96="",F96="✔"),各種設定金額!$B$5,""))))</f>
        <v/>
      </c>
      <c r="J96" s="35">
        <f>IF(B96&lt;&gt;"",各種設定金額!$C$2,0)</f>
        <v>0</v>
      </c>
      <c r="K96" s="35">
        <f>IF(INDEX(Sheet1!$CF:$CF,ROWS($A$2:$A96)+1)&lt;&gt;"",0,IF(C96="✔",IF(H96="◯",IF(G96="◯",各種設定金額!$H$4,各種設定金額!$H$5),IF(G96="◯",各種設定金額!$H$3,各種設定金額!$H$2)),IF(C96="2️⃣",IF(G96="◯",各種設定金額!$I$3,各種設定金額!$I$2),0)))</f>
        <v>0</v>
      </c>
      <c r="L96" s="35">
        <f>IF(OR(C96="✔",C96="2️⃣"),各種設定金額!$M$2,0)</f>
        <v>0</v>
      </c>
      <c r="M96" s="35">
        <f>IF(INDEX(Sheet1!$CF:$CF,ROWS($A$2:$A96)+1)&lt;&gt;"",0,IF(E96="✔",IF(H96="◯",IF(G96="◯",各種設定金額!$J$4,各種設定金額!$J$5),IF(G96="◯",各種設定金額!$J$3,各種設定金額!$J$2)),0))</f>
        <v>0</v>
      </c>
      <c r="N96" s="35">
        <f>IF(E96="✔",各種設定金額!$M$2,0)</f>
        <v>0</v>
      </c>
      <c r="O96" s="35">
        <f>IF(INDEX(Sheet1!$CF:$CF,ROWS($A$2:$A96)+1)&lt;&gt;"",0,IF(F96="✔",IF(H96="◯",IF(G96="◯",各種設定金額!$K$4,各種設定金額!$K$5),IF(G96="◯",各種設定金額!$K$3,各種設定金額!$K$2)),0))</f>
        <v>0</v>
      </c>
      <c r="P96" s="35">
        <f>IF(F96="✔",各種設定金額!$M$2,0)</f>
        <v>0</v>
      </c>
      <c r="Q96" s="35">
        <f>IF(B96&lt;&gt;"",各種設定金額!$D$2,0)</f>
        <v>0</v>
      </c>
      <c r="R96" s="84"/>
      <c r="S96" s="35">
        <f>IF(D96="A",各種設定金額!$P$2,IF(D96="B",各種設定金額!$P$3,IF(D96="C",各種設定金額!$P$4,0)))</f>
        <v>0</v>
      </c>
      <c r="T96" s="35">
        <f>IF(E96="✔",各種設定金額!$Q$2,0)</f>
        <v>0</v>
      </c>
      <c r="U96" s="35">
        <f t="shared" si="1"/>
        <v>0</v>
      </c>
    </row>
    <row r="97" spans="1:21" ht="20.100000000000001" customHeight="1" x14ac:dyDescent="0.15">
      <c r="A97" s="31" t="str">
        <f>IF(B97="","",IF(SUBTOTAL(103,B97)=0,"",SUBTOTAL(103,$B$2:B97)))</f>
        <v/>
      </c>
      <c r="B97" s="31" t="str">
        <f>INDEX(Sheet1!$B:$B,ROWS($A$2:$A97)+1)&amp;""</f>
        <v/>
      </c>
      <c r="C97" s="82"/>
      <c r="D97" s="82"/>
      <c r="E97" s="82"/>
      <c r="F97" s="82"/>
      <c r="G97" s="82"/>
      <c r="H97" s="82"/>
      <c r="I97" s="35" t="str">
        <f>IF(OR(C97="✔",AND(C97="",D97&lt;&gt;"")),各種設定金額!$B$2,IF(C97="2️⃣",各種設定金額!$B$3,IF(AND(C97="",E97="✔"),各種設定金額!$B$4,IF(AND(C97="",E97="",F97="✔"),各種設定金額!$B$5,""))))</f>
        <v/>
      </c>
      <c r="J97" s="35">
        <f>IF(B97&lt;&gt;"",各種設定金額!$C$2,0)</f>
        <v>0</v>
      </c>
      <c r="K97" s="35">
        <f>IF(INDEX(Sheet1!$CF:$CF,ROWS($A$2:$A97)+1)&lt;&gt;"",0,IF(C97="✔",IF(H97="◯",IF(G97="◯",各種設定金額!$H$4,各種設定金額!$H$5),IF(G97="◯",各種設定金額!$H$3,各種設定金額!$H$2)),IF(C97="2️⃣",IF(G97="◯",各種設定金額!$I$3,各種設定金額!$I$2),0)))</f>
        <v>0</v>
      </c>
      <c r="L97" s="35">
        <f>IF(OR(C97="✔",C97="2️⃣"),各種設定金額!$M$2,0)</f>
        <v>0</v>
      </c>
      <c r="M97" s="35">
        <f>IF(INDEX(Sheet1!$CF:$CF,ROWS($A$2:$A97)+1)&lt;&gt;"",0,IF(E97="✔",IF(H97="◯",IF(G97="◯",各種設定金額!$J$4,各種設定金額!$J$5),IF(G97="◯",各種設定金額!$J$3,各種設定金額!$J$2)),0))</f>
        <v>0</v>
      </c>
      <c r="N97" s="35">
        <f>IF(E97="✔",各種設定金額!$M$2,0)</f>
        <v>0</v>
      </c>
      <c r="O97" s="35">
        <f>IF(INDEX(Sheet1!$CF:$CF,ROWS($A$2:$A97)+1)&lt;&gt;"",0,IF(F97="✔",IF(H97="◯",IF(G97="◯",各種設定金額!$K$4,各種設定金額!$K$5),IF(G97="◯",各種設定金額!$K$3,各種設定金額!$K$2)),0))</f>
        <v>0</v>
      </c>
      <c r="P97" s="35">
        <f>IF(F97="✔",各種設定金額!$M$2,0)</f>
        <v>0</v>
      </c>
      <c r="Q97" s="35">
        <f>IF(B97&lt;&gt;"",各種設定金額!$D$2,0)</f>
        <v>0</v>
      </c>
      <c r="R97" s="84"/>
      <c r="S97" s="35">
        <f>IF(D97="A",各種設定金額!$P$2,IF(D97="B",各種設定金額!$P$3,IF(D97="C",各種設定金額!$P$4,0)))</f>
        <v>0</v>
      </c>
      <c r="T97" s="35">
        <f>IF(E97="✔",各種設定金額!$Q$2,0)</f>
        <v>0</v>
      </c>
      <c r="U97" s="35">
        <f t="shared" si="1"/>
        <v>0</v>
      </c>
    </row>
    <row r="98" spans="1:21" ht="20.100000000000001" customHeight="1" x14ac:dyDescent="0.15">
      <c r="A98" s="31" t="str">
        <f>IF(B98="","",IF(SUBTOTAL(103,B98)=0,"",SUBTOTAL(103,$B$2:B98)))</f>
        <v/>
      </c>
      <c r="B98" s="31" t="str">
        <f>INDEX(Sheet1!$B:$B,ROWS($A$2:$A98)+1)&amp;""</f>
        <v/>
      </c>
      <c r="C98" s="82"/>
      <c r="D98" s="82"/>
      <c r="E98" s="82"/>
      <c r="F98" s="82"/>
      <c r="G98" s="82"/>
      <c r="H98" s="82"/>
      <c r="I98" s="35" t="str">
        <f>IF(OR(C98="✔",AND(C98="",D98&lt;&gt;"")),各種設定金額!$B$2,IF(C98="2️⃣",各種設定金額!$B$3,IF(AND(C98="",E98="✔"),各種設定金額!$B$4,IF(AND(C98="",E98="",F98="✔"),各種設定金額!$B$5,""))))</f>
        <v/>
      </c>
      <c r="J98" s="35">
        <f>IF(B98&lt;&gt;"",各種設定金額!$C$2,0)</f>
        <v>0</v>
      </c>
      <c r="K98" s="35">
        <f>IF(INDEX(Sheet1!$CF:$CF,ROWS($A$2:$A98)+1)&lt;&gt;"",0,IF(C98="✔",IF(H98="◯",IF(G98="◯",各種設定金額!$H$4,各種設定金額!$H$5),IF(G98="◯",各種設定金額!$H$3,各種設定金額!$H$2)),IF(C98="2️⃣",IF(G98="◯",各種設定金額!$I$3,各種設定金額!$I$2),0)))</f>
        <v>0</v>
      </c>
      <c r="L98" s="35">
        <f>IF(OR(C98="✔",C98="2️⃣"),各種設定金額!$M$2,0)</f>
        <v>0</v>
      </c>
      <c r="M98" s="35">
        <f>IF(INDEX(Sheet1!$CF:$CF,ROWS($A$2:$A98)+1)&lt;&gt;"",0,IF(E98="✔",IF(H98="◯",IF(G98="◯",各種設定金額!$J$4,各種設定金額!$J$5),IF(G98="◯",各種設定金額!$J$3,各種設定金額!$J$2)),0))</f>
        <v>0</v>
      </c>
      <c r="N98" s="35">
        <f>IF(E98="✔",各種設定金額!$M$2,0)</f>
        <v>0</v>
      </c>
      <c r="O98" s="35">
        <f>IF(INDEX(Sheet1!$CF:$CF,ROWS($A$2:$A98)+1)&lt;&gt;"",0,IF(F98="✔",IF(H98="◯",IF(G98="◯",各種設定金額!$K$4,各種設定金額!$K$5),IF(G98="◯",各種設定金額!$K$3,各種設定金額!$K$2)),0))</f>
        <v>0</v>
      </c>
      <c r="P98" s="35">
        <f>IF(F98="✔",各種設定金額!$M$2,0)</f>
        <v>0</v>
      </c>
      <c r="Q98" s="35">
        <f>IF(B98&lt;&gt;"",各種設定金額!$D$2,0)</f>
        <v>0</v>
      </c>
      <c r="R98" s="84"/>
      <c r="S98" s="35">
        <f>IF(D98="A",各種設定金額!$P$2,IF(D98="B",各種設定金額!$P$3,IF(D98="C",各種設定金額!$P$4,0)))</f>
        <v>0</v>
      </c>
      <c r="T98" s="35">
        <f>IF(E98="✔",各種設定金額!$Q$2,0)</f>
        <v>0</v>
      </c>
      <c r="U98" s="35">
        <f t="shared" si="1"/>
        <v>0</v>
      </c>
    </row>
    <row r="99" spans="1:21" ht="20.100000000000001" customHeight="1" x14ac:dyDescent="0.15">
      <c r="A99" s="31" t="str">
        <f>IF(B99="","",IF(SUBTOTAL(103,B99)=0,"",SUBTOTAL(103,$B$2:B99)))</f>
        <v/>
      </c>
      <c r="B99" s="31" t="str">
        <f>INDEX(Sheet1!$B:$B,ROWS($A$2:$A99)+1)&amp;""</f>
        <v/>
      </c>
      <c r="C99" s="82"/>
      <c r="D99" s="82"/>
      <c r="E99" s="82"/>
      <c r="F99" s="82"/>
      <c r="G99" s="82"/>
      <c r="H99" s="82"/>
      <c r="I99" s="35" t="str">
        <f>IF(OR(C99="✔",AND(C99="",D99&lt;&gt;"")),各種設定金額!$B$2,IF(C99="2️⃣",各種設定金額!$B$3,IF(AND(C99="",E99="✔"),各種設定金額!$B$4,IF(AND(C99="",E99="",F99="✔"),各種設定金額!$B$5,""))))</f>
        <v/>
      </c>
      <c r="J99" s="35">
        <f>IF(B99&lt;&gt;"",各種設定金額!$C$2,0)</f>
        <v>0</v>
      </c>
      <c r="K99" s="35">
        <f>IF(INDEX(Sheet1!$CF:$CF,ROWS($A$2:$A99)+1)&lt;&gt;"",0,IF(C99="✔",IF(H99="◯",IF(G99="◯",各種設定金額!$H$4,各種設定金額!$H$5),IF(G99="◯",各種設定金額!$H$3,各種設定金額!$H$2)),IF(C99="2️⃣",IF(G99="◯",各種設定金額!$I$3,各種設定金額!$I$2),0)))</f>
        <v>0</v>
      </c>
      <c r="L99" s="35">
        <f>IF(OR(C99="✔",C99="2️⃣"),各種設定金額!$M$2,0)</f>
        <v>0</v>
      </c>
      <c r="M99" s="35">
        <f>IF(INDEX(Sheet1!$CF:$CF,ROWS($A$2:$A99)+1)&lt;&gt;"",0,IF(E99="✔",IF(H99="◯",IF(G99="◯",各種設定金額!$J$4,各種設定金額!$J$5),IF(G99="◯",各種設定金額!$J$3,各種設定金額!$J$2)),0))</f>
        <v>0</v>
      </c>
      <c r="N99" s="35">
        <f>IF(E99="✔",各種設定金額!$M$2,0)</f>
        <v>0</v>
      </c>
      <c r="O99" s="35">
        <f>IF(INDEX(Sheet1!$CF:$CF,ROWS($A$2:$A99)+1)&lt;&gt;"",0,IF(F99="✔",IF(H99="◯",IF(G99="◯",各種設定金額!$K$4,各種設定金額!$K$5),IF(G99="◯",各種設定金額!$K$3,各種設定金額!$K$2)),0))</f>
        <v>0</v>
      </c>
      <c r="P99" s="35">
        <f>IF(F99="✔",各種設定金額!$M$2,0)</f>
        <v>0</v>
      </c>
      <c r="Q99" s="35">
        <f>IF(B99&lt;&gt;"",各種設定金額!$D$2,0)</f>
        <v>0</v>
      </c>
      <c r="R99" s="84"/>
      <c r="S99" s="35">
        <f>IF(D99="A",各種設定金額!$P$2,IF(D99="B",各種設定金額!$P$3,IF(D99="C",各種設定金額!$P$4,0)))</f>
        <v>0</v>
      </c>
      <c r="T99" s="35">
        <f>IF(E99="✔",各種設定金額!$Q$2,0)</f>
        <v>0</v>
      </c>
      <c r="U99" s="35">
        <f t="shared" si="1"/>
        <v>0</v>
      </c>
    </row>
    <row r="100" spans="1:21" ht="20.100000000000001" customHeight="1" x14ac:dyDescent="0.15">
      <c r="A100" s="31" t="str">
        <f>IF(B100="","",IF(SUBTOTAL(103,B100)=0,"",SUBTOTAL(103,$B$2:B100)))</f>
        <v/>
      </c>
      <c r="B100" s="31" t="str">
        <f>INDEX(Sheet1!$B:$B,ROWS($A$2:$A100)+1)&amp;""</f>
        <v/>
      </c>
      <c r="C100" s="82"/>
      <c r="D100" s="82"/>
      <c r="E100" s="82"/>
      <c r="F100" s="82"/>
      <c r="G100" s="82"/>
      <c r="H100" s="82"/>
      <c r="I100" s="35" t="str">
        <f>IF(OR(C100="✔",AND(C100="",D100&lt;&gt;"")),各種設定金額!$B$2,IF(C100="2️⃣",各種設定金額!$B$3,IF(AND(C100="",E100="✔"),各種設定金額!$B$4,IF(AND(C100="",E100="",F100="✔"),各種設定金額!$B$5,""))))</f>
        <v/>
      </c>
      <c r="J100" s="35">
        <f>IF(B100&lt;&gt;"",各種設定金額!$C$2,0)</f>
        <v>0</v>
      </c>
      <c r="K100" s="35">
        <f>IF(INDEX(Sheet1!$CF:$CF,ROWS($A$2:$A100)+1)&lt;&gt;"",0,IF(C100="✔",IF(H100="◯",IF(G100="◯",各種設定金額!$H$4,各種設定金額!$H$5),IF(G100="◯",各種設定金額!$H$3,各種設定金額!$H$2)),IF(C100="2️⃣",IF(G100="◯",各種設定金額!$I$3,各種設定金額!$I$2),0)))</f>
        <v>0</v>
      </c>
      <c r="L100" s="35">
        <f>IF(OR(C100="✔",C100="2️⃣"),各種設定金額!$M$2,0)</f>
        <v>0</v>
      </c>
      <c r="M100" s="35">
        <f>IF(INDEX(Sheet1!$CF:$CF,ROWS($A$2:$A100)+1)&lt;&gt;"",0,IF(E100="✔",IF(H100="◯",IF(G100="◯",各種設定金額!$J$4,各種設定金額!$J$5),IF(G100="◯",各種設定金額!$J$3,各種設定金額!$J$2)),0))</f>
        <v>0</v>
      </c>
      <c r="N100" s="35">
        <f>IF(E100="✔",各種設定金額!$M$2,0)</f>
        <v>0</v>
      </c>
      <c r="O100" s="35">
        <f>IF(INDEX(Sheet1!$CF:$CF,ROWS($A$2:$A100)+1)&lt;&gt;"",0,IF(F100="✔",IF(H100="◯",IF(G100="◯",各種設定金額!$K$4,各種設定金額!$K$5),IF(G100="◯",各種設定金額!$K$3,各種設定金額!$K$2)),0))</f>
        <v>0</v>
      </c>
      <c r="P100" s="35">
        <f>IF(F100="✔",各種設定金額!$M$2,0)</f>
        <v>0</v>
      </c>
      <c r="Q100" s="35">
        <f>IF(B100&lt;&gt;"",各種設定金額!$D$2,0)</f>
        <v>0</v>
      </c>
      <c r="R100" s="84"/>
      <c r="S100" s="35">
        <f>IF(D100="A",各種設定金額!$P$2,IF(D100="B",各種設定金額!$P$3,IF(D100="C",各種設定金額!$P$4,0)))</f>
        <v>0</v>
      </c>
      <c r="T100" s="35">
        <f>IF(E100="✔",各種設定金額!$Q$2,0)</f>
        <v>0</v>
      </c>
      <c r="U100" s="35">
        <f t="shared" si="1"/>
        <v>0</v>
      </c>
    </row>
    <row r="101" spans="1:21" ht="20.100000000000001" customHeight="1" x14ac:dyDescent="0.15">
      <c r="A101" s="31" t="str">
        <f>IF(B101="","",IF(SUBTOTAL(103,B101)=0,"",SUBTOTAL(103,$B$2:B101)))</f>
        <v/>
      </c>
      <c r="B101" s="31" t="str">
        <f>INDEX(Sheet1!$B:$B,ROWS($A$2:$A101)+1)&amp;""</f>
        <v/>
      </c>
      <c r="C101" s="82"/>
      <c r="D101" s="82"/>
      <c r="E101" s="82"/>
      <c r="F101" s="82"/>
      <c r="G101" s="82"/>
      <c r="H101" s="82"/>
      <c r="I101" s="35" t="str">
        <f>IF(OR(C101="✔",AND(C101="",D101&lt;&gt;"")),各種設定金額!$B$2,IF(C101="2️⃣",各種設定金額!$B$3,IF(AND(C101="",E101="✔"),各種設定金額!$B$4,IF(AND(C101="",E101="",F101="✔"),各種設定金額!$B$5,""))))</f>
        <v/>
      </c>
      <c r="J101" s="35">
        <f>IF(B101&lt;&gt;"",各種設定金額!$C$2,0)</f>
        <v>0</v>
      </c>
      <c r="K101" s="35">
        <f>IF(INDEX(Sheet1!$CF:$CF,ROWS($A$2:$A101)+1)&lt;&gt;"",0,IF(C101="✔",IF(H101="◯",IF(G101="◯",各種設定金額!$H$4,各種設定金額!$H$5),IF(G101="◯",各種設定金額!$H$3,各種設定金額!$H$2)),IF(C101="2️⃣",IF(G101="◯",各種設定金額!$I$3,各種設定金額!$I$2),0)))</f>
        <v>0</v>
      </c>
      <c r="L101" s="35">
        <f>IF(OR(C101="✔",C101="2️⃣"),各種設定金額!$M$2,0)</f>
        <v>0</v>
      </c>
      <c r="M101" s="35">
        <f>IF(INDEX(Sheet1!$CF:$CF,ROWS($A$2:$A101)+1)&lt;&gt;"",0,IF(E101="✔",IF(H101="◯",IF(G101="◯",各種設定金額!$J$4,各種設定金額!$J$5),IF(G101="◯",各種設定金額!$J$3,各種設定金額!$J$2)),0))</f>
        <v>0</v>
      </c>
      <c r="N101" s="35">
        <f>IF(E101="✔",各種設定金額!$M$2,0)</f>
        <v>0</v>
      </c>
      <c r="O101" s="35">
        <f>IF(INDEX(Sheet1!$CF:$CF,ROWS($A$2:$A101)+1)&lt;&gt;"",0,IF(F101="✔",IF(H101="◯",IF(G101="◯",各種設定金額!$K$4,各種設定金額!$K$5),IF(G101="◯",各種設定金額!$K$3,各種設定金額!$K$2)),0))</f>
        <v>0</v>
      </c>
      <c r="P101" s="35">
        <f>IF(F101="✔",各種設定金額!$M$2,0)</f>
        <v>0</v>
      </c>
      <c r="Q101" s="35">
        <f>IF(B101&lt;&gt;"",各種設定金額!$D$2,0)</f>
        <v>0</v>
      </c>
      <c r="R101" s="84"/>
      <c r="S101" s="35">
        <f>IF(D101="A",各種設定金額!$P$2,IF(D101="B",各種設定金額!$P$3,IF(D101="C",各種設定金額!$P$4,0)))</f>
        <v>0</v>
      </c>
      <c r="T101" s="35">
        <f>IF(E101="✔",各種設定金額!$Q$2,0)</f>
        <v>0</v>
      </c>
      <c r="U101" s="35">
        <f t="shared" si="1"/>
        <v>0</v>
      </c>
    </row>
    <row r="102" spans="1:21" ht="20.100000000000001" customHeight="1" x14ac:dyDescent="0.15">
      <c r="A102" s="31" t="str">
        <f>IF(B102="","",IF(SUBTOTAL(103,B102)=0,"",SUBTOTAL(103,$B$2:B102)))</f>
        <v/>
      </c>
      <c r="B102" s="31" t="str">
        <f>INDEX(Sheet1!$B:$B,ROWS($A$2:$A102)+1)&amp;""</f>
        <v/>
      </c>
      <c r="C102" s="82"/>
      <c r="D102" s="82"/>
      <c r="E102" s="82"/>
      <c r="F102" s="82"/>
      <c r="G102" s="82"/>
      <c r="H102" s="82"/>
      <c r="I102" s="35" t="str">
        <f>IF(OR(C102="✔",AND(C102="",D102&lt;&gt;"")),各種設定金額!$B$2,IF(C102="2️⃣",各種設定金額!$B$3,IF(AND(C102="",E102="✔"),各種設定金額!$B$4,IF(AND(C102="",E102="",F102="✔"),各種設定金額!$B$5,""))))</f>
        <v/>
      </c>
      <c r="J102" s="35">
        <f>IF(B102&lt;&gt;"",各種設定金額!$C$2,0)</f>
        <v>0</v>
      </c>
      <c r="K102" s="35">
        <f>IF(INDEX(Sheet1!$CF:$CF,ROWS($A$2:$A102)+1)&lt;&gt;"",0,IF(C102="✔",IF(H102="◯",IF(G102="◯",各種設定金額!$H$4,各種設定金額!$H$5),IF(G102="◯",各種設定金額!$H$3,各種設定金額!$H$2)),IF(C102="2️⃣",IF(G102="◯",各種設定金額!$I$3,各種設定金額!$I$2),0)))</f>
        <v>0</v>
      </c>
      <c r="L102" s="35">
        <f>IF(OR(C102="✔",C102="2️⃣"),各種設定金額!$M$2,0)</f>
        <v>0</v>
      </c>
      <c r="M102" s="35">
        <f>IF(INDEX(Sheet1!$CF:$CF,ROWS($A$2:$A102)+1)&lt;&gt;"",0,IF(E102="✔",IF(H102="◯",IF(G102="◯",各種設定金額!$J$4,各種設定金額!$J$5),IF(G102="◯",各種設定金額!$J$3,各種設定金額!$J$2)),0))</f>
        <v>0</v>
      </c>
      <c r="N102" s="35">
        <f>IF(E102="✔",各種設定金額!$M$2,0)</f>
        <v>0</v>
      </c>
      <c r="O102" s="35">
        <f>IF(INDEX(Sheet1!$CF:$CF,ROWS($A$2:$A102)+1)&lt;&gt;"",0,IF(F102="✔",IF(H102="◯",IF(G102="◯",各種設定金額!$K$4,各種設定金額!$K$5),IF(G102="◯",各種設定金額!$K$3,各種設定金額!$K$2)),0))</f>
        <v>0</v>
      </c>
      <c r="P102" s="35">
        <f>IF(F102="✔",各種設定金額!$M$2,0)</f>
        <v>0</v>
      </c>
      <c r="Q102" s="35">
        <f>IF(B102&lt;&gt;"",各種設定金額!$D$2,0)</f>
        <v>0</v>
      </c>
      <c r="R102" s="84"/>
      <c r="S102" s="35">
        <f>IF(D102="A",各種設定金額!$P$2,IF(D102="B",各種設定金額!$P$3,IF(D102="C",各種設定金額!$P$4,0)))</f>
        <v>0</v>
      </c>
      <c r="T102" s="35">
        <f>IF(E102="✔",各種設定金額!$Q$2,0)</f>
        <v>0</v>
      </c>
      <c r="U102" s="35">
        <f t="shared" si="1"/>
        <v>0</v>
      </c>
    </row>
    <row r="103" spans="1:21" ht="20.100000000000001" customHeight="1" x14ac:dyDescent="0.15">
      <c r="A103" s="31" t="str">
        <f>IF(B103="","",IF(SUBTOTAL(103,B103)=0,"",SUBTOTAL(103,$B$2:B103)))</f>
        <v/>
      </c>
      <c r="B103" s="31" t="str">
        <f>INDEX(Sheet1!$B:$B,ROWS($A$2:$A103)+1)&amp;""</f>
        <v/>
      </c>
      <c r="C103" s="82"/>
      <c r="D103" s="82"/>
      <c r="E103" s="82"/>
      <c r="F103" s="82"/>
      <c r="G103" s="82"/>
      <c r="H103" s="82"/>
      <c r="I103" s="35" t="str">
        <f>IF(OR(C103="✔",AND(C103="",D103&lt;&gt;"")),各種設定金額!$B$2,IF(C103="2️⃣",各種設定金額!$B$3,IF(AND(C103="",E103="✔"),各種設定金額!$B$4,IF(AND(C103="",E103="",F103="✔"),各種設定金額!$B$5,""))))</f>
        <v/>
      </c>
      <c r="J103" s="35">
        <f>IF(B103&lt;&gt;"",各種設定金額!$C$2,0)</f>
        <v>0</v>
      </c>
      <c r="K103" s="35">
        <f>IF(INDEX(Sheet1!$CF:$CF,ROWS($A$2:$A103)+1)&lt;&gt;"",0,IF(C103="✔",IF(H103="◯",IF(G103="◯",各種設定金額!$H$4,各種設定金額!$H$5),IF(G103="◯",各種設定金額!$H$3,各種設定金額!$H$2)),IF(C103="2️⃣",IF(G103="◯",各種設定金額!$I$3,各種設定金額!$I$2),0)))</f>
        <v>0</v>
      </c>
      <c r="L103" s="35">
        <f>IF(OR(C103="✔",C103="2️⃣"),各種設定金額!$M$2,0)</f>
        <v>0</v>
      </c>
      <c r="M103" s="35">
        <f>IF(INDEX(Sheet1!$CF:$CF,ROWS($A$2:$A103)+1)&lt;&gt;"",0,IF(E103="✔",IF(H103="◯",IF(G103="◯",各種設定金額!$J$4,各種設定金額!$J$5),IF(G103="◯",各種設定金額!$J$3,各種設定金額!$J$2)),0))</f>
        <v>0</v>
      </c>
      <c r="N103" s="35">
        <f>IF(E103="✔",各種設定金額!$M$2,0)</f>
        <v>0</v>
      </c>
      <c r="O103" s="35">
        <f>IF(INDEX(Sheet1!$CF:$CF,ROWS($A$2:$A103)+1)&lt;&gt;"",0,IF(F103="✔",IF(H103="◯",IF(G103="◯",各種設定金額!$K$4,各種設定金額!$K$5),IF(G103="◯",各種設定金額!$K$3,各種設定金額!$K$2)),0))</f>
        <v>0</v>
      </c>
      <c r="P103" s="35">
        <f>IF(F103="✔",各種設定金額!$M$2,0)</f>
        <v>0</v>
      </c>
      <c r="Q103" s="35">
        <f>IF(B103&lt;&gt;"",各種設定金額!$D$2,0)</f>
        <v>0</v>
      </c>
      <c r="R103" s="84"/>
      <c r="S103" s="35">
        <f>IF(D103="A",各種設定金額!$P$2,IF(D103="B",各種設定金額!$P$3,IF(D103="C",各種設定金額!$P$4,0)))</f>
        <v>0</v>
      </c>
      <c r="T103" s="35">
        <f>IF(E103="✔",各種設定金額!$Q$2,0)</f>
        <v>0</v>
      </c>
      <c r="U103" s="35">
        <f t="shared" si="1"/>
        <v>0</v>
      </c>
    </row>
    <row r="104" spans="1:21" ht="20.100000000000001" customHeight="1" x14ac:dyDescent="0.15">
      <c r="A104" s="31" t="str">
        <f>IF(B104="","",IF(SUBTOTAL(103,B104)=0,"",SUBTOTAL(103,$B$2:B104)))</f>
        <v/>
      </c>
      <c r="B104" s="31" t="str">
        <f>INDEX(Sheet1!$B:$B,ROWS($A$2:$A104)+1)&amp;""</f>
        <v/>
      </c>
      <c r="C104" s="82"/>
      <c r="D104" s="82"/>
      <c r="E104" s="82"/>
      <c r="F104" s="82"/>
      <c r="G104" s="82"/>
      <c r="H104" s="82"/>
      <c r="I104" s="35" t="str">
        <f>IF(OR(C104="✔",AND(C104="",D104&lt;&gt;"")),各種設定金額!$B$2,IF(C104="2️⃣",各種設定金額!$B$3,IF(AND(C104="",E104="✔"),各種設定金額!$B$4,IF(AND(C104="",E104="",F104="✔"),各種設定金額!$B$5,""))))</f>
        <v/>
      </c>
      <c r="J104" s="35">
        <f>IF(B104&lt;&gt;"",各種設定金額!$C$2,0)</f>
        <v>0</v>
      </c>
      <c r="K104" s="35">
        <f>IF(INDEX(Sheet1!$CF:$CF,ROWS($A$2:$A104)+1)&lt;&gt;"",0,IF(C104="✔",IF(H104="◯",IF(G104="◯",各種設定金額!$H$4,各種設定金額!$H$5),IF(G104="◯",各種設定金額!$H$3,各種設定金額!$H$2)),IF(C104="2️⃣",IF(G104="◯",各種設定金額!$I$3,各種設定金額!$I$2),0)))</f>
        <v>0</v>
      </c>
      <c r="L104" s="35">
        <f>IF(OR(C104="✔",C104="2️⃣"),各種設定金額!$M$2,0)</f>
        <v>0</v>
      </c>
      <c r="M104" s="35">
        <f>IF(INDEX(Sheet1!$CF:$CF,ROWS($A$2:$A104)+1)&lt;&gt;"",0,IF(E104="✔",IF(H104="◯",IF(G104="◯",各種設定金額!$J$4,各種設定金額!$J$5),IF(G104="◯",各種設定金額!$J$3,各種設定金額!$J$2)),0))</f>
        <v>0</v>
      </c>
      <c r="N104" s="35">
        <f>IF(E104="✔",各種設定金額!$M$2,0)</f>
        <v>0</v>
      </c>
      <c r="O104" s="35">
        <f>IF(INDEX(Sheet1!$CF:$CF,ROWS($A$2:$A104)+1)&lt;&gt;"",0,IF(F104="✔",IF(H104="◯",IF(G104="◯",各種設定金額!$K$4,各種設定金額!$K$5),IF(G104="◯",各種設定金額!$K$3,各種設定金額!$K$2)),0))</f>
        <v>0</v>
      </c>
      <c r="P104" s="35">
        <f>IF(F104="✔",各種設定金額!$M$2,0)</f>
        <v>0</v>
      </c>
      <c r="Q104" s="35">
        <f>IF(B104&lt;&gt;"",各種設定金額!$D$2,0)</f>
        <v>0</v>
      </c>
      <c r="R104" s="84"/>
      <c r="S104" s="35">
        <f>IF(D104="A",各種設定金額!$P$2,IF(D104="B",各種設定金額!$P$3,IF(D104="C",各種設定金額!$P$4,0)))</f>
        <v>0</v>
      </c>
      <c r="T104" s="35">
        <f>IF(E104="✔",各種設定金額!$Q$2,0)</f>
        <v>0</v>
      </c>
      <c r="U104" s="35">
        <f t="shared" si="1"/>
        <v>0</v>
      </c>
    </row>
    <row r="105" spans="1:21" ht="20.100000000000001" customHeight="1" x14ac:dyDescent="0.15">
      <c r="A105" s="31" t="str">
        <f>IF(B105="","",IF(SUBTOTAL(103,B105)=0,"",SUBTOTAL(103,$B$2:B105)))</f>
        <v/>
      </c>
      <c r="B105" s="31" t="str">
        <f>INDEX(Sheet1!$B:$B,ROWS($A$2:$A105)+1)&amp;""</f>
        <v/>
      </c>
      <c r="C105" s="82"/>
      <c r="D105" s="82"/>
      <c r="E105" s="82"/>
      <c r="F105" s="82"/>
      <c r="G105" s="82"/>
      <c r="H105" s="82"/>
      <c r="I105" s="35" t="str">
        <f>IF(OR(C105="✔",AND(C105="",D105&lt;&gt;"")),各種設定金額!$B$2,IF(C105="2️⃣",各種設定金額!$B$3,IF(AND(C105="",E105="✔"),各種設定金額!$B$4,IF(AND(C105="",E105="",F105="✔"),各種設定金額!$B$5,""))))</f>
        <v/>
      </c>
      <c r="J105" s="35">
        <f>IF(B105&lt;&gt;"",各種設定金額!$C$2,0)</f>
        <v>0</v>
      </c>
      <c r="K105" s="35">
        <f>IF(INDEX(Sheet1!$CF:$CF,ROWS($A$2:$A105)+1)&lt;&gt;"",0,IF(C105="✔",IF(H105="◯",IF(G105="◯",各種設定金額!$H$4,各種設定金額!$H$5),IF(G105="◯",各種設定金額!$H$3,各種設定金額!$H$2)),IF(C105="2️⃣",IF(G105="◯",各種設定金額!$I$3,各種設定金額!$I$2),0)))</f>
        <v>0</v>
      </c>
      <c r="L105" s="35">
        <f>IF(OR(C105="✔",C105="2️⃣"),各種設定金額!$M$2,0)</f>
        <v>0</v>
      </c>
      <c r="M105" s="35">
        <f>IF(INDEX(Sheet1!$CF:$CF,ROWS($A$2:$A105)+1)&lt;&gt;"",0,IF(E105="✔",IF(H105="◯",IF(G105="◯",各種設定金額!$J$4,各種設定金額!$J$5),IF(G105="◯",各種設定金額!$J$3,各種設定金額!$J$2)),0))</f>
        <v>0</v>
      </c>
      <c r="N105" s="35">
        <f>IF(E105="✔",各種設定金額!$M$2,0)</f>
        <v>0</v>
      </c>
      <c r="O105" s="35">
        <f>IF(INDEX(Sheet1!$CF:$CF,ROWS($A$2:$A105)+1)&lt;&gt;"",0,IF(F105="✔",IF(H105="◯",IF(G105="◯",各種設定金額!$K$4,各種設定金額!$K$5),IF(G105="◯",各種設定金額!$K$3,各種設定金額!$K$2)),0))</f>
        <v>0</v>
      </c>
      <c r="P105" s="35">
        <f>IF(F105="✔",各種設定金額!$M$2,0)</f>
        <v>0</v>
      </c>
      <c r="Q105" s="35">
        <f>IF(B105&lt;&gt;"",各種設定金額!$D$2,0)</f>
        <v>0</v>
      </c>
      <c r="R105" s="84"/>
      <c r="S105" s="35">
        <f>IF(D105="A",各種設定金額!$P$2,IF(D105="B",各種設定金額!$P$3,IF(D105="C",各種設定金額!$P$4,0)))</f>
        <v>0</v>
      </c>
      <c r="T105" s="35">
        <f>IF(E105="✔",各種設定金額!$Q$2,0)</f>
        <v>0</v>
      </c>
      <c r="U105" s="35">
        <f t="shared" si="1"/>
        <v>0</v>
      </c>
    </row>
    <row r="106" spans="1:21" ht="20.100000000000001" customHeight="1" x14ac:dyDescent="0.15">
      <c r="A106" s="31" t="str">
        <f>IF(B106="","",IF(SUBTOTAL(103,B106)=0,"",SUBTOTAL(103,$B$2:B106)))</f>
        <v/>
      </c>
      <c r="B106" s="31" t="str">
        <f>INDEX(Sheet1!$B:$B,ROWS($A$2:$A106)+1)&amp;""</f>
        <v/>
      </c>
      <c r="C106" s="82"/>
      <c r="D106" s="82"/>
      <c r="E106" s="82"/>
      <c r="F106" s="82"/>
      <c r="G106" s="82"/>
      <c r="H106" s="82"/>
      <c r="I106" s="35" t="str">
        <f>IF(OR(C106="✔",AND(C106="",D106&lt;&gt;"")),各種設定金額!$B$2,IF(C106="2️⃣",各種設定金額!$B$3,IF(AND(C106="",E106="✔"),各種設定金額!$B$4,IF(AND(C106="",E106="",F106="✔"),各種設定金額!$B$5,""))))</f>
        <v/>
      </c>
      <c r="J106" s="35">
        <f>IF(B106&lt;&gt;"",各種設定金額!$C$2,0)</f>
        <v>0</v>
      </c>
      <c r="K106" s="35">
        <f>IF(INDEX(Sheet1!$CF:$CF,ROWS($A$2:$A106)+1)&lt;&gt;"",0,IF(C106="✔",IF(H106="◯",IF(G106="◯",各種設定金額!$H$4,各種設定金額!$H$5),IF(G106="◯",各種設定金額!$H$3,各種設定金額!$H$2)),IF(C106="2️⃣",IF(G106="◯",各種設定金額!$I$3,各種設定金額!$I$2),0)))</f>
        <v>0</v>
      </c>
      <c r="L106" s="35">
        <f>IF(OR(C106="✔",C106="2️⃣"),各種設定金額!$M$2,0)</f>
        <v>0</v>
      </c>
      <c r="M106" s="35">
        <f>IF(INDEX(Sheet1!$CF:$CF,ROWS($A$2:$A106)+1)&lt;&gt;"",0,IF(E106="✔",IF(H106="◯",IF(G106="◯",各種設定金額!$J$4,各種設定金額!$J$5),IF(G106="◯",各種設定金額!$J$3,各種設定金額!$J$2)),0))</f>
        <v>0</v>
      </c>
      <c r="N106" s="35">
        <f>IF(E106="✔",各種設定金額!$M$2,0)</f>
        <v>0</v>
      </c>
      <c r="O106" s="35">
        <f>IF(INDEX(Sheet1!$CF:$CF,ROWS($A$2:$A106)+1)&lt;&gt;"",0,IF(F106="✔",IF(H106="◯",IF(G106="◯",各種設定金額!$K$4,各種設定金額!$K$5),IF(G106="◯",各種設定金額!$K$3,各種設定金額!$K$2)),0))</f>
        <v>0</v>
      </c>
      <c r="P106" s="35">
        <f>IF(F106="✔",各種設定金額!$M$2,0)</f>
        <v>0</v>
      </c>
      <c r="Q106" s="35">
        <f>IF(B106&lt;&gt;"",各種設定金額!$D$2,0)</f>
        <v>0</v>
      </c>
      <c r="R106" s="84"/>
      <c r="S106" s="35">
        <f>IF(D106="A",各種設定金額!$P$2,IF(D106="B",各種設定金額!$P$3,IF(D106="C",各種設定金額!$P$4,0)))</f>
        <v>0</v>
      </c>
      <c r="T106" s="35">
        <f>IF(E106="✔",各種設定金額!$Q$2,0)</f>
        <v>0</v>
      </c>
      <c r="U106" s="35">
        <f t="shared" si="1"/>
        <v>0</v>
      </c>
    </row>
    <row r="107" spans="1:21" ht="20.100000000000001" customHeight="1" x14ac:dyDescent="0.15">
      <c r="A107" s="31" t="str">
        <f>IF(B107="","",IF(SUBTOTAL(103,B107)=0,"",SUBTOTAL(103,$B$2:B107)))</f>
        <v/>
      </c>
      <c r="B107" s="31" t="str">
        <f>INDEX(Sheet1!$B:$B,ROWS($A$2:$A107)+1)&amp;""</f>
        <v/>
      </c>
      <c r="C107" s="82"/>
      <c r="D107" s="82"/>
      <c r="E107" s="82"/>
      <c r="F107" s="82"/>
      <c r="G107" s="82"/>
      <c r="H107" s="82"/>
      <c r="I107" s="35" t="str">
        <f>IF(OR(C107="✔",AND(C107="",D107&lt;&gt;"")),各種設定金額!$B$2,IF(C107="2️⃣",各種設定金額!$B$3,IF(AND(C107="",E107="✔"),各種設定金額!$B$4,IF(AND(C107="",E107="",F107="✔"),各種設定金額!$B$5,""))))</f>
        <v/>
      </c>
      <c r="J107" s="35">
        <f>IF(B107&lt;&gt;"",各種設定金額!$C$2,0)</f>
        <v>0</v>
      </c>
      <c r="K107" s="35">
        <f>IF(INDEX(Sheet1!$CF:$CF,ROWS($A$2:$A107)+1)&lt;&gt;"",0,IF(C107="✔",IF(H107="◯",IF(G107="◯",各種設定金額!$H$4,各種設定金額!$H$5),IF(G107="◯",各種設定金額!$H$3,各種設定金額!$H$2)),IF(C107="2️⃣",IF(G107="◯",各種設定金額!$I$3,各種設定金額!$I$2),0)))</f>
        <v>0</v>
      </c>
      <c r="L107" s="35">
        <f>IF(OR(C107="✔",C107="2️⃣"),各種設定金額!$M$2,0)</f>
        <v>0</v>
      </c>
      <c r="M107" s="35">
        <f>IF(INDEX(Sheet1!$CF:$CF,ROWS($A$2:$A107)+1)&lt;&gt;"",0,IF(E107="✔",IF(H107="◯",IF(G107="◯",各種設定金額!$J$4,各種設定金額!$J$5),IF(G107="◯",各種設定金額!$J$3,各種設定金額!$J$2)),0))</f>
        <v>0</v>
      </c>
      <c r="N107" s="35">
        <f>IF(E107="✔",各種設定金額!$M$2,0)</f>
        <v>0</v>
      </c>
      <c r="O107" s="35">
        <f>IF(INDEX(Sheet1!$CF:$CF,ROWS($A$2:$A107)+1)&lt;&gt;"",0,IF(F107="✔",IF(H107="◯",IF(G107="◯",各種設定金額!$K$4,各種設定金額!$K$5),IF(G107="◯",各種設定金額!$K$3,各種設定金額!$K$2)),0))</f>
        <v>0</v>
      </c>
      <c r="P107" s="35">
        <f>IF(F107="✔",各種設定金額!$M$2,0)</f>
        <v>0</v>
      </c>
      <c r="Q107" s="35">
        <f>IF(B107&lt;&gt;"",各種設定金額!$D$2,0)</f>
        <v>0</v>
      </c>
      <c r="R107" s="84"/>
      <c r="S107" s="35">
        <f>IF(D107="A",各種設定金額!$P$2,IF(D107="B",各種設定金額!$P$3,IF(D107="C",各種設定金額!$P$4,0)))</f>
        <v>0</v>
      </c>
      <c r="T107" s="35">
        <f>IF(E107="✔",各種設定金額!$Q$2,0)</f>
        <v>0</v>
      </c>
      <c r="U107" s="35">
        <f t="shared" si="1"/>
        <v>0</v>
      </c>
    </row>
    <row r="108" spans="1:21" ht="20.100000000000001" customHeight="1" x14ac:dyDescent="0.15">
      <c r="A108" s="31" t="str">
        <f>IF(B108="","",IF(SUBTOTAL(103,B108)=0,"",SUBTOTAL(103,$B$2:B108)))</f>
        <v/>
      </c>
      <c r="B108" s="31" t="str">
        <f>INDEX(Sheet1!$B:$B,ROWS($A$2:$A108)+1)&amp;""</f>
        <v/>
      </c>
      <c r="C108" s="82"/>
      <c r="D108" s="82"/>
      <c r="E108" s="82"/>
      <c r="F108" s="82"/>
      <c r="G108" s="82"/>
      <c r="H108" s="82"/>
      <c r="I108" s="35" t="str">
        <f>IF(OR(C108="✔",AND(C108="",D108&lt;&gt;"")),各種設定金額!$B$2,IF(C108="2️⃣",各種設定金額!$B$3,IF(AND(C108="",E108="✔"),各種設定金額!$B$4,IF(AND(C108="",E108="",F108="✔"),各種設定金額!$B$5,""))))</f>
        <v/>
      </c>
      <c r="J108" s="35">
        <f>IF(B108&lt;&gt;"",各種設定金額!$C$2,0)</f>
        <v>0</v>
      </c>
      <c r="K108" s="35">
        <f>IF(INDEX(Sheet1!$CF:$CF,ROWS($A$2:$A108)+1)&lt;&gt;"",0,IF(C108="✔",IF(H108="◯",IF(G108="◯",各種設定金額!$H$4,各種設定金額!$H$5),IF(G108="◯",各種設定金額!$H$3,各種設定金額!$H$2)),IF(C108="2️⃣",IF(G108="◯",各種設定金額!$I$3,各種設定金額!$I$2),0)))</f>
        <v>0</v>
      </c>
      <c r="L108" s="35">
        <f>IF(OR(C108="✔",C108="2️⃣"),各種設定金額!$M$2,0)</f>
        <v>0</v>
      </c>
      <c r="M108" s="35">
        <f>IF(INDEX(Sheet1!$CF:$CF,ROWS($A$2:$A108)+1)&lt;&gt;"",0,IF(E108="✔",IF(H108="◯",IF(G108="◯",各種設定金額!$J$4,各種設定金額!$J$5),IF(G108="◯",各種設定金額!$J$3,各種設定金額!$J$2)),0))</f>
        <v>0</v>
      </c>
      <c r="N108" s="35">
        <f>IF(E108="✔",各種設定金額!$M$2,0)</f>
        <v>0</v>
      </c>
      <c r="O108" s="35">
        <f>IF(INDEX(Sheet1!$CF:$CF,ROWS($A$2:$A108)+1)&lt;&gt;"",0,IF(F108="✔",IF(H108="◯",IF(G108="◯",各種設定金額!$K$4,各種設定金額!$K$5),IF(G108="◯",各種設定金額!$K$3,各種設定金額!$K$2)),0))</f>
        <v>0</v>
      </c>
      <c r="P108" s="35">
        <f>IF(F108="✔",各種設定金額!$M$2,0)</f>
        <v>0</v>
      </c>
      <c r="Q108" s="35">
        <f>IF(B108&lt;&gt;"",各種設定金額!$D$2,0)</f>
        <v>0</v>
      </c>
      <c r="R108" s="84"/>
      <c r="S108" s="35">
        <f>IF(D108="A",各種設定金額!$P$2,IF(D108="B",各種設定金額!$P$3,IF(D108="C",各種設定金額!$P$4,0)))</f>
        <v>0</v>
      </c>
      <c r="T108" s="35">
        <f>IF(E108="✔",各種設定金額!$Q$2,0)</f>
        <v>0</v>
      </c>
      <c r="U108" s="35">
        <f t="shared" si="1"/>
        <v>0</v>
      </c>
    </row>
    <row r="109" spans="1:21" ht="20.100000000000001" customHeight="1" x14ac:dyDescent="0.15">
      <c r="A109" s="31" t="str">
        <f>IF(B109="","",IF(SUBTOTAL(103,B109)=0,"",SUBTOTAL(103,$B$2:B109)))</f>
        <v/>
      </c>
      <c r="B109" s="31" t="str">
        <f>INDEX(Sheet1!$B:$B,ROWS($A$2:$A109)+1)&amp;""</f>
        <v/>
      </c>
      <c r="C109" s="82"/>
      <c r="D109" s="82"/>
      <c r="E109" s="82"/>
      <c r="F109" s="82"/>
      <c r="G109" s="82"/>
      <c r="H109" s="82"/>
      <c r="I109" s="35" t="str">
        <f>IF(OR(C109="✔",AND(C109="",D109&lt;&gt;"")),各種設定金額!$B$2,IF(C109="2️⃣",各種設定金額!$B$3,IF(AND(C109="",E109="✔"),各種設定金額!$B$4,IF(AND(C109="",E109="",F109="✔"),各種設定金額!$B$5,""))))</f>
        <v/>
      </c>
      <c r="J109" s="35">
        <f>IF(B109&lt;&gt;"",各種設定金額!$C$2,0)</f>
        <v>0</v>
      </c>
      <c r="K109" s="35">
        <f>IF(INDEX(Sheet1!$CF:$CF,ROWS($A$2:$A109)+1)&lt;&gt;"",0,IF(C109="✔",IF(H109="◯",IF(G109="◯",各種設定金額!$H$4,各種設定金額!$H$5),IF(G109="◯",各種設定金額!$H$3,各種設定金額!$H$2)),IF(C109="2️⃣",IF(G109="◯",各種設定金額!$I$3,各種設定金額!$I$2),0)))</f>
        <v>0</v>
      </c>
      <c r="L109" s="35">
        <f>IF(OR(C109="✔",C109="2️⃣"),各種設定金額!$M$2,0)</f>
        <v>0</v>
      </c>
      <c r="M109" s="35">
        <f>IF(INDEX(Sheet1!$CF:$CF,ROWS($A$2:$A109)+1)&lt;&gt;"",0,IF(E109="✔",IF(H109="◯",IF(G109="◯",各種設定金額!$J$4,各種設定金額!$J$5),IF(G109="◯",各種設定金額!$J$3,各種設定金額!$J$2)),0))</f>
        <v>0</v>
      </c>
      <c r="N109" s="35">
        <f>IF(E109="✔",各種設定金額!$M$2,0)</f>
        <v>0</v>
      </c>
      <c r="O109" s="35">
        <f>IF(INDEX(Sheet1!$CF:$CF,ROWS($A$2:$A109)+1)&lt;&gt;"",0,IF(F109="✔",IF(H109="◯",IF(G109="◯",各種設定金額!$K$4,各種設定金額!$K$5),IF(G109="◯",各種設定金額!$K$3,各種設定金額!$K$2)),0))</f>
        <v>0</v>
      </c>
      <c r="P109" s="35">
        <f>IF(F109="✔",各種設定金額!$M$2,0)</f>
        <v>0</v>
      </c>
      <c r="Q109" s="35">
        <f>IF(B109&lt;&gt;"",各種設定金額!$D$2,0)</f>
        <v>0</v>
      </c>
      <c r="R109" s="84"/>
      <c r="S109" s="35">
        <f>IF(D109="A",各種設定金額!$P$2,IF(D109="B",各種設定金額!$P$3,IF(D109="C",各種設定金額!$P$4,0)))</f>
        <v>0</v>
      </c>
      <c r="T109" s="35">
        <f>IF(E109="✔",各種設定金額!$Q$2,0)</f>
        <v>0</v>
      </c>
      <c r="U109" s="35">
        <f t="shared" si="1"/>
        <v>0</v>
      </c>
    </row>
    <row r="110" spans="1:21" ht="20.100000000000001" customHeight="1" x14ac:dyDescent="0.15">
      <c r="A110" s="31" t="str">
        <f>IF(B110="","",IF(SUBTOTAL(103,B110)=0,"",SUBTOTAL(103,$B$2:B110)))</f>
        <v/>
      </c>
      <c r="B110" s="31" t="str">
        <f>INDEX(Sheet1!$B:$B,ROWS($A$2:$A110)+1)&amp;""</f>
        <v/>
      </c>
      <c r="C110" s="82"/>
      <c r="D110" s="82"/>
      <c r="E110" s="82"/>
      <c r="F110" s="82"/>
      <c r="G110" s="82"/>
      <c r="H110" s="82"/>
      <c r="I110" s="35" t="str">
        <f>IF(OR(C110="✔",AND(C110="",D110&lt;&gt;"")),各種設定金額!$B$2,IF(C110="2️⃣",各種設定金額!$B$3,IF(AND(C110="",E110="✔"),各種設定金額!$B$4,IF(AND(C110="",E110="",F110="✔"),各種設定金額!$B$5,""))))</f>
        <v/>
      </c>
      <c r="J110" s="35">
        <f>IF(B110&lt;&gt;"",各種設定金額!$C$2,0)</f>
        <v>0</v>
      </c>
      <c r="K110" s="35">
        <f>IF(INDEX(Sheet1!$CF:$CF,ROWS($A$2:$A110)+1)&lt;&gt;"",0,IF(C110="✔",IF(H110="◯",IF(G110="◯",各種設定金額!$H$4,各種設定金額!$H$5),IF(G110="◯",各種設定金額!$H$3,各種設定金額!$H$2)),IF(C110="2️⃣",IF(G110="◯",各種設定金額!$I$3,各種設定金額!$I$2),0)))</f>
        <v>0</v>
      </c>
      <c r="L110" s="35">
        <f>IF(OR(C110="✔",C110="2️⃣"),各種設定金額!$M$2,0)</f>
        <v>0</v>
      </c>
      <c r="M110" s="35">
        <f>IF(INDEX(Sheet1!$CF:$CF,ROWS($A$2:$A110)+1)&lt;&gt;"",0,IF(E110="✔",IF(H110="◯",IF(G110="◯",各種設定金額!$J$4,各種設定金額!$J$5),IF(G110="◯",各種設定金額!$J$3,各種設定金額!$J$2)),0))</f>
        <v>0</v>
      </c>
      <c r="N110" s="35">
        <f>IF(E110="✔",各種設定金額!$M$2,0)</f>
        <v>0</v>
      </c>
      <c r="O110" s="35">
        <f>IF(INDEX(Sheet1!$CF:$CF,ROWS($A$2:$A110)+1)&lt;&gt;"",0,IF(F110="✔",IF(H110="◯",IF(G110="◯",各種設定金額!$K$4,各種設定金額!$K$5),IF(G110="◯",各種設定金額!$K$3,各種設定金額!$K$2)),0))</f>
        <v>0</v>
      </c>
      <c r="P110" s="35">
        <f>IF(F110="✔",各種設定金額!$M$2,0)</f>
        <v>0</v>
      </c>
      <c r="Q110" s="35">
        <f>IF(B110&lt;&gt;"",各種設定金額!$D$2,0)</f>
        <v>0</v>
      </c>
      <c r="R110" s="84"/>
      <c r="S110" s="35">
        <f>IF(D110="A",各種設定金額!$P$2,IF(D110="B",各種設定金額!$P$3,IF(D110="C",各種設定金額!$P$4,0)))</f>
        <v>0</v>
      </c>
      <c r="T110" s="35">
        <f>IF(E110="✔",各種設定金額!$Q$2,0)</f>
        <v>0</v>
      </c>
      <c r="U110" s="35">
        <f t="shared" si="1"/>
        <v>0</v>
      </c>
    </row>
    <row r="111" spans="1:21" ht="20.100000000000001" customHeight="1" x14ac:dyDescent="0.15">
      <c r="A111" s="31" t="str">
        <f>IF(B111="","",IF(SUBTOTAL(103,B111)=0,"",SUBTOTAL(103,$B$2:B111)))</f>
        <v/>
      </c>
      <c r="B111" s="31" t="str">
        <f>INDEX(Sheet1!$B:$B,ROWS($A$2:$A111)+1)&amp;""</f>
        <v/>
      </c>
      <c r="C111" s="82"/>
      <c r="D111" s="82"/>
      <c r="E111" s="82"/>
      <c r="F111" s="82"/>
      <c r="G111" s="82"/>
      <c r="H111" s="82"/>
      <c r="I111" s="35" t="str">
        <f>IF(OR(C111="✔",AND(C111="",D111&lt;&gt;"")),各種設定金額!$B$2,IF(C111="2️⃣",各種設定金額!$B$3,IF(AND(C111="",E111="✔"),各種設定金額!$B$4,IF(AND(C111="",E111="",F111="✔"),各種設定金額!$B$5,""))))</f>
        <v/>
      </c>
      <c r="J111" s="35">
        <f>IF(B111&lt;&gt;"",各種設定金額!$C$2,0)</f>
        <v>0</v>
      </c>
      <c r="K111" s="35">
        <f>IF(INDEX(Sheet1!$CF:$CF,ROWS($A$2:$A111)+1)&lt;&gt;"",0,IF(C111="✔",IF(H111="◯",IF(G111="◯",各種設定金額!$H$4,各種設定金額!$H$5),IF(G111="◯",各種設定金額!$H$3,各種設定金額!$H$2)),IF(C111="2️⃣",IF(G111="◯",各種設定金額!$I$3,各種設定金額!$I$2),0)))</f>
        <v>0</v>
      </c>
      <c r="L111" s="35">
        <f>IF(OR(C111="✔",C111="2️⃣"),各種設定金額!$M$2,0)</f>
        <v>0</v>
      </c>
      <c r="M111" s="35">
        <f>IF(INDEX(Sheet1!$CF:$CF,ROWS($A$2:$A111)+1)&lt;&gt;"",0,IF(E111="✔",IF(H111="◯",IF(G111="◯",各種設定金額!$J$4,各種設定金額!$J$5),IF(G111="◯",各種設定金額!$J$3,各種設定金額!$J$2)),0))</f>
        <v>0</v>
      </c>
      <c r="N111" s="35">
        <f>IF(E111="✔",各種設定金額!$M$2,0)</f>
        <v>0</v>
      </c>
      <c r="O111" s="35">
        <f>IF(INDEX(Sheet1!$CF:$CF,ROWS($A$2:$A111)+1)&lt;&gt;"",0,IF(F111="✔",IF(H111="◯",IF(G111="◯",各種設定金額!$K$4,各種設定金額!$K$5),IF(G111="◯",各種設定金額!$K$3,各種設定金額!$K$2)),0))</f>
        <v>0</v>
      </c>
      <c r="P111" s="35">
        <f>IF(F111="✔",各種設定金額!$M$2,0)</f>
        <v>0</v>
      </c>
      <c r="Q111" s="35">
        <f>IF(B111&lt;&gt;"",各種設定金額!$D$2,0)</f>
        <v>0</v>
      </c>
      <c r="R111" s="84"/>
      <c r="S111" s="35">
        <f>IF(D111="A",各種設定金額!$P$2,IF(D111="B",各種設定金額!$P$3,IF(D111="C",各種設定金額!$P$4,0)))</f>
        <v>0</v>
      </c>
      <c r="T111" s="35">
        <f>IF(E111="✔",各種設定金額!$Q$2,0)</f>
        <v>0</v>
      </c>
      <c r="U111" s="35">
        <f t="shared" si="1"/>
        <v>0</v>
      </c>
    </row>
    <row r="112" spans="1:21" ht="20.100000000000001" customHeight="1" x14ac:dyDescent="0.15">
      <c r="A112" s="31" t="str">
        <f>IF(B112="","",IF(SUBTOTAL(103,B112)=0,"",SUBTOTAL(103,$B$2:B112)))</f>
        <v/>
      </c>
      <c r="B112" s="31" t="str">
        <f>INDEX(Sheet1!$B:$B,ROWS($A$2:$A112)+1)&amp;""</f>
        <v/>
      </c>
      <c r="C112" s="82"/>
      <c r="D112" s="82"/>
      <c r="E112" s="82"/>
      <c r="F112" s="82"/>
      <c r="G112" s="82"/>
      <c r="H112" s="82"/>
      <c r="I112" s="35" t="str">
        <f>IF(OR(C112="✔",AND(C112="",D112&lt;&gt;"")),各種設定金額!$B$2,IF(C112="2️⃣",各種設定金額!$B$3,IF(AND(C112="",E112="✔"),各種設定金額!$B$4,IF(AND(C112="",E112="",F112="✔"),各種設定金額!$B$5,""))))</f>
        <v/>
      </c>
      <c r="J112" s="35">
        <f>IF(B112&lt;&gt;"",各種設定金額!$C$2,0)</f>
        <v>0</v>
      </c>
      <c r="K112" s="35">
        <f>IF(INDEX(Sheet1!$CF:$CF,ROWS($A$2:$A112)+1)&lt;&gt;"",0,IF(C112="✔",IF(H112="◯",IF(G112="◯",各種設定金額!$H$4,各種設定金額!$H$5),IF(G112="◯",各種設定金額!$H$3,各種設定金額!$H$2)),IF(C112="2️⃣",IF(G112="◯",各種設定金額!$I$3,各種設定金額!$I$2),0)))</f>
        <v>0</v>
      </c>
      <c r="L112" s="35">
        <f>IF(OR(C112="✔",C112="2️⃣"),各種設定金額!$M$2,0)</f>
        <v>0</v>
      </c>
      <c r="M112" s="35">
        <f>IF(INDEX(Sheet1!$CF:$CF,ROWS($A$2:$A112)+1)&lt;&gt;"",0,IF(E112="✔",IF(H112="◯",IF(G112="◯",各種設定金額!$J$4,各種設定金額!$J$5),IF(G112="◯",各種設定金額!$J$3,各種設定金額!$J$2)),0))</f>
        <v>0</v>
      </c>
      <c r="N112" s="35">
        <f>IF(E112="✔",各種設定金額!$M$2,0)</f>
        <v>0</v>
      </c>
      <c r="O112" s="35">
        <f>IF(INDEX(Sheet1!$CF:$CF,ROWS($A$2:$A112)+1)&lt;&gt;"",0,IF(F112="✔",IF(H112="◯",IF(G112="◯",各種設定金額!$K$4,各種設定金額!$K$5),IF(G112="◯",各種設定金額!$K$3,各種設定金額!$K$2)),0))</f>
        <v>0</v>
      </c>
      <c r="P112" s="35">
        <f>IF(F112="✔",各種設定金額!$M$2,0)</f>
        <v>0</v>
      </c>
      <c r="Q112" s="35">
        <f>IF(B112&lt;&gt;"",各種設定金額!$D$2,0)</f>
        <v>0</v>
      </c>
      <c r="R112" s="84"/>
      <c r="S112" s="35">
        <f>IF(D112="A",各種設定金額!$P$2,IF(D112="B",各種設定金額!$P$3,IF(D112="C",各種設定金額!$P$4,0)))</f>
        <v>0</v>
      </c>
      <c r="T112" s="35">
        <f>IF(E112="✔",各種設定金額!$Q$2,0)</f>
        <v>0</v>
      </c>
      <c r="U112" s="35">
        <f t="shared" si="1"/>
        <v>0</v>
      </c>
    </row>
    <row r="113" spans="1:21" ht="20.100000000000001" customHeight="1" x14ac:dyDescent="0.15">
      <c r="A113" s="31" t="str">
        <f>IF(B113="","",IF(SUBTOTAL(103,B113)=0,"",SUBTOTAL(103,$B$2:B113)))</f>
        <v/>
      </c>
      <c r="B113" s="31" t="str">
        <f>INDEX(Sheet1!$B:$B,ROWS($A$2:$A113)+1)&amp;""</f>
        <v/>
      </c>
      <c r="C113" s="82"/>
      <c r="D113" s="82"/>
      <c r="E113" s="82"/>
      <c r="F113" s="82"/>
      <c r="G113" s="82"/>
      <c r="H113" s="82"/>
      <c r="I113" s="35" t="str">
        <f>IF(OR(C113="✔",AND(C113="",D113&lt;&gt;"")),各種設定金額!$B$2,IF(C113="2️⃣",各種設定金額!$B$3,IF(AND(C113="",E113="✔"),各種設定金額!$B$4,IF(AND(C113="",E113="",F113="✔"),各種設定金額!$B$5,""))))</f>
        <v/>
      </c>
      <c r="J113" s="35">
        <f>IF(B113&lt;&gt;"",各種設定金額!$C$2,0)</f>
        <v>0</v>
      </c>
      <c r="K113" s="35">
        <f>IF(INDEX(Sheet1!$CF:$CF,ROWS($A$2:$A113)+1)&lt;&gt;"",0,IF(C113="✔",IF(H113="◯",IF(G113="◯",各種設定金額!$H$4,各種設定金額!$H$5),IF(G113="◯",各種設定金額!$H$3,各種設定金額!$H$2)),IF(C113="2️⃣",IF(G113="◯",各種設定金額!$I$3,各種設定金額!$I$2),0)))</f>
        <v>0</v>
      </c>
      <c r="L113" s="35">
        <f>IF(OR(C113="✔",C113="2️⃣"),各種設定金額!$M$2,0)</f>
        <v>0</v>
      </c>
      <c r="M113" s="35">
        <f>IF(INDEX(Sheet1!$CF:$CF,ROWS($A$2:$A113)+1)&lt;&gt;"",0,IF(E113="✔",IF(H113="◯",IF(G113="◯",各種設定金額!$J$4,各種設定金額!$J$5),IF(G113="◯",各種設定金額!$J$3,各種設定金額!$J$2)),0))</f>
        <v>0</v>
      </c>
      <c r="N113" s="35">
        <f>IF(E113="✔",各種設定金額!$M$2,0)</f>
        <v>0</v>
      </c>
      <c r="O113" s="35">
        <f>IF(INDEX(Sheet1!$CF:$CF,ROWS($A$2:$A113)+1)&lt;&gt;"",0,IF(F113="✔",IF(H113="◯",IF(G113="◯",各種設定金額!$K$4,各種設定金額!$K$5),IF(G113="◯",各種設定金額!$K$3,各種設定金額!$K$2)),0))</f>
        <v>0</v>
      </c>
      <c r="P113" s="35">
        <f>IF(F113="✔",各種設定金額!$M$2,0)</f>
        <v>0</v>
      </c>
      <c r="Q113" s="35">
        <f>IF(B113&lt;&gt;"",各種設定金額!$D$2,0)</f>
        <v>0</v>
      </c>
      <c r="R113" s="84"/>
      <c r="S113" s="35">
        <f>IF(D113="A",各種設定金額!$P$2,IF(D113="B",各種設定金額!$P$3,IF(D113="C",各種設定金額!$P$4,0)))</f>
        <v>0</v>
      </c>
      <c r="T113" s="35">
        <f>IF(E113="✔",各種設定金額!$Q$2,0)</f>
        <v>0</v>
      </c>
      <c r="U113" s="35">
        <f t="shared" si="1"/>
        <v>0</v>
      </c>
    </row>
    <row r="114" spans="1:21" ht="20.100000000000001" customHeight="1" x14ac:dyDescent="0.15">
      <c r="A114" s="31" t="str">
        <f>IF(B114="","",IF(SUBTOTAL(103,B114)=0,"",SUBTOTAL(103,$B$2:B114)))</f>
        <v/>
      </c>
      <c r="B114" s="31" t="str">
        <f>INDEX(Sheet1!$B:$B,ROWS($A$2:$A114)+1)&amp;""</f>
        <v/>
      </c>
      <c r="C114" s="82"/>
      <c r="D114" s="82"/>
      <c r="E114" s="82"/>
      <c r="F114" s="82"/>
      <c r="G114" s="82"/>
      <c r="H114" s="82"/>
      <c r="I114" s="35" t="str">
        <f>IF(OR(C114="✔",AND(C114="",D114&lt;&gt;"")),各種設定金額!$B$2,IF(C114="2️⃣",各種設定金額!$B$3,IF(AND(C114="",E114="✔"),各種設定金額!$B$4,IF(AND(C114="",E114="",F114="✔"),各種設定金額!$B$5,""))))</f>
        <v/>
      </c>
      <c r="J114" s="35">
        <f>IF(B114&lt;&gt;"",各種設定金額!$C$2,0)</f>
        <v>0</v>
      </c>
      <c r="K114" s="35">
        <f>IF(INDEX(Sheet1!$CF:$CF,ROWS($A$2:$A114)+1)&lt;&gt;"",0,IF(C114="✔",IF(H114="◯",IF(G114="◯",各種設定金額!$H$4,各種設定金額!$H$5),IF(G114="◯",各種設定金額!$H$3,各種設定金額!$H$2)),IF(C114="2️⃣",IF(G114="◯",各種設定金額!$I$3,各種設定金額!$I$2),0)))</f>
        <v>0</v>
      </c>
      <c r="L114" s="35">
        <f>IF(OR(C114="✔",C114="2️⃣"),各種設定金額!$M$2,0)</f>
        <v>0</v>
      </c>
      <c r="M114" s="35">
        <f>IF(INDEX(Sheet1!$CF:$CF,ROWS($A$2:$A114)+1)&lt;&gt;"",0,IF(E114="✔",IF(H114="◯",IF(G114="◯",各種設定金額!$J$4,各種設定金額!$J$5),IF(G114="◯",各種設定金額!$J$3,各種設定金額!$J$2)),0))</f>
        <v>0</v>
      </c>
      <c r="N114" s="35">
        <f>IF(E114="✔",各種設定金額!$M$2,0)</f>
        <v>0</v>
      </c>
      <c r="O114" s="35">
        <f>IF(INDEX(Sheet1!$CF:$CF,ROWS($A$2:$A114)+1)&lt;&gt;"",0,IF(F114="✔",IF(H114="◯",IF(G114="◯",各種設定金額!$K$4,各種設定金額!$K$5),IF(G114="◯",各種設定金額!$K$3,各種設定金額!$K$2)),0))</f>
        <v>0</v>
      </c>
      <c r="P114" s="35">
        <f>IF(F114="✔",各種設定金額!$M$2,0)</f>
        <v>0</v>
      </c>
      <c r="Q114" s="35">
        <f>IF(B114&lt;&gt;"",各種設定金額!$D$2,0)</f>
        <v>0</v>
      </c>
      <c r="R114" s="84"/>
      <c r="S114" s="35">
        <f>IF(D114="A",各種設定金額!$P$2,IF(D114="B",各種設定金額!$P$3,IF(D114="C",各種設定金額!$P$4,0)))</f>
        <v>0</v>
      </c>
      <c r="T114" s="35">
        <f>IF(E114="✔",各種設定金額!$Q$2,0)</f>
        <v>0</v>
      </c>
      <c r="U114" s="35">
        <f t="shared" si="1"/>
        <v>0</v>
      </c>
    </row>
    <row r="115" spans="1:21" ht="20.100000000000001" customHeight="1" x14ac:dyDescent="0.15">
      <c r="A115" s="31" t="str">
        <f>IF(B115="","",IF(SUBTOTAL(103,B115)=0,"",SUBTOTAL(103,$B$2:B115)))</f>
        <v/>
      </c>
      <c r="B115" s="31" t="str">
        <f>INDEX(Sheet1!$B:$B,ROWS($A$2:$A115)+1)&amp;""</f>
        <v/>
      </c>
      <c r="C115" s="82"/>
      <c r="D115" s="82"/>
      <c r="E115" s="82"/>
      <c r="F115" s="82"/>
      <c r="G115" s="82"/>
      <c r="H115" s="82"/>
      <c r="I115" s="35" t="str">
        <f>IF(OR(C115="✔",AND(C115="",D115&lt;&gt;"")),各種設定金額!$B$2,IF(C115="2️⃣",各種設定金額!$B$3,IF(AND(C115="",E115="✔"),各種設定金額!$B$4,IF(AND(C115="",E115="",F115="✔"),各種設定金額!$B$5,""))))</f>
        <v/>
      </c>
      <c r="J115" s="35">
        <f>IF(B115&lt;&gt;"",各種設定金額!$C$2,0)</f>
        <v>0</v>
      </c>
      <c r="K115" s="35">
        <f>IF(INDEX(Sheet1!$CF:$CF,ROWS($A$2:$A115)+1)&lt;&gt;"",0,IF(C115="✔",IF(H115="◯",IF(G115="◯",各種設定金額!$H$4,各種設定金額!$H$5),IF(G115="◯",各種設定金額!$H$3,各種設定金額!$H$2)),IF(C115="2️⃣",IF(G115="◯",各種設定金額!$I$3,各種設定金額!$I$2),0)))</f>
        <v>0</v>
      </c>
      <c r="L115" s="35">
        <f>IF(OR(C115="✔",C115="2️⃣"),各種設定金額!$M$2,0)</f>
        <v>0</v>
      </c>
      <c r="M115" s="35">
        <f>IF(INDEX(Sheet1!$CF:$CF,ROWS($A$2:$A115)+1)&lt;&gt;"",0,IF(E115="✔",IF(H115="◯",IF(G115="◯",各種設定金額!$J$4,各種設定金額!$J$5),IF(G115="◯",各種設定金額!$J$3,各種設定金額!$J$2)),0))</f>
        <v>0</v>
      </c>
      <c r="N115" s="35">
        <f>IF(E115="✔",各種設定金額!$M$2,0)</f>
        <v>0</v>
      </c>
      <c r="O115" s="35">
        <f>IF(INDEX(Sheet1!$CF:$CF,ROWS($A$2:$A115)+1)&lt;&gt;"",0,IF(F115="✔",IF(H115="◯",IF(G115="◯",各種設定金額!$K$4,各種設定金額!$K$5),IF(G115="◯",各種設定金額!$K$3,各種設定金額!$K$2)),0))</f>
        <v>0</v>
      </c>
      <c r="P115" s="35">
        <f>IF(F115="✔",各種設定金額!$M$2,0)</f>
        <v>0</v>
      </c>
      <c r="Q115" s="35">
        <f>IF(B115&lt;&gt;"",各種設定金額!$D$2,0)</f>
        <v>0</v>
      </c>
      <c r="R115" s="84"/>
      <c r="S115" s="35">
        <f>IF(D115="A",各種設定金額!$P$2,IF(D115="B",各種設定金額!$P$3,IF(D115="C",各種設定金額!$P$4,0)))</f>
        <v>0</v>
      </c>
      <c r="T115" s="35">
        <f>IF(E115="✔",各種設定金額!$Q$2,0)</f>
        <v>0</v>
      </c>
      <c r="U115" s="35">
        <f t="shared" ref="U115:U150" si="2">SUM(I115:T115)</f>
        <v>0</v>
      </c>
    </row>
    <row r="116" spans="1:21" ht="20.100000000000001" customHeight="1" x14ac:dyDescent="0.15">
      <c r="A116" s="31" t="str">
        <f>IF(B116="","",IF(SUBTOTAL(103,B116)=0,"",SUBTOTAL(103,$B$2:B116)))</f>
        <v/>
      </c>
      <c r="B116" s="31" t="str">
        <f>INDEX(Sheet1!$B:$B,ROWS($A$2:$A116)+1)&amp;""</f>
        <v/>
      </c>
      <c r="C116" s="82"/>
      <c r="D116" s="82"/>
      <c r="E116" s="82"/>
      <c r="F116" s="82"/>
      <c r="G116" s="82"/>
      <c r="H116" s="82"/>
      <c r="I116" s="35" t="str">
        <f>IF(OR(C116="✔",AND(C116="",D116&lt;&gt;"")),各種設定金額!$B$2,IF(C116="2️⃣",各種設定金額!$B$3,IF(AND(C116="",E116="✔"),各種設定金額!$B$4,IF(AND(C116="",E116="",F116="✔"),各種設定金額!$B$5,""))))</f>
        <v/>
      </c>
      <c r="J116" s="35">
        <f>IF(B116&lt;&gt;"",各種設定金額!$C$2,0)</f>
        <v>0</v>
      </c>
      <c r="K116" s="35">
        <f>IF(INDEX(Sheet1!$CF:$CF,ROWS($A$2:$A116)+1)&lt;&gt;"",0,IF(C116="✔",IF(H116="◯",IF(G116="◯",各種設定金額!$H$4,各種設定金額!$H$5),IF(G116="◯",各種設定金額!$H$3,各種設定金額!$H$2)),IF(C116="2️⃣",IF(G116="◯",各種設定金額!$I$3,各種設定金額!$I$2),0)))</f>
        <v>0</v>
      </c>
      <c r="L116" s="35">
        <f>IF(OR(C116="✔",C116="2️⃣"),各種設定金額!$M$2,0)</f>
        <v>0</v>
      </c>
      <c r="M116" s="35">
        <f>IF(INDEX(Sheet1!$CF:$CF,ROWS($A$2:$A116)+1)&lt;&gt;"",0,IF(E116="✔",IF(H116="◯",IF(G116="◯",各種設定金額!$J$4,各種設定金額!$J$5),IF(G116="◯",各種設定金額!$J$3,各種設定金額!$J$2)),0))</f>
        <v>0</v>
      </c>
      <c r="N116" s="35">
        <f>IF(E116="✔",各種設定金額!$M$2,0)</f>
        <v>0</v>
      </c>
      <c r="O116" s="35">
        <f>IF(INDEX(Sheet1!$CF:$CF,ROWS($A$2:$A116)+1)&lt;&gt;"",0,IF(F116="✔",IF(H116="◯",IF(G116="◯",各種設定金額!$K$4,各種設定金額!$K$5),IF(G116="◯",各種設定金額!$K$3,各種設定金額!$K$2)),0))</f>
        <v>0</v>
      </c>
      <c r="P116" s="35">
        <f>IF(F116="✔",各種設定金額!$M$2,0)</f>
        <v>0</v>
      </c>
      <c r="Q116" s="35">
        <f>IF(B116&lt;&gt;"",各種設定金額!$D$2,0)</f>
        <v>0</v>
      </c>
      <c r="R116" s="84"/>
      <c r="S116" s="35">
        <f>IF(D116="A",各種設定金額!$P$2,IF(D116="B",各種設定金額!$P$3,IF(D116="C",各種設定金額!$P$4,0)))</f>
        <v>0</v>
      </c>
      <c r="T116" s="35">
        <f>IF(E116="✔",各種設定金額!$Q$2,0)</f>
        <v>0</v>
      </c>
      <c r="U116" s="35">
        <f t="shared" si="2"/>
        <v>0</v>
      </c>
    </row>
    <row r="117" spans="1:21" ht="20.100000000000001" customHeight="1" x14ac:dyDescent="0.15">
      <c r="A117" s="31" t="str">
        <f>IF(B117="","",IF(SUBTOTAL(103,B117)=0,"",SUBTOTAL(103,$B$2:B117)))</f>
        <v/>
      </c>
      <c r="B117" s="31" t="str">
        <f>INDEX(Sheet1!$B:$B,ROWS($A$2:$A117)+1)&amp;""</f>
        <v/>
      </c>
      <c r="C117" s="82"/>
      <c r="D117" s="82"/>
      <c r="E117" s="82"/>
      <c r="F117" s="82"/>
      <c r="G117" s="82"/>
      <c r="H117" s="82"/>
      <c r="I117" s="35" t="str">
        <f>IF(OR(C117="✔",AND(C117="",D117&lt;&gt;"")),各種設定金額!$B$2,IF(C117="2️⃣",各種設定金額!$B$3,IF(AND(C117="",E117="✔"),各種設定金額!$B$4,IF(AND(C117="",E117="",F117="✔"),各種設定金額!$B$5,""))))</f>
        <v/>
      </c>
      <c r="J117" s="35">
        <f>IF(B117&lt;&gt;"",各種設定金額!$C$2,0)</f>
        <v>0</v>
      </c>
      <c r="K117" s="35">
        <f>IF(INDEX(Sheet1!$CF:$CF,ROWS($A$2:$A117)+1)&lt;&gt;"",0,IF(C117="✔",IF(H117="◯",IF(G117="◯",各種設定金額!$H$4,各種設定金額!$H$5),IF(G117="◯",各種設定金額!$H$3,各種設定金額!$H$2)),IF(C117="2️⃣",IF(G117="◯",各種設定金額!$I$3,各種設定金額!$I$2),0)))</f>
        <v>0</v>
      </c>
      <c r="L117" s="35">
        <f>IF(OR(C117="✔",C117="2️⃣"),各種設定金額!$M$2,0)</f>
        <v>0</v>
      </c>
      <c r="M117" s="35">
        <f>IF(INDEX(Sheet1!$CF:$CF,ROWS($A$2:$A117)+1)&lt;&gt;"",0,IF(E117="✔",IF(H117="◯",IF(G117="◯",各種設定金額!$J$4,各種設定金額!$J$5),IF(G117="◯",各種設定金額!$J$3,各種設定金額!$J$2)),0))</f>
        <v>0</v>
      </c>
      <c r="N117" s="35">
        <f>IF(E117="✔",各種設定金額!$M$2,0)</f>
        <v>0</v>
      </c>
      <c r="O117" s="35">
        <f>IF(INDEX(Sheet1!$CF:$CF,ROWS($A$2:$A117)+1)&lt;&gt;"",0,IF(F117="✔",IF(H117="◯",IF(G117="◯",各種設定金額!$K$4,各種設定金額!$K$5),IF(G117="◯",各種設定金額!$K$3,各種設定金額!$K$2)),0))</f>
        <v>0</v>
      </c>
      <c r="P117" s="35">
        <f>IF(F117="✔",各種設定金額!$M$2,0)</f>
        <v>0</v>
      </c>
      <c r="Q117" s="35">
        <f>IF(B117&lt;&gt;"",各種設定金額!$D$2,0)</f>
        <v>0</v>
      </c>
      <c r="R117" s="84"/>
      <c r="S117" s="35">
        <f>IF(D117="A",各種設定金額!$P$2,IF(D117="B",各種設定金額!$P$3,IF(D117="C",各種設定金額!$P$4,0)))</f>
        <v>0</v>
      </c>
      <c r="T117" s="35">
        <f>IF(E117="✔",各種設定金額!$Q$2,0)</f>
        <v>0</v>
      </c>
      <c r="U117" s="35">
        <f t="shared" si="2"/>
        <v>0</v>
      </c>
    </row>
    <row r="118" spans="1:21" ht="20.100000000000001" customHeight="1" x14ac:dyDescent="0.15">
      <c r="A118" s="31" t="str">
        <f>IF(B118="","",IF(SUBTOTAL(103,B118)=0,"",SUBTOTAL(103,$B$2:B118)))</f>
        <v/>
      </c>
      <c r="B118" s="31" t="str">
        <f>INDEX(Sheet1!$B:$B,ROWS($A$2:$A118)+1)&amp;""</f>
        <v/>
      </c>
      <c r="C118" s="82"/>
      <c r="D118" s="82"/>
      <c r="E118" s="82"/>
      <c r="F118" s="82"/>
      <c r="G118" s="82"/>
      <c r="H118" s="82"/>
      <c r="I118" s="35" t="str">
        <f>IF(OR(C118="✔",AND(C118="",D118&lt;&gt;"")),各種設定金額!$B$2,IF(C118="2️⃣",各種設定金額!$B$3,IF(AND(C118="",E118="✔"),各種設定金額!$B$4,IF(AND(C118="",E118="",F118="✔"),各種設定金額!$B$5,""))))</f>
        <v/>
      </c>
      <c r="J118" s="35">
        <f>IF(B118&lt;&gt;"",各種設定金額!$C$2,0)</f>
        <v>0</v>
      </c>
      <c r="K118" s="35">
        <f>IF(INDEX(Sheet1!$CF:$CF,ROWS($A$2:$A118)+1)&lt;&gt;"",0,IF(C118="✔",IF(H118="◯",IF(G118="◯",各種設定金額!$H$4,各種設定金額!$H$5),IF(G118="◯",各種設定金額!$H$3,各種設定金額!$H$2)),IF(C118="2️⃣",IF(G118="◯",各種設定金額!$I$3,各種設定金額!$I$2),0)))</f>
        <v>0</v>
      </c>
      <c r="L118" s="35">
        <f>IF(OR(C118="✔",C118="2️⃣"),各種設定金額!$M$2,0)</f>
        <v>0</v>
      </c>
      <c r="M118" s="35">
        <f>IF(INDEX(Sheet1!$CF:$CF,ROWS($A$2:$A118)+1)&lt;&gt;"",0,IF(E118="✔",IF(H118="◯",IF(G118="◯",各種設定金額!$J$4,各種設定金額!$J$5),IF(G118="◯",各種設定金額!$J$3,各種設定金額!$J$2)),0))</f>
        <v>0</v>
      </c>
      <c r="N118" s="35">
        <f>IF(E118="✔",各種設定金額!$M$2,0)</f>
        <v>0</v>
      </c>
      <c r="O118" s="35">
        <f>IF(INDEX(Sheet1!$CF:$CF,ROWS($A$2:$A118)+1)&lt;&gt;"",0,IF(F118="✔",IF(H118="◯",IF(G118="◯",各種設定金額!$K$4,各種設定金額!$K$5),IF(G118="◯",各種設定金額!$K$3,各種設定金額!$K$2)),0))</f>
        <v>0</v>
      </c>
      <c r="P118" s="35">
        <f>IF(F118="✔",各種設定金額!$M$2,0)</f>
        <v>0</v>
      </c>
      <c r="Q118" s="35">
        <f>IF(B118&lt;&gt;"",各種設定金額!$D$2,0)</f>
        <v>0</v>
      </c>
      <c r="R118" s="84"/>
      <c r="S118" s="35">
        <f>IF(D118="A",各種設定金額!$P$2,IF(D118="B",各種設定金額!$P$3,IF(D118="C",各種設定金額!$P$4,0)))</f>
        <v>0</v>
      </c>
      <c r="T118" s="35">
        <f>IF(E118="✔",各種設定金額!$Q$2,0)</f>
        <v>0</v>
      </c>
      <c r="U118" s="35">
        <f t="shared" si="2"/>
        <v>0</v>
      </c>
    </row>
    <row r="119" spans="1:21" ht="20.100000000000001" customHeight="1" x14ac:dyDescent="0.15">
      <c r="A119" s="31" t="str">
        <f>IF(B119="","",IF(SUBTOTAL(103,B119)=0,"",SUBTOTAL(103,$B$2:B119)))</f>
        <v/>
      </c>
      <c r="B119" s="31" t="str">
        <f>INDEX(Sheet1!$B:$B,ROWS($A$2:$A119)+1)&amp;""</f>
        <v/>
      </c>
      <c r="C119" s="82"/>
      <c r="D119" s="82"/>
      <c r="E119" s="82"/>
      <c r="F119" s="82"/>
      <c r="G119" s="82"/>
      <c r="H119" s="82"/>
      <c r="I119" s="35" t="str">
        <f>IF(OR(C119="✔",AND(C119="",D119&lt;&gt;"")),各種設定金額!$B$2,IF(C119="2️⃣",各種設定金額!$B$3,IF(AND(C119="",E119="✔"),各種設定金額!$B$4,IF(AND(C119="",E119="",F119="✔"),各種設定金額!$B$5,""))))</f>
        <v/>
      </c>
      <c r="J119" s="35">
        <f>IF(B119&lt;&gt;"",各種設定金額!$C$2,0)</f>
        <v>0</v>
      </c>
      <c r="K119" s="35">
        <f>IF(INDEX(Sheet1!$CF:$CF,ROWS($A$2:$A119)+1)&lt;&gt;"",0,IF(C119="✔",IF(H119="◯",IF(G119="◯",各種設定金額!$H$4,各種設定金額!$H$5),IF(G119="◯",各種設定金額!$H$3,各種設定金額!$H$2)),IF(C119="2️⃣",IF(G119="◯",各種設定金額!$I$3,各種設定金額!$I$2),0)))</f>
        <v>0</v>
      </c>
      <c r="L119" s="35">
        <f>IF(OR(C119="✔",C119="2️⃣"),各種設定金額!$M$2,0)</f>
        <v>0</v>
      </c>
      <c r="M119" s="35">
        <f>IF(INDEX(Sheet1!$CF:$CF,ROWS($A$2:$A119)+1)&lt;&gt;"",0,IF(E119="✔",IF(H119="◯",IF(G119="◯",各種設定金額!$J$4,各種設定金額!$J$5),IF(G119="◯",各種設定金額!$J$3,各種設定金額!$J$2)),0))</f>
        <v>0</v>
      </c>
      <c r="N119" s="35">
        <f>IF(E119="✔",各種設定金額!$M$2,0)</f>
        <v>0</v>
      </c>
      <c r="O119" s="35">
        <f>IF(INDEX(Sheet1!$CF:$CF,ROWS($A$2:$A119)+1)&lt;&gt;"",0,IF(F119="✔",IF(H119="◯",IF(G119="◯",各種設定金額!$K$4,各種設定金額!$K$5),IF(G119="◯",各種設定金額!$K$3,各種設定金額!$K$2)),0))</f>
        <v>0</v>
      </c>
      <c r="P119" s="35">
        <f>IF(F119="✔",各種設定金額!$M$2,0)</f>
        <v>0</v>
      </c>
      <c r="Q119" s="35">
        <f>IF(B119&lt;&gt;"",各種設定金額!$D$2,0)</f>
        <v>0</v>
      </c>
      <c r="R119" s="84"/>
      <c r="S119" s="35">
        <f>IF(D119="A",各種設定金額!$P$2,IF(D119="B",各種設定金額!$P$3,IF(D119="C",各種設定金額!$P$4,0)))</f>
        <v>0</v>
      </c>
      <c r="T119" s="35">
        <f>IF(E119="✔",各種設定金額!$Q$2,0)</f>
        <v>0</v>
      </c>
      <c r="U119" s="35">
        <f t="shared" si="2"/>
        <v>0</v>
      </c>
    </row>
    <row r="120" spans="1:21" ht="20.100000000000001" customHeight="1" x14ac:dyDescent="0.15">
      <c r="A120" s="31" t="str">
        <f>IF(B120="","",IF(SUBTOTAL(103,B120)=0,"",SUBTOTAL(103,$B$2:B120)))</f>
        <v/>
      </c>
      <c r="B120" s="31" t="str">
        <f>INDEX(Sheet1!$B:$B,ROWS($A$2:$A120)+1)&amp;""</f>
        <v/>
      </c>
      <c r="C120" s="82"/>
      <c r="D120" s="82"/>
      <c r="E120" s="82"/>
      <c r="F120" s="82"/>
      <c r="G120" s="82"/>
      <c r="H120" s="82"/>
      <c r="I120" s="35" t="str">
        <f>IF(OR(C120="✔",AND(C120="",D120&lt;&gt;"")),各種設定金額!$B$2,IF(C120="2️⃣",各種設定金額!$B$3,IF(AND(C120="",E120="✔"),各種設定金額!$B$4,IF(AND(C120="",E120="",F120="✔"),各種設定金額!$B$5,""))))</f>
        <v/>
      </c>
      <c r="J120" s="35">
        <f>IF(B120&lt;&gt;"",各種設定金額!$C$2,0)</f>
        <v>0</v>
      </c>
      <c r="K120" s="35">
        <f>IF(INDEX(Sheet1!$CF:$CF,ROWS($A$2:$A120)+1)&lt;&gt;"",0,IF(C120="✔",IF(H120="◯",IF(G120="◯",各種設定金額!$H$4,各種設定金額!$H$5),IF(G120="◯",各種設定金額!$H$3,各種設定金額!$H$2)),IF(C120="2️⃣",IF(G120="◯",各種設定金額!$I$3,各種設定金額!$I$2),0)))</f>
        <v>0</v>
      </c>
      <c r="L120" s="35">
        <f>IF(OR(C120="✔",C120="2️⃣"),各種設定金額!$M$2,0)</f>
        <v>0</v>
      </c>
      <c r="M120" s="35">
        <f>IF(INDEX(Sheet1!$CF:$CF,ROWS($A$2:$A120)+1)&lt;&gt;"",0,IF(E120="✔",IF(H120="◯",IF(G120="◯",各種設定金額!$J$4,各種設定金額!$J$5),IF(G120="◯",各種設定金額!$J$3,各種設定金額!$J$2)),0))</f>
        <v>0</v>
      </c>
      <c r="N120" s="35">
        <f>IF(E120="✔",各種設定金額!$M$2,0)</f>
        <v>0</v>
      </c>
      <c r="O120" s="35">
        <f>IF(INDEX(Sheet1!$CF:$CF,ROWS($A$2:$A120)+1)&lt;&gt;"",0,IF(F120="✔",IF(H120="◯",IF(G120="◯",各種設定金額!$K$4,各種設定金額!$K$5),IF(G120="◯",各種設定金額!$K$3,各種設定金額!$K$2)),0))</f>
        <v>0</v>
      </c>
      <c r="P120" s="35">
        <f>IF(F120="✔",各種設定金額!$M$2,0)</f>
        <v>0</v>
      </c>
      <c r="Q120" s="35">
        <f>IF(B120&lt;&gt;"",各種設定金額!$D$2,0)</f>
        <v>0</v>
      </c>
      <c r="R120" s="84"/>
      <c r="S120" s="35">
        <f>IF(D120="A",各種設定金額!$P$2,IF(D120="B",各種設定金額!$P$3,IF(D120="C",各種設定金額!$P$4,0)))</f>
        <v>0</v>
      </c>
      <c r="T120" s="35">
        <f>IF(E120="✔",各種設定金額!$Q$2,0)</f>
        <v>0</v>
      </c>
      <c r="U120" s="35">
        <f t="shared" si="2"/>
        <v>0</v>
      </c>
    </row>
    <row r="121" spans="1:21" ht="20.100000000000001" customHeight="1" x14ac:dyDescent="0.15">
      <c r="A121" s="31" t="str">
        <f>IF(B121="","",IF(SUBTOTAL(103,B121)=0,"",SUBTOTAL(103,$B$2:B121)))</f>
        <v/>
      </c>
      <c r="B121" s="31" t="str">
        <f>INDEX(Sheet1!$B:$B,ROWS($A$2:$A121)+1)&amp;""</f>
        <v/>
      </c>
      <c r="C121" s="82"/>
      <c r="D121" s="82"/>
      <c r="E121" s="82"/>
      <c r="F121" s="82"/>
      <c r="G121" s="82"/>
      <c r="H121" s="82"/>
      <c r="I121" s="35" t="str">
        <f>IF(OR(C121="✔",AND(C121="",D121&lt;&gt;"")),各種設定金額!$B$2,IF(C121="2️⃣",各種設定金額!$B$3,IF(AND(C121="",E121="✔"),各種設定金額!$B$4,IF(AND(C121="",E121="",F121="✔"),各種設定金額!$B$5,""))))</f>
        <v/>
      </c>
      <c r="J121" s="35">
        <f>IF(B121&lt;&gt;"",各種設定金額!$C$2,0)</f>
        <v>0</v>
      </c>
      <c r="K121" s="35">
        <f>IF(INDEX(Sheet1!$CF:$CF,ROWS($A$2:$A121)+1)&lt;&gt;"",0,IF(C121="✔",IF(H121="◯",IF(G121="◯",各種設定金額!$H$4,各種設定金額!$H$5),IF(G121="◯",各種設定金額!$H$3,各種設定金額!$H$2)),IF(C121="2️⃣",IF(G121="◯",各種設定金額!$I$3,各種設定金額!$I$2),0)))</f>
        <v>0</v>
      </c>
      <c r="L121" s="35">
        <f>IF(OR(C121="✔",C121="2️⃣"),各種設定金額!$M$2,0)</f>
        <v>0</v>
      </c>
      <c r="M121" s="35">
        <f>IF(INDEX(Sheet1!$CF:$CF,ROWS($A$2:$A121)+1)&lt;&gt;"",0,IF(E121="✔",IF(H121="◯",IF(G121="◯",各種設定金額!$J$4,各種設定金額!$J$5),IF(G121="◯",各種設定金額!$J$3,各種設定金額!$J$2)),0))</f>
        <v>0</v>
      </c>
      <c r="N121" s="35">
        <f>IF(E121="✔",各種設定金額!$M$2,0)</f>
        <v>0</v>
      </c>
      <c r="O121" s="35">
        <f>IF(INDEX(Sheet1!$CF:$CF,ROWS($A$2:$A121)+1)&lt;&gt;"",0,IF(F121="✔",IF(H121="◯",IF(G121="◯",各種設定金額!$K$4,各種設定金額!$K$5),IF(G121="◯",各種設定金額!$K$3,各種設定金額!$K$2)),0))</f>
        <v>0</v>
      </c>
      <c r="P121" s="35">
        <f>IF(F121="✔",各種設定金額!$M$2,0)</f>
        <v>0</v>
      </c>
      <c r="Q121" s="35">
        <f>IF(B121&lt;&gt;"",各種設定金額!$D$2,0)</f>
        <v>0</v>
      </c>
      <c r="R121" s="84"/>
      <c r="S121" s="35">
        <f>IF(D121="A",各種設定金額!$P$2,IF(D121="B",各種設定金額!$P$3,IF(D121="C",各種設定金額!$P$4,0)))</f>
        <v>0</v>
      </c>
      <c r="T121" s="35">
        <f>IF(E121="✔",各種設定金額!$Q$2,0)</f>
        <v>0</v>
      </c>
      <c r="U121" s="35">
        <f t="shared" si="2"/>
        <v>0</v>
      </c>
    </row>
    <row r="122" spans="1:21" ht="20.100000000000001" customHeight="1" x14ac:dyDescent="0.15">
      <c r="A122" s="31" t="str">
        <f>IF(B122="","",IF(SUBTOTAL(103,B122)=0,"",SUBTOTAL(103,$B$2:B122)))</f>
        <v/>
      </c>
      <c r="B122" s="31" t="str">
        <f>INDEX(Sheet1!$B:$B,ROWS($A$2:$A122)+1)&amp;""</f>
        <v/>
      </c>
      <c r="C122" s="82"/>
      <c r="D122" s="82"/>
      <c r="E122" s="82"/>
      <c r="F122" s="82"/>
      <c r="G122" s="82"/>
      <c r="H122" s="82"/>
      <c r="I122" s="35" t="str">
        <f>IF(OR(C122="✔",AND(C122="",D122&lt;&gt;"")),各種設定金額!$B$2,IF(C122="2️⃣",各種設定金額!$B$3,IF(AND(C122="",E122="✔"),各種設定金額!$B$4,IF(AND(C122="",E122="",F122="✔"),各種設定金額!$B$5,""))))</f>
        <v/>
      </c>
      <c r="J122" s="35">
        <f>IF(B122&lt;&gt;"",各種設定金額!$C$2,0)</f>
        <v>0</v>
      </c>
      <c r="K122" s="35">
        <f>IF(INDEX(Sheet1!$CF:$CF,ROWS($A$2:$A122)+1)&lt;&gt;"",0,IF(C122="✔",IF(H122="◯",IF(G122="◯",各種設定金額!$H$4,各種設定金額!$H$5),IF(G122="◯",各種設定金額!$H$3,各種設定金額!$H$2)),IF(C122="2️⃣",IF(G122="◯",各種設定金額!$I$3,各種設定金額!$I$2),0)))</f>
        <v>0</v>
      </c>
      <c r="L122" s="35">
        <f>IF(OR(C122="✔",C122="2️⃣"),各種設定金額!$M$2,0)</f>
        <v>0</v>
      </c>
      <c r="M122" s="35">
        <f>IF(INDEX(Sheet1!$CF:$CF,ROWS($A$2:$A122)+1)&lt;&gt;"",0,IF(E122="✔",IF(H122="◯",IF(G122="◯",各種設定金額!$J$4,各種設定金額!$J$5),IF(G122="◯",各種設定金額!$J$3,各種設定金額!$J$2)),0))</f>
        <v>0</v>
      </c>
      <c r="N122" s="35">
        <f>IF(E122="✔",各種設定金額!$M$2,0)</f>
        <v>0</v>
      </c>
      <c r="O122" s="35">
        <f>IF(INDEX(Sheet1!$CF:$CF,ROWS($A$2:$A122)+1)&lt;&gt;"",0,IF(F122="✔",IF(H122="◯",IF(G122="◯",各種設定金額!$K$4,各種設定金額!$K$5),IF(G122="◯",各種設定金額!$K$3,各種設定金額!$K$2)),0))</f>
        <v>0</v>
      </c>
      <c r="P122" s="35">
        <f>IF(F122="✔",各種設定金額!$M$2,0)</f>
        <v>0</v>
      </c>
      <c r="Q122" s="35">
        <f>IF(B122&lt;&gt;"",各種設定金額!$D$2,0)</f>
        <v>0</v>
      </c>
      <c r="R122" s="84"/>
      <c r="S122" s="35">
        <f>IF(D122="A",各種設定金額!$P$2,IF(D122="B",各種設定金額!$P$3,IF(D122="C",各種設定金額!$P$4,0)))</f>
        <v>0</v>
      </c>
      <c r="T122" s="35">
        <f>IF(E122="✔",各種設定金額!$Q$2,0)</f>
        <v>0</v>
      </c>
      <c r="U122" s="35">
        <f t="shared" si="2"/>
        <v>0</v>
      </c>
    </row>
    <row r="123" spans="1:21" ht="20.100000000000001" customHeight="1" x14ac:dyDescent="0.15">
      <c r="A123" s="31" t="str">
        <f>IF(B123="","",IF(SUBTOTAL(103,B123)=0,"",SUBTOTAL(103,$B$2:B123)))</f>
        <v/>
      </c>
      <c r="B123" s="31" t="str">
        <f>INDEX(Sheet1!$B:$B,ROWS($A$2:$A123)+1)&amp;""</f>
        <v/>
      </c>
      <c r="C123" s="82"/>
      <c r="D123" s="82"/>
      <c r="E123" s="82"/>
      <c r="F123" s="82"/>
      <c r="G123" s="82"/>
      <c r="H123" s="82"/>
      <c r="I123" s="35" t="str">
        <f>IF(OR(C123="✔",AND(C123="",D123&lt;&gt;"")),各種設定金額!$B$2,IF(C123="2️⃣",各種設定金額!$B$3,IF(AND(C123="",E123="✔"),各種設定金額!$B$4,IF(AND(C123="",E123="",F123="✔"),各種設定金額!$B$5,""))))</f>
        <v/>
      </c>
      <c r="J123" s="35">
        <f>IF(B123&lt;&gt;"",各種設定金額!$C$2,0)</f>
        <v>0</v>
      </c>
      <c r="K123" s="35">
        <f>IF(INDEX(Sheet1!$CF:$CF,ROWS($A$2:$A123)+1)&lt;&gt;"",0,IF(C123="✔",IF(H123="◯",IF(G123="◯",各種設定金額!$H$4,各種設定金額!$H$5),IF(G123="◯",各種設定金額!$H$3,各種設定金額!$H$2)),IF(C123="2️⃣",IF(G123="◯",各種設定金額!$I$3,各種設定金額!$I$2),0)))</f>
        <v>0</v>
      </c>
      <c r="L123" s="35">
        <f>IF(OR(C123="✔",C123="2️⃣"),各種設定金額!$M$2,0)</f>
        <v>0</v>
      </c>
      <c r="M123" s="35">
        <f>IF(INDEX(Sheet1!$CF:$CF,ROWS($A$2:$A123)+1)&lt;&gt;"",0,IF(E123="✔",IF(H123="◯",IF(G123="◯",各種設定金額!$J$4,各種設定金額!$J$5),IF(G123="◯",各種設定金額!$J$3,各種設定金額!$J$2)),0))</f>
        <v>0</v>
      </c>
      <c r="N123" s="35">
        <f>IF(E123="✔",各種設定金額!$M$2,0)</f>
        <v>0</v>
      </c>
      <c r="O123" s="35">
        <f>IF(INDEX(Sheet1!$CF:$CF,ROWS($A$2:$A123)+1)&lt;&gt;"",0,IF(F123="✔",IF(H123="◯",IF(G123="◯",各種設定金額!$K$4,各種設定金額!$K$5),IF(G123="◯",各種設定金額!$K$3,各種設定金額!$K$2)),0))</f>
        <v>0</v>
      </c>
      <c r="P123" s="35">
        <f>IF(F123="✔",各種設定金額!$M$2,0)</f>
        <v>0</v>
      </c>
      <c r="Q123" s="35">
        <f>IF(B123&lt;&gt;"",各種設定金額!$D$2,0)</f>
        <v>0</v>
      </c>
      <c r="R123" s="84"/>
      <c r="S123" s="35">
        <f>IF(D123="A",各種設定金額!$P$2,IF(D123="B",各種設定金額!$P$3,IF(D123="C",各種設定金額!$P$4,0)))</f>
        <v>0</v>
      </c>
      <c r="T123" s="35">
        <f>IF(E123="✔",各種設定金額!$Q$2,0)</f>
        <v>0</v>
      </c>
      <c r="U123" s="35">
        <f t="shared" si="2"/>
        <v>0</v>
      </c>
    </row>
    <row r="124" spans="1:21" ht="20.100000000000001" customHeight="1" x14ac:dyDescent="0.15">
      <c r="A124" s="31" t="str">
        <f>IF(B124="","",IF(SUBTOTAL(103,B124)=0,"",SUBTOTAL(103,$B$2:B124)))</f>
        <v/>
      </c>
      <c r="B124" s="31" t="str">
        <f>INDEX(Sheet1!$B:$B,ROWS($A$2:$A124)+1)&amp;""</f>
        <v/>
      </c>
      <c r="C124" s="82"/>
      <c r="D124" s="82"/>
      <c r="E124" s="82"/>
      <c r="F124" s="82"/>
      <c r="G124" s="82"/>
      <c r="H124" s="82"/>
      <c r="I124" s="35" t="str">
        <f>IF(OR(C124="✔",AND(C124="",D124&lt;&gt;"")),各種設定金額!$B$2,IF(C124="2️⃣",各種設定金額!$B$3,IF(AND(C124="",E124="✔"),各種設定金額!$B$4,IF(AND(C124="",E124="",F124="✔"),各種設定金額!$B$5,""))))</f>
        <v/>
      </c>
      <c r="J124" s="35">
        <f>IF(B124&lt;&gt;"",各種設定金額!$C$2,0)</f>
        <v>0</v>
      </c>
      <c r="K124" s="35">
        <f>IF(INDEX(Sheet1!$CF:$CF,ROWS($A$2:$A124)+1)&lt;&gt;"",0,IF(C124="✔",IF(H124="◯",IF(G124="◯",各種設定金額!$H$4,各種設定金額!$H$5),IF(G124="◯",各種設定金額!$H$3,各種設定金額!$H$2)),IF(C124="2️⃣",IF(G124="◯",各種設定金額!$I$3,各種設定金額!$I$2),0)))</f>
        <v>0</v>
      </c>
      <c r="L124" s="35">
        <f>IF(OR(C124="✔",C124="2️⃣"),各種設定金額!$M$2,0)</f>
        <v>0</v>
      </c>
      <c r="M124" s="35">
        <f>IF(INDEX(Sheet1!$CF:$CF,ROWS($A$2:$A124)+1)&lt;&gt;"",0,IF(E124="✔",IF(H124="◯",IF(G124="◯",各種設定金額!$J$4,各種設定金額!$J$5),IF(G124="◯",各種設定金額!$J$3,各種設定金額!$J$2)),0))</f>
        <v>0</v>
      </c>
      <c r="N124" s="35">
        <f>IF(E124="✔",各種設定金額!$M$2,0)</f>
        <v>0</v>
      </c>
      <c r="O124" s="35">
        <f>IF(INDEX(Sheet1!$CF:$CF,ROWS($A$2:$A124)+1)&lt;&gt;"",0,IF(F124="✔",IF(H124="◯",IF(G124="◯",各種設定金額!$K$4,各種設定金額!$K$5),IF(G124="◯",各種設定金額!$K$3,各種設定金額!$K$2)),0))</f>
        <v>0</v>
      </c>
      <c r="P124" s="35">
        <f>IF(F124="✔",各種設定金額!$M$2,0)</f>
        <v>0</v>
      </c>
      <c r="Q124" s="35">
        <f>IF(B124&lt;&gt;"",各種設定金額!$D$2,0)</f>
        <v>0</v>
      </c>
      <c r="R124" s="84"/>
      <c r="S124" s="35">
        <f>IF(D124="A",各種設定金額!$P$2,IF(D124="B",各種設定金額!$P$3,IF(D124="C",各種設定金額!$P$4,0)))</f>
        <v>0</v>
      </c>
      <c r="T124" s="35">
        <f>IF(E124="✔",各種設定金額!$Q$2,0)</f>
        <v>0</v>
      </c>
      <c r="U124" s="35">
        <f t="shared" si="2"/>
        <v>0</v>
      </c>
    </row>
    <row r="125" spans="1:21" ht="20.100000000000001" customHeight="1" x14ac:dyDescent="0.15">
      <c r="A125" s="31" t="str">
        <f>IF(B125="","",IF(SUBTOTAL(103,B125)=0,"",SUBTOTAL(103,$B$2:B125)))</f>
        <v/>
      </c>
      <c r="B125" s="31" t="str">
        <f>INDEX(Sheet1!$B:$B,ROWS($A$2:$A125)+1)&amp;""</f>
        <v/>
      </c>
      <c r="C125" s="82"/>
      <c r="D125" s="82"/>
      <c r="E125" s="82"/>
      <c r="F125" s="82"/>
      <c r="G125" s="82"/>
      <c r="H125" s="82"/>
      <c r="I125" s="35" t="str">
        <f>IF(OR(C125="✔",AND(C125="",D125&lt;&gt;"")),各種設定金額!$B$2,IF(C125="2️⃣",各種設定金額!$B$3,IF(AND(C125="",E125="✔"),各種設定金額!$B$4,IF(AND(C125="",E125="",F125="✔"),各種設定金額!$B$5,""))))</f>
        <v/>
      </c>
      <c r="J125" s="35">
        <f>IF(B125&lt;&gt;"",各種設定金額!$C$2,0)</f>
        <v>0</v>
      </c>
      <c r="K125" s="35">
        <f>IF(INDEX(Sheet1!$CF:$CF,ROWS($A$2:$A125)+1)&lt;&gt;"",0,IF(C125="✔",IF(H125="◯",IF(G125="◯",各種設定金額!$H$4,各種設定金額!$H$5),IF(G125="◯",各種設定金額!$H$3,各種設定金額!$H$2)),IF(C125="2️⃣",IF(G125="◯",各種設定金額!$I$3,各種設定金額!$I$2),0)))</f>
        <v>0</v>
      </c>
      <c r="L125" s="35">
        <f>IF(OR(C125="✔",C125="2️⃣"),各種設定金額!$M$2,0)</f>
        <v>0</v>
      </c>
      <c r="M125" s="35">
        <f>IF(INDEX(Sheet1!$CF:$CF,ROWS($A$2:$A125)+1)&lt;&gt;"",0,IF(E125="✔",IF(H125="◯",IF(G125="◯",各種設定金額!$J$4,各種設定金額!$J$5),IF(G125="◯",各種設定金額!$J$3,各種設定金額!$J$2)),0))</f>
        <v>0</v>
      </c>
      <c r="N125" s="35">
        <f>IF(E125="✔",各種設定金額!$M$2,0)</f>
        <v>0</v>
      </c>
      <c r="O125" s="35">
        <f>IF(INDEX(Sheet1!$CF:$CF,ROWS($A$2:$A125)+1)&lt;&gt;"",0,IF(F125="✔",IF(H125="◯",IF(G125="◯",各種設定金額!$K$4,各種設定金額!$K$5),IF(G125="◯",各種設定金額!$K$3,各種設定金額!$K$2)),0))</f>
        <v>0</v>
      </c>
      <c r="P125" s="35">
        <f>IF(F125="✔",各種設定金額!$M$2,0)</f>
        <v>0</v>
      </c>
      <c r="Q125" s="35">
        <f>IF(B125&lt;&gt;"",各種設定金額!$D$2,0)</f>
        <v>0</v>
      </c>
      <c r="R125" s="84"/>
      <c r="S125" s="35">
        <f>IF(D125="A",各種設定金額!$P$2,IF(D125="B",各種設定金額!$P$3,IF(D125="C",各種設定金額!$P$4,0)))</f>
        <v>0</v>
      </c>
      <c r="T125" s="35">
        <f>IF(E125="✔",各種設定金額!$Q$2,0)</f>
        <v>0</v>
      </c>
      <c r="U125" s="35">
        <f t="shared" si="2"/>
        <v>0</v>
      </c>
    </row>
    <row r="126" spans="1:21" ht="20.100000000000001" customHeight="1" x14ac:dyDescent="0.15">
      <c r="A126" s="31" t="str">
        <f>IF(B126="","",IF(SUBTOTAL(103,B126)=0,"",SUBTOTAL(103,$B$2:B126)))</f>
        <v/>
      </c>
      <c r="B126" s="31" t="str">
        <f>INDEX(Sheet1!$B:$B,ROWS($A$2:$A126)+1)&amp;""</f>
        <v/>
      </c>
      <c r="C126" s="82"/>
      <c r="D126" s="82"/>
      <c r="E126" s="82"/>
      <c r="F126" s="82"/>
      <c r="G126" s="82"/>
      <c r="H126" s="82"/>
      <c r="I126" s="35" t="str">
        <f>IF(OR(C126="✔",AND(C126="",D126&lt;&gt;"")),各種設定金額!$B$2,IF(C126="2️⃣",各種設定金額!$B$3,IF(AND(C126="",E126="✔"),各種設定金額!$B$4,IF(AND(C126="",E126="",F126="✔"),各種設定金額!$B$5,""))))</f>
        <v/>
      </c>
      <c r="J126" s="35">
        <f>IF(B126&lt;&gt;"",各種設定金額!$C$2,0)</f>
        <v>0</v>
      </c>
      <c r="K126" s="35">
        <f>IF(INDEX(Sheet1!$CF:$CF,ROWS($A$2:$A126)+1)&lt;&gt;"",0,IF(C126="✔",IF(H126="◯",IF(G126="◯",各種設定金額!$H$4,各種設定金額!$H$5),IF(G126="◯",各種設定金額!$H$3,各種設定金額!$H$2)),IF(C126="2️⃣",IF(G126="◯",各種設定金額!$I$3,各種設定金額!$I$2),0)))</f>
        <v>0</v>
      </c>
      <c r="L126" s="35">
        <f>IF(OR(C126="✔",C126="2️⃣"),各種設定金額!$M$2,0)</f>
        <v>0</v>
      </c>
      <c r="M126" s="35">
        <f>IF(INDEX(Sheet1!$CF:$CF,ROWS($A$2:$A126)+1)&lt;&gt;"",0,IF(E126="✔",IF(H126="◯",IF(G126="◯",各種設定金額!$J$4,各種設定金額!$J$5),IF(G126="◯",各種設定金額!$J$3,各種設定金額!$J$2)),0))</f>
        <v>0</v>
      </c>
      <c r="N126" s="35">
        <f>IF(E126="✔",各種設定金額!$M$2,0)</f>
        <v>0</v>
      </c>
      <c r="O126" s="35">
        <f>IF(INDEX(Sheet1!$CF:$CF,ROWS($A$2:$A126)+1)&lt;&gt;"",0,IF(F126="✔",IF(H126="◯",IF(G126="◯",各種設定金額!$K$4,各種設定金額!$K$5),IF(G126="◯",各種設定金額!$K$3,各種設定金額!$K$2)),0))</f>
        <v>0</v>
      </c>
      <c r="P126" s="35">
        <f>IF(F126="✔",各種設定金額!$M$2,0)</f>
        <v>0</v>
      </c>
      <c r="Q126" s="35">
        <f>IF(B126&lt;&gt;"",各種設定金額!$D$2,0)</f>
        <v>0</v>
      </c>
      <c r="R126" s="84"/>
      <c r="S126" s="35">
        <f>IF(D126="A",各種設定金額!$P$2,IF(D126="B",各種設定金額!$P$3,IF(D126="C",各種設定金額!$P$4,0)))</f>
        <v>0</v>
      </c>
      <c r="T126" s="35">
        <f>IF(E126="✔",各種設定金額!$Q$2,0)</f>
        <v>0</v>
      </c>
      <c r="U126" s="35">
        <f t="shared" si="2"/>
        <v>0</v>
      </c>
    </row>
    <row r="127" spans="1:21" ht="20.100000000000001" customHeight="1" x14ac:dyDescent="0.15">
      <c r="A127" s="31" t="str">
        <f>IF(B127="","",IF(SUBTOTAL(103,B127)=0,"",SUBTOTAL(103,$B$2:B127)))</f>
        <v/>
      </c>
      <c r="B127" s="31" t="str">
        <f>INDEX(Sheet1!$B:$B,ROWS($A$2:$A127)+1)&amp;""</f>
        <v/>
      </c>
      <c r="C127" s="82"/>
      <c r="D127" s="82"/>
      <c r="E127" s="82"/>
      <c r="F127" s="82"/>
      <c r="G127" s="82"/>
      <c r="H127" s="82"/>
      <c r="I127" s="35" t="str">
        <f>IF(OR(C127="✔",AND(C127="",D127&lt;&gt;"")),各種設定金額!$B$2,IF(C127="2️⃣",各種設定金額!$B$3,IF(AND(C127="",E127="✔"),各種設定金額!$B$4,IF(AND(C127="",E127="",F127="✔"),各種設定金額!$B$5,""))))</f>
        <v/>
      </c>
      <c r="J127" s="35">
        <f>IF(B127&lt;&gt;"",各種設定金額!$C$2,0)</f>
        <v>0</v>
      </c>
      <c r="K127" s="35">
        <f>IF(INDEX(Sheet1!$CF:$CF,ROWS($A$2:$A127)+1)&lt;&gt;"",0,IF(C127="✔",IF(H127="◯",IF(G127="◯",各種設定金額!$H$4,各種設定金額!$H$5),IF(G127="◯",各種設定金額!$H$3,各種設定金額!$H$2)),IF(C127="2️⃣",IF(G127="◯",各種設定金額!$I$3,各種設定金額!$I$2),0)))</f>
        <v>0</v>
      </c>
      <c r="L127" s="35">
        <f>IF(OR(C127="✔",C127="2️⃣"),各種設定金額!$M$2,0)</f>
        <v>0</v>
      </c>
      <c r="M127" s="35">
        <f>IF(INDEX(Sheet1!$CF:$CF,ROWS($A$2:$A127)+1)&lt;&gt;"",0,IF(E127="✔",IF(H127="◯",IF(G127="◯",各種設定金額!$J$4,各種設定金額!$J$5),IF(G127="◯",各種設定金額!$J$3,各種設定金額!$J$2)),0))</f>
        <v>0</v>
      </c>
      <c r="N127" s="35">
        <f>IF(E127="✔",各種設定金額!$M$2,0)</f>
        <v>0</v>
      </c>
      <c r="O127" s="35">
        <f>IF(INDEX(Sheet1!$CF:$CF,ROWS($A$2:$A127)+1)&lt;&gt;"",0,IF(F127="✔",IF(H127="◯",IF(G127="◯",各種設定金額!$K$4,各種設定金額!$K$5),IF(G127="◯",各種設定金額!$K$3,各種設定金額!$K$2)),0))</f>
        <v>0</v>
      </c>
      <c r="P127" s="35">
        <f>IF(F127="✔",各種設定金額!$M$2,0)</f>
        <v>0</v>
      </c>
      <c r="Q127" s="35">
        <f>IF(B127&lt;&gt;"",各種設定金額!$D$2,0)</f>
        <v>0</v>
      </c>
      <c r="R127" s="84"/>
      <c r="S127" s="35">
        <f>IF(D127="A",各種設定金額!$P$2,IF(D127="B",各種設定金額!$P$3,IF(D127="C",各種設定金額!$P$4,0)))</f>
        <v>0</v>
      </c>
      <c r="T127" s="35">
        <f>IF(E127="✔",各種設定金額!$Q$2,0)</f>
        <v>0</v>
      </c>
      <c r="U127" s="35">
        <f t="shared" si="2"/>
        <v>0</v>
      </c>
    </row>
    <row r="128" spans="1:21" ht="20.100000000000001" customHeight="1" x14ac:dyDescent="0.15">
      <c r="A128" s="31" t="str">
        <f>IF(B128="","",IF(SUBTOTAL(103,B128)=0,"",SUBTOTAL(103,$B$2:B128)))</f>
        <v/>
      </c>
      <c r="B128" s="31" t="str">
        <f>INDEX(Sheet1!$B:$B,ROWS($A$2:$A128)+1)&amp;""</f>
        <v/>
      </c>
      <c r="C128" s="82"/>
      <c r="D128" s="82"/>
      <c r="E128" s="82"/>
      <c r="F128" s="82"/>
      <c r="G128" s="82"/>
      <c r="H128" s="82"/>
      <c r="I128" s="35" t="str">
        <f>IF(OR(C128="✔",AND(C128="",D128&lt;&gt;"")),各種設定金額!$B$2,IF(C128="2️⃣",各種設定金額!$B$3,IF(AND(C128="",E128="✔"),各種設定金額!$B$4,IF(AND(C128="",E128="",F128="✔"),各種設定金額!$B$5,""))))</f>
        <v/>
      </c>
      <c r="J128" s="35">
        <f>IF(B128&lt;&gt;"",各種設定金額!$C$2,0)</f>
        <v>0</v>
      </c>
      <c r="K128" s="35">
        <f>IF(INDEX(Sheet1!$CF:$CF,ROWS($A$2:$A128)+1)&lt;&gt;"",0,IF(C128="✔",IF(H128="◯",IF(G128="◯",各種設定金額!$H$4,各種設定金額!$H$5),IF(G128="◯",各種設定金額!$H$3,各種設定金額!$H$2)),IF(C128="2️⃣",IF(G128="◯",各種設定金額!$I$3,各種設定金額!$I$2),0)))</f>
        <v>0</v>
      </c>
      <c r="L128" s="35">
        <f>IF(OR(C128="✔",C128="2️⃣"),各種設定金額!$M$2,0)</f>
        <v>0</v>
      </c>
      <c r="M128" s="35">
        <f>IF(INDEX(Sheet1!$CF:$CF,ROWS($A$2:$A128)+1)&lt;&gt;"",0,IF(E128="✔",IF(H128="◯",IF(G128="◯",各種設定金額!$J$4,各種設定金額!$J$5),IF(G128="◯",各種設定金額!$J$3,各種設定金額!$J$2)),0))</f>
        <v>0</v>
      </c>
      <c r="N128" s="35">
        <f>IF(E128="✔",各種設定金額!$M$2,0)</f>
        <v>0</v>
      </c>
      <c r="O128" s="35">
        <f>IF(INDEX(Sheet1!$CF:$CF,ROWS($A$2:$A128)+1)&lt;&gt;"",0,IF(F128="✔",IF(H128="◯",IF(G128="◯",各種設定金額!$K$4,各種設定金額!$K$5),IF(G128="◯",各種設定金額!$K$3,各種設定金額!$K$2)),0))</f>
        <v>0</v>
      </c>
      <c r="P128" s="35">
        <f>IF(F128="✔",各種設定金額!$M$2,0)</f>
        <v>0</v>
      </c>
      <c r="Q128" s="35">
        <f>IF(B128&lt;&gt;"",各種設定金額!$D$2,0)</f>
        <v>0</v>
      </c>
      <c r="R128" s="84"/>
      <c r="S128" s="35">
        <f>IF(D128="A",各種設定金額!$P$2,IF(D128="B",各種設定金額!$P$3,IF(D128="C",各種設定金額!$P$4,0)))</f>
        <v>0</v>
      </c>
      <c r="T128" s="35">
        <f>IF(E128="✔",各種設定金額!$Q$2,0)</f>
        <v>0</v>
      </c>
      <c r="U128" s="35">
        <f t="shared" si="2"/>
        <v>0</v>
      </c>
    </row>
    <row r="129" spans="1:21" ht="20.100000000000001" customHeight="1" x14ac:dyDescent="0.15">
      <c r="A129" s="31" t="str">
        <f>IF(B129="","",IF(SUBTOTAL(103,B129)=0,"",SUBTOTAL(103,$B$2:B129)))</f>
        <v/>
      </c>
      <c r="B129" s="31" t="str">
        <f>INDEX(Sheet1!$B:$B,ROWS($A$2:$A129)+1)&amp;""</f>
        <v/>
      </c>
      <c r="C129" s="82"/>
      <c r="D129" s="82"/>
      <c r="E129" s="82"/>
      <c r="F129" s="82"/>
      <c r="G129" s="82"/>
      <c r="H129" s="82"/>
      <c r="I129" s="35" t="str">
        <f>IF(OR(C129="✔",AND(C129="",D129&lt;&gt;"")),各種設定金額!$B$2,IF(C129="2️⃣",各種設定金額!$B$3,IF(AND(C129="",E129="✔"),各種設定金額!$B$4,IF(AND(C129="",E129="",F129="✔"),各種設定金額!$B$5,""))))</f>
        <v/>
      </c>
      <c r="J129" s="35">
        <f>IF(B129&lt;&gt;"",各種設定金額!$C$2,0)</f>
        <v>0</v>
      </c>
      <c r="K129" s="35">
        <f>IF(INDEX(Sheet1!$CF:$CF,ROWS($A$2:$A129)+1)&lt;&gt;"",0,IF(C129="✔",IF(H129="◯",IF(G129="◯",各種設定金額!$H$4,各種設定金額!$H$5),IF(G129="◯",各種設定金額!$H$3,各種設定金額!$H$2)),IF(C129="2️⃣",IF(G129="◯",各種設定金額!$I$3,各種設定金額!$I$2),0)))</f>
        <v>0</v>
      </c>
      <c r="L129" s="35">
        <f>IF(OR(C129="✔",C129="2️⃣"),各種設定金額!$M$2,0)</f>
        <v>0</v>
      </c>
      <c r="M129" s="35">
        <f>IF(INDEX(Sheet1!$CF:$CF,ROWS($A$2:$A129)+1)&lt;&gt;"",0,IF(E129="✔",IF(H129="◯",IF(G129="◯",各種設定金額!$J$4,各種設定金額!$J$5),IF(G129="◯",各種設定金額!$J$3,各種設定金額!$J$2)),0))</f>
        <v>0</v>
      </c>
      <c r="N129" s="35">
        <f>IF(E129="✔",各種設定金額!$M$2,0)</f>
        <v>0</v>
      </c>
      <c r="O129" s="35">
        <f>IF(INDEX(Sheet1!$CF:$CF,ROWS($A$2:$A129)+1)&lt;&gt;"",0,IF(F129="✔",IF(H129="◯",IF(G129="◯",各種設定金額!$K$4,各種設定金額!$K$5),IF(G129="◯",各種設定金額!$K$3,各種設定金額!$K$2)),0))</f>
        <v>0</v>
      </c>
      <c r="P129" s="35">
        <f>IF(F129="✔",各種設定金額!$M$2,0)</f>
        <v>0</v>
      </c>
      <c r="Q129" s="35">
        <f>IF(B129&lt;&gt;"",各種設定金額!$D$2,0)</f>
        <v>0</v>
      </c>
      <c r="R129" s="84"/>
      <c r="S129" s="35">
        <f>IF(D129="A",各種設定金額!$P$2,IF(D129="B",各種設定金額!$P$3,IF(D129="C",各種設定金額!$P$4,0)))</f>
        <v>0</v>
      </c>
      <c r="T129" s="35">
        <f>IF(E129="✔",各種設定金額!$Q$2,0)</f>
        <v>0</v>
      </c>
      <c r="U129" s="35">
        <f t="shared" si="2"/>
        <v>0</v>
      </c>
    </row>
    <row r="130" spans="1:21" ht="20.100000000000001" customHeight="1" x14ac:dyDescent="0.15">
      <c r="A130" s="31" t="str">
        <f>IF(B130="","",IF(SUBTOTAL(103,B130)=0,"",SUBTOTAL(103,$B$2:B130)))</f>
        <v/>
      </c>
      <c r="B130" s="31" t="str">
        <f>INDEX(Sheet1!$B:$B,ROWS($A$2:$A130)+1)&amp;""</f>
        <v/>
      </c>
      <c r="C130" s="82"/>
      <c r="D130" s="82"/>
      <c r="E130" s="82"/>
      <c r="F130" s="82"/>
      <c r="G130" s="82"/>
      <c r="H130" s="82"/>
      <c r="I130" s="35" t="str">
        <f>IF(OR(C130="✔",AND(C130="",D130&lt;&gt;"")),各種設定金額!$B$2,IF(C130="2️⃣",各種設定金額!$B$3,IF(AND(C130="",E130="✔"),各種設定金額!$B$4,IF(AND(C130="",E130="",F130="✔"),各種設定金額!$B$5,""))))</f>
        <v/>
      </c>
      <c r="J130" s="35">
        <f>IF(B130&lt;&gt;"",各種設定金額!$C$2,0)</f>
        <v>0</v>
      </c>
      <c r="K130" s="35">
        <f>IF(INDEX(Sheet1!$CF:$CF,ROWS($A$2:$A130)+1)&lt;&gt;"",0,IF(C130="✔",IF(H130="◯",IF(G130="◯",各種設定金額!$H$4,各種設定金額!$H$5),IF(G130="◯",各種設定金額!$H$3,各種設定金額!$H$2)),IF(C130="2️⃣",IF(G130="◯",各種設定金額!$I$3,各種設定金額!$I$2),0)))</f>
        <v>0</v>
      </c>
      <c r="L130" s="35">
        <f>IF(OR(C130="✔",C130="2️⃣"),各種設定金額!$M$2,0)</f>
        <v>0</v>
      </c>
      <c r="M130" s="35">
        <f>IF(INDEX(Sheet1!$CF:$CF,ROWS($A$2:$A130)+1)&lt;&gt;"",0,IF(E130="✔",IF(H130="◯",IF(G130="◯",各種設定金額!$J$4,各種設定金額!$J$5),IF(G130="◯",各種設定金額!$J$3,各種設定金額!$J$2)),0))</f>
        <v>0</v>
      </c>
      <c r="N130" s="35">
        <f>IF(E130="✔",各種設定金額!$M$2,0)</f>
        <v>0</v>
      </c>
      <c r="O130" s="35">
        <f>IF(INDEX(Sheet1!$CF:$CF,ROWS($A$2:$A130)+1)&lt;&gt;"",0,IF(F130="✔",IF(H130="◯",IF(G130="◯",各種設定金額!$K$4,各種設定金額!$K$5),IF(G130="◯",各種設定金額!$K$3,各種設定金額!$K$2)),0))</f>
        <v>0</v>
      </c>
      <c r="P130" s="35">
        <f>IF(F130="✔",各種設定金額!$M$2,0)</f>
        <v>0</v>
      </c>
      <c r="Q130" s="35">
        <f>IF(B130&lt;&gt;"",各種設定金額!$D$2,0)</f>
        <v>0</v>
      </c>
      <c r="R130" s="84"/>
      <c r="S130" s="35">
        <f>IF(D130="A",各種設定金額!$P$2,IF(D130="B",各種設定金額!$P$3,IF(D130="C",各種設定金額!$P$4,0)))</f>
        <v>0</v>
      </c>
      <c r="T130" s="35">
        <f>IF(E130="✔",各種設定金額!$Q$2,0)</f>
        <v>0</v>
      </c>
      <c r="U130" s="35">
        <f t="shared" si="2"/>
        <v>0</v>
      </c>
    </row>
    <row r="131" spans="1:21" ht="20.100000000000001" customHeight="1" x14ac:dyDescent="0.15">
      <c r="A131" s="31" t="str">
        <f>IF(B131="","",IF(SUBTOTAL(103,B131)=0,"",SUBTOTAL(103,$B$2:B131)))</f>
        <v/>
      </c>
      <c r="B131" s="31" t="str">
        <f>INDEX(Sheet1!$B:$B,ROWS($A$2:$A131)+1)&amp;""</f>
        <v/>
      </c>
      <c r="C131" s="82"/>
      <c r="D131" s="82"/>
      <c r="E131" s="82"/>
      <c r="F131" s="82"/>
      <c r="G131" s="82"/>
      <c r="H131" s="82"/>
      <c r="I131" s="35" t="str">
        <f>IF(OR(C131="✔",AND(C131="",D131&lt;&gt;"")),各種設定金額!$B$2,IF(C131="2️⃣",各種設定金額!$B$3,IF(AND(C131="",E131="✔"),各種設定金額!$B$4,IF(AND(C131="",E131="",F131="✔"),各種設定金額!$B$5,""))))</f>
        <v/>
      </c>
      <c r="J131" s="35">
        <f>IF(B131&lt;&gt;"",各種設定金額!$C$2,0)</f>
        <v>0</v>
      </c>
      <c r="K131" s="35">
        <f>IF(INDEX(Sheet1!$CF:$CF,ROWS($A$2:$A131)+1)&lt;&gt;"",0,IF(C131="✔",IF(H131="◯",IF(G131="◯",各種設定金額!$H$4,各種設定金額!$H$5),IF(G131="◯",各種設定金額!$H$3,各種設定金額!$H$2)),IF(C131="2️⃣",IF(G131="◯",各種設定金額!$I$3,各種設定金額!$I$2),0)))</f>
        <v>0</v>
      </c>
      <c r="L131" s="35">
        <f>IF(OR(C131="✔",C131="2️⃣"),各種設定金額!$M$2,0)</f>
        <v>0</v>
      </c>
      <c r="M131" s="35">
        <f>IF(INDEX(Sheet1!$CF:$CF,ROWS($A$2:$A131)+1)&lt;&gt;"",0,IF(E131="✔",IF(H131="◯",IF(G131="◯",各種設定金額!$J$4,各種設定金額!$J$5),IF(G131="◯",各種設定金額!$J$3,各種設定金額!$J$2)),0))</f>
        <v>0</v>
      </c>
      <c r="N131" s="35">
        <f>IF(E131="✔",各種設定金額!$M$2,0)</f>
        <v>0</v>
      </c>
      <c r="O131" s="35">
        <f>IF(INDEX(Sheet1!$CF:$CF,ROWS($A$2:$A131)+1)&lt;&gt;"",0,IF(F131="✔",IF(H131="◯",IF(G131="◯",各種設定金額!$K$4,各種設定金額!$K$5),IF(G131="◯",各種設定金額!$K$3,各種設定金額!$K$2)),0))</f>
        <v>0</v>
      </c>
      <c r="P131" s="35">
        <f>IF(F131="✔",各種設定金額!$M$2,0)</f>
        <v>0</v>
      </c>
      <c r="Q131" s="35">
        <f>IF(B131&lt;&gt;"",各種設定金額!$D$2,0)</f>
        <v>0</v>
      </c>
      <c r="R131" s="84"/>
      <c r="S131" s="35">
        <f>IF(D131="A",各種設定金額!$P$2,IF(D131="B",各種設定金額!$P$3,IF(D131="C",各種設定金額!$P$4,0)))</f>
        <v>0</v>
      </c>
      <c r="T131" s="35">
        <f>IF(E131="✔",各種設定金額!$Q$2,0)</f>
        <v>0</v>
      </c>
      <c r="U131" s="35">
        <f t="shared" si="2"/>
        <v>0</v>
      </c>
    </row>
    <row r="132" spans="1:21" ht="20.100000000000001" customHeight="1" x14ac:dyDescent="0.15">
      <c r="A132" s="31" t="str">
        <f>IF(B132="","",IF(SUBTOTAL(103,B132)=0,"",SUBTOTAL(103,$B$2:B132)))</f>
        <v/>
      </c>
      <c r="B132" s="31" t="str">
        <f>INDEX(Sheet1!$B:$B,ROWS($A$2:$A132)+1)&amp;""</f>
        <v/>
      </c>
      <c r="C132" s="82"/>
      <c r="D132" s="82"/>
      <c r="E132" s="82"/>
      <c r="F132" s="82"/>
      <c r="G132" s="82"/>
      <c r="H132" s="82"/>
      <c r="I132" s="35" t="str">
        <f>IF(OR(C132="✔",AND(C132="",D132&lt;&gt;"")),各種設定金額!$B$2,IF(C132="2️⃣",各種設定金額!$B$3,IF(AND(C132="",E132="✔"),各種設定金額!$B$4,IF(AND(C132="",E132="",F132="✔"),各種設定金額!$B$5,""))))</f>
        <v/>
      </c>
      <c r="J132" s="35">
        <f>IF(B132&lt;&gt;"",各種設定金額!$C$2,0)</f>
        <v>0</v>
      </c>
      <c r="K132" s="35">
        <f>IF(INDEX(Sheet1!$CF:$CF,ROWS($A$2:$A132)+1)&lt;&gt;"",0,IF(C132="✔",IF(H132="◯",IF(G132="◯",各種設定金額!$H$4,各種設定金額!$H$5),IF(G132="◯",各種設定金額!$H$3,各種設定金額!$H$2)),IF(C132="2️⃣",IF(G132="◯",各種設定金額!$I$3,各種設定金額!$I$2),0)))</f>
        <v>0</v>
      </c>
      <c r="L132" s="35">
        <f>IF(OR(C132="✔",C132="2️⃣"),各種設定金額!$M$2,0)</f>
        <v>0</v>
      </c>
      <c r="M132" s="35">
        <f>IF(INDEX(Sheet1!$CF:$CF,ROWS($A$2:$A132)+1)&lt;&gt;"",0,IF(E132="✔",IF(H132="◯",IF(G132="◯",各種設定金額!$J$4,各種設定金額!$J$5),IF(G132="◯",各種設定金額!$J$3,各種設定金額!$J$2)),0))</f>
        <v>0</v>
      </c>
      <c r="N132" s="35">
        <f>IF(E132="✔",各種設定金額!$M$2,0)</f>
        <v>0</v>
      </c>
      <c r="O132" s="35">
        <f>IF(INDEX(Sheet1!$CF:$CF,ROWS($A$2:$A132)+1)&lt;&gt;"",0,IF(F132="✔",IF(H132="◯",IF(G132="◯",各種設定金額!$K$4,各種設定金額!$K$5),IF(G132="◯",各種設定金額!$K$3,各種設定金額!$K$2)),0))</f>
        <v>0</v>
      </c>
      <c r="P132" s="35">
        <f>IF(F132="✔",各種設定金額!$M$2,0)</f>
        <v>0</v>
      </c>
      <c r="Q132" s="35">
        <f>IF(B132&lt;&gt;"",各種設定金額!$D$2,0)</f>
        <v>0</v>
      </c>
      <c r="R132" s="84"/>
      <c r="S132" s="35">
        <f>IF(D132="A",各種設定金額!$P$2,IF(D132="B",各種設定金額!$P$3,IF(D132="C",各種設定金額!$P$4,0)))</f>
        <v>0</v>
      </c>
      <c r="T132" s="35">
        <f>IF(E132="✔",各種設定金額!$Q$2,0)</f>
        <v>0</v>
      </c>
      <c r="U132" s="35">
        <f t="shared" si="2"/>
        <v>0</v>
      </c>
    </row>
    <row r="133" spans="1:21" ht="20.100000000000001" customHeight="1" x14ac:dyDescent="0.15">
      <c r="A133" s="31" t="str">
        <f>IF(B133="","",IF(SUBTOTAL(103,B133)=0,"",SUBTOTAL(103,$B$2:B133)))</f>
        <v/>
      </c>
      <c r="B133" s="31" t="str">
        <f>INDEX(Sheet1!$B:$B,ROWS($A$2:$A133)+1)&amp;""</f>
        <v/>
      </c>
      <c r="C133" s="82"/>
      <c r="D133" s="82"/>
      <c r="E133" s="82"/>
      <c r="F133" s="82"/>
      <c r="G133" s="82"/>
      <c r="H133" s="82"/>
      <c r="I133" s="35" t="str">
        <f>IF(OR(C133="✔",AND(C133="",D133&lt;&gt;"")),各種設定金額!$B$2,IF(C133="2️⃣",各種設定金額!$B$3,IF(AND(C133="",E133="✔"),各種設定金額!$B$4,IF(AND(C133="",E133="",F133="✔"),各種設定金額!$B$5,""))))</f>
        <v/>
      </c>
      <c r="J133" s="35">
        <f>IF(B133&lt;&gt;"",各種設定金額!$C$2,0)</f>
        <v>0</v>
      </c>
      <c r="K133" s="35">
        <f>IF(INDEX(Sheet1!$CF:$CF,ROWS($A$2:$A133)+1)&lt;&gt;"",0,IF(C133="✔",IF(H133="◯",IF(G133="◯",各種設定金額!$H$4,各種設定金額!$H$5),IF(G133="◯",各種設定金額!$H$3,各種設定金額!$H$2)),IF(C133="2️⃣",IF(G133="◯",各種設定金額!$I$3,各種設定金額!$I$2),0)))</f>
        <v>0</v>
      </c>
      <c r="L133" s="35">
        <f>IF(OR(C133="✔",C133="2️⃣"),各種設定金額!$M$2,0)</f>
        <v>0</v>
      </c>
      <c r="M133" s="35">
        <f>IF(INDEX(Sheet1!$CF:$CF,ROWS($A$2:$A133)+1)&lt;&gt;"",0,IF(E133="✔",IF(H133="◯",IF(G133="◯",各種設定金額!$J$4,各種設定金額!$J$5),IF(G133="◯",各種設定金額!$J$3,各種設定金額!$J$2)),0))</f>
        <v>0</v>
      </c>
      <c r="N133" s="35">
        <f>IF(E133="✔",各種設定金額!$M$2,0)</f>
        <v>0</v>
      </c>
      <c r="O133" s="35">
        <f>IF(INDEX(Sheet1!$CF:$CF,ROWS($A$2:$A133)+1)&lt;&gt;"",0,IF(F133="✔",IF(H133="◯",IF(G133="◯",各種設定金額!$K$4,各種設定金額!$K$5),IF(G133="◯",各種設定金額!$K$3,各種設定金額!$K$2)),0))</f>
        <v>0</v>
      </c>
      <c r="P133" s="35">
        <f>IF(F133="✔",各種設定金額!$M$2,0)</f>
        <v>0</v>
      </c>
      <c r="Q133" s="35">
        <f>IF(B133&lt;&gt;"",各種設定金額!$D$2,0)</f>
        <v>0</v>
      </c>
      <c r="R133" s="84"/>
      <c r="S133" s="35">
        <f>IF(D133="A",各種設定金額!$P$2,IF(D133="B",各種設定金額!$P$3,IF(D133="C",各種設定金額!$P$4,0)))</f>
        <v>0</v>
      </c>
      <c r="T133" s="35">
        <f>IF(E133="✔",各種設定金額!$Q$2,0)</f>
        <v>0</v>
      </c>
      <c r="U133" s="35">
        <f t="shared" si="2"/>
        <v>0</v>
      </c>
    </row>
    <row r="134" spans="1:21" ht="20.100000000000001" customHeight="1" x14ac:dyDescent="0.15">
      <c r="A134" s="31" t="str">
        <f>IF(B134="","",IF(SUBTOTAL(103,B134)=0,"",SUBTOTAL(103,$B$2:B134)))</f>
        <v/>
      </c>
      <c r="B134" s="31" t="str">
        <f>INDEX(Sheet1!$B:$B,ROWS($A$2:$A134)+1)&amp;""</f>
        <v/>
      </c>
      <c r="C134" s="82"/>
      <c r="D134" s="82"/>
      <c r="E134" s="82"/>
      <c r="F134" s="82"/>
      <c r="G134" s="82"/>
      <c r="H134" s="82"/>
      <c r="I134" s="35" t="str">
        <f>IF(OR(C134="✔",AND(C134="",D134&lt;&gt;"")),各種設定金額!$B$2,IF(C134="2️⃣",各種設定金額!$B$3,IF(AND(C134="",E134="✔"),各種設定金額!$B$4,IF(AND(C134="",E134="",F134="✔"),各種設定金額!$B$5,""))))</f>
        <v/>
      </c>
      <c r="J134" s="35">
        <f>IF(B134&lt;&gt;"",各種設定金額!$C$2,0)</f>
        <v>0</v>
      </c>
      <c r="K134" s="35">
        <f>IF(INDEX(Sheet1!$CF:$CF,ROWS($A$2:$A134)+1)&lt;&gt;"",0,IF(C134="✔",IF(H134="◯",IF(G134="◯",各種設定金額!$H$4,各種設定金額!$H$5),IF(G134="◯",各種設定金額!$H$3,各種設定金額!$H$2)),IF(C134="2️⃣",IF(G134="◯",各種設定金額!$I$3,各種設定金額!$I$2),0)))</f>
        <v>0</v>
      </c>
      <c r="L134" s="35">
        <f>IF(OR(C134="✔",C134="2️⃣"),各種設定金額!$M$2,0)</f>
        <v>0</v>
      </c>
      <c r="M134" s="35">
        <f>IF(INDEX(Sheet1!$CF:$CF,ROWS($A$2:$A134)+1)&lt;&gt;"",0,IF(E134="✔",IF(H134="◯",IF(G134="◯",各種設定金額!$J$4,各種設定金額!$J$5),IF(G134="◯",各種設定金額!$J$3,各種設定金額!$J$2)),0))</f>
        <v>0</v>
      </c>
      <c r="N134" s="35">
        <f>IF(E134="✔",各種設定金額!$M$2,0)</f>
        <v>0</v>
      </c>
      <c r="O134" s="35">
        <f>IF(INDEX(Sheet1!$CF:$CF,ROWS($A$2:$A134)+1)&lt;&gt;"",0,IF(F134="✔",IF(H134="◯",IF(G134="◯",各種設定金額!$K$4,各種設定金額!$K$5),IF(G134="◯",各種設定金額!$K$3,各種設定金額!$K$2)),0))</f>
        <v>0</v>
      </c>
      <c r="P134" s="35">
        <f>IF(F134="✔",各種設定金額!$M$2,0)</f>
        <v>0</v>
      </c>
      <c r="Q134" s="35">
        <f>IF(B134&lt;&gt;"",各種設定金額!$D$2,0)</f>
        <v>0</v>
      </c>
      <c r="R134" s="84"/>
      <c r="S134" s="35">
        <f>IF(D134="A",各種設定金額!$P$2,IF(D134="B",各種設定金額!$P$3,IF(D134="C",各種設定金額!$P$4,0)))</f>
        <v>0</v>
      </c>
      <c r="T134" s="35">
        <f>IF(E134="✔",各種設定金額!$Q$2,0)</f>
        <v>0</v>
      </c>
      <c r="U134" s="35">
        <f t="shared" si="2"/>
        <v>0</v>
      </c>
    </row>
    <row r="135" spans="1:21" ht="20.100000000000001" customHeight="1" x14ac:dyDescent="0.15">
      <c r="A135" s="31" t="str">
        <f>IF(B135="","",IF(SUBTOTAL(103,B135)=0,"",SUBTOTAL(103,$B$2:B135)))</f>
        <v/>
      </c>
      <c r="B135" s="31" t="str">
        <f>INDEX(Sheet1!$B:$B,ROWS($A$2:$A135)+1)&amp;""</f>
        <v/>
      </c>
      <c r="C135" s="82"/>
      <c r="D135" s="82"/>
      <c r="E135" s="82"/>
      <c r="F135" s="82"/>
      <c r="G135" s="82"/>
      <c r="H135" s="82"/>
      <c r="I135" s="35" t="str">
        <f>IF(OR(C135="✔",AND(C135="",D135&lt;&gt;"")),各種設定金額!$B$2,IF(C135="2️⃣",各種設定金額!$B$3,IF(AND(C135="",E135="✔"),各種設定金額!$B$4,IF(AND(C135="",E135="",F135="✔"),各種設定金額!$B$5,""))))</f>
        <v/>
      </c>
      <c r="J135" s="35">
        <f>IF(B135&lt;&gt;"",各種設定金額!$C$2,0)</f>
        <v>0</v>
      </c>
      <c r="K135" s="35">
        <f>IF(INDEX(Sheet1!$CF:$CF,ROWS($A$2:$A135)+1)&lt;&gt;"",0,IF(C135="✔",IF(H135="◯",IF(G135="◯",各種設定金額!$H$4,各種設定金額!$H$5),IF(G135="◯",各種設定金額!$H$3,各種設定金額!$H$2)),IF(C135="2️⃣",IF(G135="◯",各種設定金額!$I$3,各種設定金額!$I$2),0)))</f>
        <v>0</v>
      </c>
      <c r="L135" s="35">
        <f>IF(OR(C135="✔",C135="2️⃣"),各種設定金額!$M$2,0)</f>
        <v>0</v>
      </c>
      <c r="M135" s="35">
        <f>IF(INDEX(Sheet1!$CF:$CF,ROWS($A$2:$A135)+1)&lt;&gt;"",0,IF(E135="✔",IF(H135="◯",IF(G135="◯",各種設定金額!$J$4,各種設定金額!$J$5),IF(G135="◯",各種設定金額!$J$3,各種設定金額!$J$2)),0))</f>
        <v>0</v>
      </c>
      <c r="N135" s="35">
        <f>IF(E135="✔",各種設定金額!$M$2,0)</f>
        <v>0</v>
      </c>
      <c r="O135" s="35">
        <f>IF(INDEX(Sheet1!$CF:$CF,ROWS($A$2:$A135)+1)&lt;&gt;"",0,IF(F135="✔",IF(H135="◯",IF(G135="◯",各種設定金額!$K$4,各種設定金額!$K$5),IF(G135="◯",各種設定金額!$K$3,各種設定金額!$K$2)),0))</f>
        <v>0</v>
      </c>
      <c r="P135" s="35">
        <f>IF(F135="✔",各種設定金額!$M$2,0)</f>
        <v>0</v>
      </c>
      <c r="Q135" s="35">
        <f>IF(B135&lt;&gt;"",各種設定金額!$D$2,0)</f>
        <v>0</v>
      </c>
      <c r="R135" s="84"/>
      <c r="S135" s="35">
        <f>IF(D135="A",各種設定金額!$P$2,IF(D135="B",各種設定金額!$P$3,IF(D135="C",各種設定金額!$P$4,0)))</f>
        <v>0</v>
      </c>
      <c r="T135" s="35">
        <f>IF(E135="✔",各種設定金額!$Q$2,0)</f>
        <v>0</v>
      </c>
      <c r="U135" s="35">
        <f t="shared" si="2"/>
        <v>0</v>
      </c>
    </row>
    <row r="136" spans="1:21" ht="20.100000000000001" customHeight="1" x14ac:dyDescent="0.15">
      <c r="A136" s="31" t="str">
        <f>IF(B136="","",IF(SUBTOTAL(103,B136)=0,"",SUBTOTAL(103,$B$2:B136)))</f>
        <v/>
      </c>
      <c r="B136" s="31" t="str">
        <f>INDEX(Sheet1!$B:$B,ROWS($A$2:$A136)+1)&amp;""</f>
        <v/>
      </c>
      <c r="C136" s="82"/>
      <c r="D136" s="82"/>
      <c r="E136" s="82"/>
      <c r="F136" s="82"/>
      <c r="G136" s="82"/>
      <c r="H136" s="82"/>
      <c r="I136" s="35" t="str">
        <f>IF(OR(C136="✔",AND(C136="",D136&lt;&gt;"")),各種設定金額!$B$2,IF(C136="2️⃣",各種設定金額!$B$3,IF(AND(C136="",E136="✔"),各種設定金額!$B$4,IF(AND(C136="",E136="",F136="✔"),各種設定金額!$B$5,""))))</f>
        <v/>
      </c>
      <c r="J136" s="35">
        <f>IF(B136&lt;&gt;"",各種設定金額!$C$2,0)</f>
        <v>0</v>
      </c>
      <c r="K136" s="35">
        <f>IF(INDEX(Sheet1!$CF:$CF,ROWS($A$2:$A136)+1)&lt;&gt;"",0,IF(C136="✔",IF(H136="◯",IF(G136="◯",各種設定金額!$H$4,各種設定金額!$H$5),IF(G136="◯",各種設定金額!$H$3,各種設定金額!$H$2)),IF(C136="2️⃣",IF(G136="◯",各種設定金額!$I$3,各種設定金額!$I$2),0)))</f>
        <v>0</v>
      </c>
      <c r="L136" s="35">
        <f>IF(OR(C136="✔",C136="2️⃣"),各種設定金額!$M$2,0)</f>
        <v>0</v>
      </c>
      <c r="M136" s="35">
        <f>IF(INDEX(Sheet1!$CF:$CF,ROWS($A$2:$A136)+1)&lt;&gt;"",0,IF(E136="✔",IF(H136="◯",IF(G136="◯",各種設定金額!$J$4,各種設定金額!$J$5),IF(G136="◯",各種設定金額!$J$3,各種設定金額!$J$2)),0))</f>
        <v>0</v>
      </c>
      <c r="N136" s="35">
        <f>IF(E136="✔",各種設定金額!$M$2,0)</f>
        <v>0</v>
      </c>
      <c r="O136" s="35">
        <f>IF(INDEX(Sheet1!$CF:$CF,ROWS($A$2:$A136)+1)&lt;&gt;"",0,IF(F136="✔",IF(H136="◯",IF(G136="◯",各種設定金額!$K$4,各種設定金額!$K$5),IF(G136="◯",各種設定金額!$K$3,各種設定金額!$K$2)),0))</f>
        <v>0</v>
      </c>
      <c r="P136" s="35">
        <f>IF(F136="✔",各種設定金額!$M$2,0)</f>
        <v>0</v>
      </c>
      <c r="Q136" s="35">
        <f>IF(B136&lt;&gt;"",各種設定金額!$D$2,0)</f>
        <v>0</v>
      </c>
      <c r="R136" s="84"/>
      <c r="S136" s="35">
        <f>IF(D136="A",各種設定金額!$P$2,IF(D136="B",各種設定金額!$P$3,IF(D136="C",各種設定金額!$P$4,0)))</f>
        <v>0</v>
      </c>
      <c r="T136" s="35">
        <f>IF(E136="✔",各種設定金額!$Q$2,0)</f>
        <v>0</v>
      </c>
      <c r="U136" s="35">
        <f t="shared" si="2"/>
        <v>0</v>
      </c>
    </row>
    <row r="137" spans="1:21" ht="20.100000000000001" customHeight="1" x14ac:dyDescent="0.15">
      <c r="A137" s="31" t="str">
        <f>IF(B137="","",IF(SUBTOTAL(103,B137)=0,"",SUBTOTAL(103,$B$2:B137)))</f>
        <v/>
      </c>
      <c r="B137" s="31" t="str">
        <f>INDEX(Sheet1!$B:$B,ROWS($A$2:$A137)+1)&amp;""</f>
        <v/>
      </c>
      <c r="C137" s="82"/>
      <c r="D137" s="82"/>
      <c r="E137" s="82"/>
      <c r="F137" s="82"/>
      <c r="G137" s="82"/>
      <c r="H137" s="82"/>
      <c r="I137" s="35" t="str">
        <f>IF(OR(C137="✔",AND(C137="",D137&lt;&gt;"")),各種設定金額!$B$2,IF(C137="2️⃣",各種設定金額!$B$3,IF(AND(C137="",E137="✔"),各種設定金額!$B$4,IF(AND(C137="",E137="",F137="✔"),各種設定金額!$B$5,""))))</f>
        <v/>
      </c>
      <c r="J137" s="35">
        <f>IF(B137&lt;&gt;"",各種設定金額!$C$2,0)</f>
        <v>0</v>
      </c>
      <c r="K137" s="35">
        <f>IF(INDEX(Sheet1!$CF:$CF,ROWS($A$2:$A137)+1)&lt;&gt;"",0,IF(C137="✔",IF(H137="◯",IF(G137="◯",各種設定金額!$H$4,各種設定金額!$H$5),IF(G137="◯",各種設定金額!$H$3,各種設定金額!$H$2)),IF(C137="2️⃣",IF(G137="◯",各種設定金額!$I$3,各種設定金額!$I$2),0)))</f>
        <v>0</v>
      </c>
      <c r="L137" s="35">
        <f>IF(OR(C137="✔",C137="2️⃣"),各種設定金額!$M$2,0)</f>
        <v>0</v>
      </c>
      <c r="M137" s="35">
        <f>IF(INDEX(Sheet1!$CF:$CF,ROWS($A$2:$A137)+1)&lt;&gt;"",0,IF(E137="✔",IF(H137="◯",IF(G137="◯",各種設定金額!$J$4,各種設定金額!$J$5),IF(G137="◯",各種設定金額!$J$3,各種設定金額!$J$2)),0))</f>
        <v>0</v>
      </c>
      <c r="N137" s="35">
        <f>IF(E137="✔",各種設定金額!$M$2,0)</f>
        <v>0</v>
      </c>
      <c r="O137" s="35">
        <f>IF(INDEX(Sheet1!$CF:$CF,ROWS($A$2:$A137)+1)&lt;&gt;"",0,IF(F137="✔",IF(H137="◯",IF(G137="◯",各種設定金額!$K$4,各種設定金額!$K$5),IF(G137="◯",各種設定金額!$K$3,各種設定金額!$K$2)),0))</f>
        <v>0</v>
      </c>
      <c r="P137" s="35">
        <f>IF(F137="✔",各種設定金額!$M$2,0)</f>
        <v>0</v>
      </c>
      <c r="Q137" s="35">
        <f>IF(B137&lt;&gt;"",各種設定金額!$D$2,0)</f>
        <v>0</v>
      </c>
      <c r="R137" s="84"/>
      <c r="S137" s="35">
        <f>IF(D137="A",各種設定金額!$P$2,IF(D137="B",各種設定金額!$P$3,IF(D137="C",各種設定金額!$P$4,0)))</f>
        <v>0</v>
      </c>
      <c r="T137" s="35">
        <f>IF(E137="✔",各種設定金額!$Q$2,0)</f>
        <v>0</v>
      </c>
      <c r="U137" s="35">
        <f t="shared" si="2"/>
        <v>0</v>
      </c>
    </row>
    <row r="138" spans="1:21" ht="20.100000000000001" customHeight="1" x14ac:dyDescent="0.15">
      <c r="A138" s="31" t="str">
        <f>IF(B138="","",IF(SUBTOTAL(103,B138)=0,"",SUBTOTAL(103,$B$2:B138)))</f>
        <v/>
      </c>
      <c r="B138" s="31" t="str">
        <f>INDEX(Sheet1!$B:$B,ROWS($A$2:$A138)+1)&amp;""</f>
        <v/>
      </c>
      <c r="C138" s="82"/>
      <c r="D138" s="82"/>
      <c r="E138" s="82"/>
      <c r="F138" s="82"/>
      <c r="G138" s="82"/>
      <c r="H138" s="82"/>
      <c r="I138" s="35" t="str">
        <f>IF(OR(C138="✔",AND(C138="",D138&lt;&gt;"")),各種設定金額!$B$2,IF(C138="2️⃣",各種設定金額!$B$3,IF(AND(C138="",E138="✔"),各種設定金額!$B$4,IF(AND(C138="",E138="",F138="✔"),各種設定金額!$B$5,""))))</f>
        <v/>
      </c>
      <c r="J138" s="35">
        <f>IF(B138&lt;&gt;"",各種設定金額!$C$2,0)</f>
        <v>0</v>
      </c>
      <c r="K138" s="35">
        <f>IF(INDEX(Sheet1!$CF:$CF,ROWS($A$2:$A138)+1)&lt;&gt;"",0,IF(C138="✔",IF(H138="◯",IF(G138="◯",各種設定金額!$H$4,各種設定金額!$H$5),IF(G138="◯",各種設定金額!$H$3,各種設定金額!$H$2)),IF(C138="2️⃣",IF(G138="◯",各種設定金額!$I$3,各種設定金額!$I$2),0)))</f>
        <v>0</v>
      </c>
      <c r="L138" s="35">
        <f>IF(OR(C138="✔",C138="2️⃣"),各種設定金額!$M$2,0)</f>
        <v>0</v>
      </c>
      <c r="M138" s="35">
        <f>IF(INDEX(Sheet1!$CF:$CF,ROWS($A$2:$A138)+1)&lt;&gt;"",0,IF(E138="✔",IF(H138="◯",IF(G138="◯",各種設定金額!$J$4,各種設定金額!$J$5),IF(G138="◯",各種設定金額!$J$3,各種設定金額!$J$2)),0))</f>
        <v>0</v>
      </c>
      <c r="N138" s="35">
        <f>IF(E138="✔",各種設定金額!$M$2,0)</f>
        <v>0</v>
      </c>
      <c r="O138" s="35">
        <f>IF(INDEX(Sheet1!$CF:$CF,ROWS($A$2:$A138)+1)&lt;&gt;"",0,IF(F138="✔",IF(H138="◯",IF(G138="◯",各種設定金額!$K$4,各種設定金額!$K$5),IF(G138="◯",各種設定金額!$K$3,各種設定金額!$K$2)),0))</f>
        <v>0</v>
      </c>
      <c r="P138" s="35">
        <f>IF(F138="✔",各種設定金額!$M$2,0)</f>
        <v>0</v>
      </c>
      <c r="Q138" s="35">
        <f>IF(B138&lt;&gt;"",各種設定金額!$D$2,0)</f>
        <v>0</v>
      </c>
      <c r="R138" s="84"/>
      <c r="S138" s="35">
        <f>IF(D138="A",各種設定金額!$P$2,IF(D138="B",各種設定金額!$P$3,IF(D138="C",各種設定金額!$P$4,0)))</f>
        <v>0</v>
      </c>
      <c r="T138" s="35">
        <f>IF(E138="✔",各種設定金額!$Q$2,0)</f>
        <v>0</v>
      </c>
      <c r="U138" s="35">
        <f t="shared" si="2"/>
        <v>0</v>
      </c>
    </row>
    <row r="139" spans="1:21" ht="20.100000000000001" customHeight="1" x14ac:dyDescent="0.15">
      <c r="A139" s="31" t="str">
        <f>IF(B139="","",IF(SUBTOTAL(103,B139)=0,"",SUBTOTAL(103,$B$2:B139)))</f>
        <v/>
      </c>
      <c r="B139" s="31" t="str">
        <f>INDEX(Sheet1!$B:$B,ROWS($A$2:$A139)+1)&amp;""</f>
        <v/>
      </c>
      <c r="C139" s="82"/>
      <c r="D139" s="82"/>
      <c r="E139" s="82"/>
      <c r="F139" s="82"/>
      <c r="G139" s="82"/>
      <c r="H139" s="82"/>
      <c r="I139" s="35" t="str">
        <f>IF(OR(C139="✔",AND(C139="",D139&lt;&gt;"")),各種設定金額!$B$2,IF(C139="2️⃣",各種設定金額!$B$3,IF(AND(C139="",E139="✔"),各種設定金額!$B$4,IF(AND(C139="",E139="",F139="✔"),各種設定金額!$B$5,""))))</f>
        <v/>
      </c>
      <c r="J139" s="35">
        <f>IF(B139&lt;&gt;"",各種設定金額!$C$2,0)</f>
        <v>0</v>
      </c>
      <c r="K139" s="35">
        <f>IF(INDEX(Sheet1!$CF:$CF,ROWS($A$2:$A139)+1)&lt;&gt;"",0,IF(C139="✔",IF(H139="◯",IF(G139="◯",各種設定金額!$H$4,各種設定金額!$H$5),IF(G139="◯",各種設定金額!$H$3,各種設定金額!$H$2)),IF(C139="2️⃣",IF(G139="◯",各種設定金額!$I$3,各種設定金額!$I$2),0)))</f>
        <v>0</v>
      </c>
      <c r="L139" s="35">
        <f>IF(OR(C139="✔",C139="2️⃣"),各種設定金額!$M$2,0)</f>
        <v>0</v>
      </c>
      <c r="M139" s="35">
        <f>IF(INDEX(Sheet1!$CF:$CF,ROWS($A$2:$A139)+1)&lt;&gt;"",0,IF(E139="✔",IF(H139="◯",IF(G139="◯",各種設定金額!$J$4,各種設定金額!$J$5),IF(G139="◯",各種設定金額!$J$3,各種設定金額!$J$2)),0))</f>
        <v>0</v>
      </c>
      <c r="N139" s="35">
        <f>IF(E139="✔",各種設定金額!$M$2,0)</f>
        <v>0</v>
      </c>
      <c r="O139" s="35">
        <f>IF(INDEX(Sheet1!$CF:$CF,ROWS($A$2:$A139)+1)&lt;&gt;"",0,IF(F139="✔",IF(H139="◯",IF(G139="◯",各種設定金額!$K$4,各種設定金額!$K$5),IF(G139="◯",各種設定金額!$K$3,各種設定金額!$K$2)),0))</f>
        <v>0</v>
      </c>
      <c r="P139" s="35">
        <f>IF(F139="✔",各種設定金額!$M$2,0)</f>
        <v>0</v>
      </c>
      <c r="Q139" s="35">
        <f>IF(B139&lt;&gt;"",各種設定金額!$D$2,0)</f>
        <v>0</v>
      </c>
      <c r="R139" s="84"/>
      <c r="S139" s="35">
        <f>IF(D139="A",各種設定金額!$P$2,IF(D139="B",各種設定金額!$P$3,IF(D139="C",各種設定金額!$P$4,0)))</f>
        <v>0</v>
      </c>
      <c r="T139" s="35">
        <f>IF(E139="✔",各種設定金額!$Q$2,0)</f>
        <v>0</v>
      </c>
      <c r="U139" s="35">
        <f t="shared" si="2"/>
        <v>0</v>
      </c>
    </row>
    <row r="140" spans="1:21" ht="20.100000000000001" customHeight="1" x14ac:dyDescent="0.15">
      <c r="A140" s="31" t="str">
        <f>IF(B140="","",IF(SUBTOTAL(103,B140)=0,"",SUBTOTAL(103,$B$2:B140)))</f>
        <v/>
      </c>
      <c r="B140" s="31" t="str">
        <f>INDEX(Sheet1!$B:$B,ROWS($A$2:$A140)+1)&amp;""</f>
        <v/>
      </c>
      <c r="C140" s="82"/>
      <c r="D140" s="82"/>
      <c r="E140" s="82"/>
      <c r="F140" s="82"/>
      <c r="G140" s="82"/>
      <c r="H140" s="82"/>
      <c r="I140" s="35" t="str">
        <f>IF(OR(C140="✔",AND(C140="",D140&lt;&gt;"")),各種設定金額!$B$2,IF(C140="2️⃣",各種設定金額!$B$3,IF(AND(C140="",E140="✔"),各種設定金額!$B$4,IF(AND(C140="",E140="",F140="✔"),各種設定金額!$B$5,""))))</f>
        <v/>
      </c>
      <c r="J140" s="35">
        <f>IF(B140&lt;&gt;"",各種設定金額!$C$2,0)</f>
        <v>0</v>
      </c>
      <c r="K140" s="35">
        <f>IF(INDEX(Sheet1!$CF:$CF,ROWS($A$2:$A140)+1)&lt;&gt;"",0,IF(C140="✔",IF(H140="◯",IF(G140="◯",各種設定金額!$H$4,各種設定金額!$H$5),IF(G140="◯",各種設定金額!$H$3,各種設定金額!$H$2)),IF(C140="2️⃣",IF(G140="◯",各種設定金額!$I$3,各種設定金額!$I$2),0)))</f>
        <v>0</v>
      </c>
      <c r="L140" s="35">
        <f>IF(OR(C140="✔",C140="2️⃣"),各種設定金額!$M$2,0)</f>
        <v>0</v>
      </c>
      <c r="M140" s="35">
        <f>IF(INDEX(Sheet1!$CF:$CF,ROWS($A$2:$A140)+1)&lt;&gt;"",0,IF(E140="✔",IF(H140="◯",IF(G140="◯",各種設定金額!$J$4,各種設定金額!$J$5),IF(G140="◯",各種設定金額!$J$3,各種設定金額!$J$2)),0))</f>
        <v>0</v>
      </c>
      <c r="N140" s="35">
        <f>IF(E140="✔",各種設定金額!$M$2,0)</f>
        <v>0</v>
      </c>
      <c r="O140" s="35">
        <f>IF(INDEX(Sheet1!$CF:$CF,ROWS($A$2:$A140)+1)&lt;&gt;"",0,IF(F140="✔",IF(H140="◯",IF(G140="◯",各種設定金額!$K$4,各種設定金額!$K$5),IF(G140="◯",各種設定金額!$K$3,各種設定金額!$K$2)),0))</f>
        <v>0</v>
      </c>
      <c r="P140" s="35">
        <f>IF(F140="✔",各種設定金額!$M$2,0)</f>
        <v>0</v>
      </c>
      <c r="Q140" s="35">
        <f>IF(B140&lt;&gt;"",各種設定金額!$D$2,0)</f>
        <v>0</v>
      </c>
      <c r="R140" s="84"/>
      <c r="S140" s="35">
        <f>IF(D140="A",各種設定金額!$P$2,IF(D140="B",各種設定金額!$P$3,IF(D140="C",各種設定金額!$P$4,0)))</f>
        <v>0</v>
      </c>
      <c r="T140" s="35">
        <f>IF(E140="✔",各種設定金額!$Q$2,0)</f>
        <v>0</v>
      </c>
      <c r="U140" s="35">
        <f t="shared" si="2"/>
        <v>0</v>
      </c>
    </row>
    <row r="141" spans="1:21" ht="20.100000000000001" customHeight="1" x14ac:dyDescent="0.15">
      <c r="A141" s="31" t="str">
        <f>IF(B141="","",IF(SUBTOTAL(103,B141)=0,"",SUBTOTAL(103,$B$2:B141)))</f>
        <v/>
      </c>
      <c r="B141" s="31" t="str">
        <f>INDEX(Sheet1!$B:$B,ROWS($A$2:$A141)+1)&amp;""</f>
        <v/>
      </c>
      <c r="C141" s="82"/>
      <c r="D141" s="82"/>
      <c r="E141" s="82"/>
      <c r="F141" s="82"/>
      <c r="G141" s="82"/>
      <c r="H141" s="82"/>
      <c r="I141" s="35" t="str">
        <f>IF(OR(C141="✔",AND(C141="",D141&lt;&gt;"")),各種設定金額!$B$2,IF(C141="2️⃣",各種設定金額!$B$3,IF(AND(C141="",E141="✔"),各種設定金額!$B$4,IF(AND(C141="",E141="",F141="✔"),各種設定金額!$B$5,""))))</f>
        <v/>
      </c>
      <c r="J141" s="35">
        <f>IF(B141&lt;&gt;"",各種設定金額!$C$2,0)</f>
        <v>0</v>
      </c>
      <c r="K141" s="35">
        <f>IF(INDEX(Sheet1!$CF:$CF,ROWS($A$2:$A141)+1)&lt;&gt;"",0,IF(C141="✔",IF(H141="◯",IF(G141="◯",各種設定金額!$H$4,各種設定金額!$H$5),IF(G141="◯",各種設定金額!$H$3,各種設定金額!$H$2)),IF(C141="2️⃣",IF(G141="◯",各種設定金額!$I$3,各種設定金額!$I$2),0)))</f>
        <v>0</v>
      </c>
      <c r="L141" s="35">
        <f>IF(OR(C141="✔",C141="2️⃣"),各種設定金額!$M$2,0)</f>
        <v>0</v>
      </c>
      <c r="M141" s="35">
        <f>IF(INDEX(Sheet1!$CF:$CF,ROWS($A$2:$A141)+1)&lt;&gt;"",0,IF(E141="✔",IF(H141="◯",IF(G141="◯",各種設定金額!$J$4,各種設定金額!$J$5),IF(G141="◯",各種設定金額!$J$3,各種設定金額!$J$2)),0))</f>
        <v>0</v>
      </c>
      <c r="N141" s="35">
        <f>IF(E141="✔",各種設定金額!$M$2,0)</f>
        <v>0</v>
      </c>
      <c r="O141" s="35">
        <f>IF(INDEX(Sheet1!$CF:$CF,ROWS($A$2:$A141)+1)&lt;&gt;"",0,IF(F141="✔",IF(H141="◯",IF(G141="◯",各種設定金額!$K$4,各種設定金額!$K$5),IF(G141="◯",各種設定金額!$K$3,各種設定金額!$K$2)),0))</f>
        <v>0</v>
      </c>
      <c r="P141" s="35">
        <f>IF(F141="✔",各種設定金額!$M$2,0)</f>
        <v>0</v>
      </c>
      <c r="Q141" s="35">
        <f>IF(B141&lt;&gt;"",各種設定金額!$D$2,0)</f>
        <v>0</v>
      </c>
      <c r="R141" s="84"/>
      <c r="S141" s="35">
        <f>IF(D141="A",各種設定金額!$P$2,IF(D141="B",各種設定金額!$P$3,IF(D141="C",各種設定金額!$P$4,0)))</f>
        <v>0</v>
      </c>
      <c r="T141" s="35">
        <f>IF(E141="✔",各種設定金額!$Q$2,0)</f>
        <v>0</v>
      </c>
      <c r="U141" s="35">
        <f t="shared" si="2"/>
        <v>0</v>
      </c>
    </row>
    <row r="142" spans="1:21" ht="20.100000000000001" customHeight="1" x14ac:dyDescent="0.15">
      <c r="A142" s="31" t="str">
        <f>IF(B142="","",IF(SUBTOTAL(103,B142)=0,"",SUBTOTAL(103,$B$2:B142)))</f>
        <v/>
      </c>
      <c r="B142" s="31" t="str">
        <f>INDEX(Sheet1!$B:$B,ROWS($A$2:$A142)+1)&amp;""</f>
        <v/>
      </c>
      <c r="C142" s="82"/>
      <c r="D142" s="82"/>
      <c r="E142" s="82"/>
      <c r="F142" s="82"/>
      <c r="G142" s="82"/>
      <c r="H142" s="82"/>
      <c r="I142" s="35" t="str">
        <f>IF(OR(C142="✔",AND(C142="",D142&lt;&gt;"")),各種設定金額!$B$2,IF(C142="2️⃣",各種設定金額!$B$3,IF(AND(C142="",E142="✔"),各種設定金額!$B$4,IF(AND(C142="",E142="",F142="✔"),各種設定金額!$B$5,""))))</f>
        <v/>
      </c>
      <c r="J142" s="35">
        <f>IF(B142&lt;&gt;"",各種設定金額!$C$2,0)</f>
        <v>0</v>
      </c>
      <c r="K142" s="35">
        <f>IF(INDEX(Sheet1!$CF:$CF,ROWS($A$2:$A142)+1)&lt;&gt;"",0,IF(C142="✔",IF(H142="◯",IF(G142="◯",各種設定金額!$H$4,各種設定金額!$H$5),IF(G142="◯",各種設定金額!$H$3,各種設定金額!$H$2)),IF(C142="2️⃣",IF(G142="◯",各種設定金額!$I$3,各種設定金額!$I$2),0)))</f>
        <v>0</v>
      </c>
      <c r="L142" s="35">
        <f>IF(OR(C142="✔",C142="2️⃣"),各種設定金額!$M$2,0)</f>
        <v>0</v>
      </c>
      <c r="M142" s="35">
        <f>IF(INDEX(Sheet1!$CF:$CF,ROWS($A$2:$A142)+1)&lt;&gt;"",0,IF(E142="✔",IF(H142="◯",IF(G142="◯",各種設定金額!$J$4,各種設定金額!$J$5),IF(G142="◯",各種設定金額!$J$3,各種設定金額!$J$2)),0))</f>
        <v>0</v>
      </c>
      <c r="N142" s="35">
        <f>IF(E142="✔",各種設定金額!$M$2,0)</f>
        <v>0</v>
      </c>
      <c r="O142" s="35">
        <f>IF(INDEX(Sheet1!$CF:$CF,ROWS($A$2:$A142)+1)&lt;&gt;"",0,IF(F142="✔",IF(H142="◯",IF(G142="◯",各種設定金額!$K$4,各種設定金額!$K$5),IF(G142="◯",各種設定金額!$K$3,各種設定金額!$K$2)),0))</f>
        <v>0</v>
      </c>
      <c r="P142" s="35">
        <f>IF(F142="✔",各種設定金額!$M$2,0)</f>
        <v>0</v>
      </c>
      <c r="Q142" s="35">
        <f>IF(B142&lt;&gt;"",各種設定金額!$D$2,0)</f>
        <v>0</v>
      </c>
      <c r="R142" s="84"/>
      <c r="S142" s="35">
        <f>IF(D142="A",各種設定金額!$P$2,IF(D142="B",各種設定金額!$P$3,IF(D142="C",各種設定金額!$P$4,0)))</f>
        <v>0</v>
      </c>
      <c r="T142" s="35">
        <f>IF(E142="✔",各種設定金額!$Q$2,0)</f>
        <v>0</v>
      </c>
      <c r="U142" s="35">
        <f t="shared" si="2"/>
        <v>0</v>
      </c>
    </row>
    <row r="143" spans="1:21" ht="20.100000000000001" customHeight="1" x14ac:dyDescent="0.15">
      <c r="A143" s="31" t="str">
        <f>IF(B143="","",IF(SUBTOTAL(103,B143)=0,"",SUBTOTAL(103,$B$2:B143)))</f>
        <v/>
      </c>
      <c r="B143" s="31" t="str">
        <f>INDEX(Sheet1!$B:$B,ROWS($A$2:$A143)+1)&amp;""</f>
        <v/>
      </c>
      <c r="C143" s="82"/>
      <c r="D143" s="82"/>
      <c r="E143" s="82"/>
      <c r="F143" s="82"/>
      <c r="G143" s="82"/>
      <c r="H143" s="82"/>
      <c r="I143" s="35" t="str">
        <f>IF(OR(C143="✔",AND(C143="",D143&lt;&gt;"")),各種設定金額!$B$2,IF(C143="2️⃣",各種設定金額!$B$3,IF(AND(C143="",E143="✔"),各種設定金額!$B$4,IF(AND(C143="",E143="",F143="✔"),各種設定金額!$B$5,""))))</f>
        <v/>
      </c>
      <c r="J143" s="35">
        <f>IF(B143&lt;&gt;"",各種設定金額!$C$2,0)</f>
        <v>0</v>
      </c>
      <c r="K143" s="35">
        <f>IF(INDEX(Sheet1!$CF:$CF,ROWS($A$2:$A143)+1)&lt;&gt;"",0,IF(C143="✔",IF(H143="◯",IF(G143="◯",各種設定金額!$H$4,各種設定金額!$H$5),IF(G143="◯",各種設定金額!$H$3,各種設定金額!$H$2)),IF(C143="2️⃣",IF(G143="◯",各種設定金額!$I$3,各種設定金額!$I$2),0)))</f>
        <v>0</v>
      </c>
      <c r="L143" s="35">
        <f>IF(OR(C143="✔",C143="2️⃣"),各種設定金額!$M$2,0)</f>
        <v>0</v>
      </c>
      <c r="M143" s="35">
        <f>IF(INDEX(Sheet1!$CF:$CF,ROWS($A$2:$A143)+1)&lt;&gt;"",0,IF(E143="✔",IF(H143="◯",IF(G143="◯",各種設定金額!$J$4,各種設定金額!$J$5),IF(G143="◯",各種設定金額!$J$3,各種設定金額!$J$2)),0))</f>
        <v>0</v>
      </c>
      <c r="N143" s="35">
        <f>IF(E143="✔",各種設定金額!$M$2,0)</f>
        <v>0</v>
      </c>
      <c r="O143" s="35">
        <f>IF(INDEX(Sheet1!$CF:$CF,ROWS($A$2:$A143)+1)&lt;&gt;"",0,IF(F143="✔",IF(H143="◯",IF(G143="◯",各種設定金額!$K$4,各種設定金額!$K$5),IF(G143="◯",各種設定金額!$K$3,各種設定金額!$K$2)),0))</f>
        <v>0</v>
      </c>
      <c r="P143" s="35">
        <f>IF(F143="✔",各種設定金額!$M$2,0)</f>
        <v>0</v>
      </c>
      <c r="Q143" s="35">
        <f>IF(B143&lt;&gt;"",各種設定金額!$D$2,0)</f>
        <v>0</v>
      </c>
      <c r="R143" s="84"/>
      <c r="S143" s="35">
        <f>IF(D143="A",各種設定金額!$P$2,IF(D143="B",各種設定金額!$P$3,IF(D143="C",各種設定金額!$P$4,0)))</f>
        <v>0</v>
      </c>
      <c r="T143" s="35">
        <f>IF(E143="✔",各種設定金額!$Q$2,0)</f>
        <v>0</v>
      </c>
      <c r="U143" s="35">
        <f t="shared" si="2"/>
        <v>0</v>
      </c>
    </row>
    <row r="144" spans="1:21" ht="20.100000000000001" customHeight="1" x14ac:dyDescent="0.15">
      <c r="A144" s="31" t="str">
        <f>IF(B144="","",IF(SUBTOTAL(103,B144)=0,"",SUBTOTAL(103,$B$2:B144)))</f>
        <v/>
      </c>
      <c r="B144" s="31" t="str">
        <f>INDEX(Sheet1!$B:$B,ROWS($A$2:$A144)+1)&amp;""</f>
        <v/>
      </c>
      <c r="C144" s="82"/>
      <c r="D144" s="82"/>
      <c r="E144" s="82"/>
      <c r="F144" s="82"/>
      <c r="G144" s="82"/>
      <c r="H144" s="82"/>
      <c r="I144" s="35" t="str">
        <f>IF(OR(C144="✔",AND(C144="",D144&lt;&gt;"")),各種設定金額!$B$2,IF(C144="2️⃣",各種設定金額!$B$3,IF(AND(C144="",E144="✔"),各種設定金額!$B$4,IF(AND(C144="",E144="",F144="✔"),各種設定金額!$B$5,""))))</f>
        <v/>
      </c>
      <c r="J144" s="35">
        <f>IF(B144&lt;&gt;"",各種設定金額!$C$2,0)</f>
        <v>0</v>
      </c>
      <c r="K144" s="35">
        <f>IF(INDEX(Sheet1!$CF:$CF,ROWS($A$2:$A144)+1)&lt;&gt;"",0,IF(C144="✔",IF(H144="◯",IF(G144="◯",各種設定金額!$H$4,各種設定金額!$H$5),IF(G144="◯",各種設定金額!$H$3,各種設定金額!$H$2)),IF(C144="2️⃣",IF(G144="◯",各種設定金額!$I$3,各種設定金額!$I$2),0)))</f>
        <v>0</v>
      </c>
      <c r="L144" s="35">
        <f>IF(OR(C144="✔",C144="2️⃣"),各種設定金額!$M$2,0)</f>
        <v>0</v>
      </c>
      <c r="M144" s="35">
        <f>IF(INDEX(Sheet1!$CF:$CF,ROWS($A$2:$A144)+1)&lt;&gt;"",0,IF(E144="✔",IF(H144="◯",IF(G144="◯",各種設定金額!$J$4,各種設定金額!$J$5),IF(G144="◯",各種設定金額!$J$3,各種設定金額!$J$2)),0))</f>
        <v>0</v>
      </c>
      <c r="N144" s="35">
        <f>IF(E144="✔",各種設定金額!$M$2,0)</f>
        <v>0</v>
      </c>
      <c r="O144" s="35">
        <f>IF(INDEX(Sheet1!$CF:$CF,ROWS($A$2:$A144)+1)&lt;&gt;"",0,IF(F144="✔",IF(H144="◯",IF(G144="◯",各種設定金額!$K$4,各種設定金額!$K$5),IF(G144="◯",各種設定金額!$K$3,各種設定金額!$K$2)),0))</f>
        <v>0</v>
      </c>
      <c r="P144" s="35">
        <f>IF(F144="✔",各種設定金額!$M$2,0)</f>
        <v>0</v>
      </c>
      <c r="Q144" s="35">
        <f>IF(B144&lt;&gt;"",各種設定金額!$D$2,0)</f>
        <v>0</v>
      </c>
      <c r="R144" s="84"/>
      <c r="S144" s="35">
        <f>IF(D144="A",各種設定金額!$P$2,IF(D144="B",各種設定金額!$P$3,IF(D144="C",各種設定金額!$P$4,0)))</f>
        <v>0</v>
      </c>
      <c r="T144" s="35">
        <f>IF(E144="✔",各種設定金額!$Q$2,0)</f>
        <v>0</v>
      </c>
      <c r="U144" s="35">
        <f t="shared" si="2"/>
        <v>0</v>
      </c>
    </row>
    <row r="145" spans="1:21" ht="20.100000000000001" customHeight="1" x14ac:dyDescent="0.15">
      <c r="A145" s="31" t="str">
        <f>IF(B145="","",IF(SUBTOTAL(103,B145)=0,"",SUBTOTAL(103,$B$2:B145)))</f>
        <v/>
      </c>
      <c r="B145" s="31" t="str">
        <f>INDEX(Sheet1!$B:$B,ROWS($A$2:$A145)+1)&amp;""</f>
        <v/>
      </c>
      <c r="C145" s="82"/>
      <c r="D145" s="82"/>
      <c r="E145" s="82"/>
      <c r="F145" s="82"/>
      <c r="G145" s="82"/>
      <c r="H145" s="82"/>
      <c r="I145" s="35" t="str">
        <f>IF(OR(C145="✔",AND(C145="",D145&lt;&gt;"")),各種設定金額!$B$2,IF(C145="2️⃣",各種設定金額!$B$3,IF(AND(C145="",E145="✔"),各種設定金額!$B$4,IF(AND(C145="",E145="",F145="✔"),各種設定金額!$B$5,""))))</f>
        <v/>
      </c>
      <c r="J145" s="35">
        <f>IF(B145&lt;&gt;"",各種設定金額!$C$2,0)</f>
        <v>0</v>
      </c>
      <c r="K145" s="35">
        <f>IF(INDEX(Sheet1!$CF:$CF,ROWS($A$2:$A145)+1)&lt;&gt;"",0,IF(C145="✔",IF(H145="◯",IF(G145="◯",各種設定金額!$H$4,各種設定金額!$H$5),IF(G145="◯",各種設定金額!$H$3,各種設定金額!$H$2)),IF(C145="2️⃣",IF(G145="◯",各種設定金額!$I$3,各種設定金額!$I$2),0)))</f>
        <v>0</v>
      </c>
      <c r="L145" s="35">
        <f>IF(OR(C145="✔",C145="2️⃣"),各種設定金額!$M$2,0)</f>
        <v>0</v>
      </c>
      <c r="M145" s="35">
        <f>IF(INDEX(Sheet1!$CF:$CF,ROWS($A$2:$A145)+1)&lt;&gt;"",0,IF(E145="✔",IF(H145="◯",IF(G145="◯",各種設定金額!$J$4,各種設定金額!$J$5),IF(G145="◯",各種設定金額!$J$3,各種設定金額!$J$2)),0))</f>
        <v>0</v>
      </c>
      <c r="N145" s="35">
        <f>IF(E145="✔",各種設定金額!$M$2,0)</f>
        <v>0</v>
      </c>
      <c r="O145" s="35">
        <f>IF(INDEX(Sheet1!$CF:$CF,ROWS($A$2:$A145)+1)&lt;&gt;"",0,IF(F145="✔",IF(H145="◯",IF(G145="◯",各種設定金額!$K$4,各種設定金額!$K$5),IF(G145="◯",各種設定金額!$K$3,各種設定金額!$K$2)),0))</f>
        <v>0</v>
      </c>
      <c r="P145" s="35">
        <f>IF(F145="✔",各種設定金額!$M$2,0)</f>
        <v>0</v>
      </c>
      <c r="Q145" s="35">
        <f>IF(B145&lt;&gt;"",各種設定金額!$D$2,0)</f>
        <v>0</v>
      </c>
      <c r="R145" s="84"/>
      <c r="S145" s="35">
        <f>IF(D145="A",各種設定金額!$P$2,IF(D145="B",各種設定金額!$P$3,IF(D145="C",各種設定金額!$P$4,0)))</f>
        <v>0</v>
      </c>
      <c r="T145" s="35">
        <f>IF(E145="✔",各種設定金額!$Q$2,0)</f>
        <v>0</v>
      </c>
      <c r="U145" s="35">
        <f t="shared" si="2"/>
        <v>0</v>
      </c>
    </row>
    <row r="146" spans="1:21" ht="20.100000000000001" customHeight="1" x14ac:dyDescent="0.15">
      <c r="A146" s="31" t="str">
        <f>IF(B146="","",IF(SUBTOTAL(103,B146)=0,"",SUBTOTAL(103,$B$2:B146)))</f>
        <v/>
      </c>
      <c r="B146" s="31" t="str">
        <f>INDEX(Sheet1!$B:$B,ROWS($A$2:$A146)+1)&amp;""</f>
        <v/>
      </c>
      <c r="C146" s="82"/>
      <c r="D146" s="82"/>
      <c r="E146" s="82"/>
      <c r="F146" s="82"/>
      <c r="G146" s="82"/>
      <c r="H146" s="82"/>
      <c r="I146" s="35" t="str">
        <f>IF(OR(C146="✔",AND(C146="",D146&lt;&gt;"")),各種設定金額!$B$2,IF(C146="2️⃣",各種設定金額!$B$3,IF(AND(C146="",E146="✔"),各種設定金額!$B$4,IF(AND(C146="",E146="",F146="✔"),各種設定金額!$B$5,""))))</f>
        <v/>
      </c>
      <c r="J146" s="35">
        <f>IF(B146&lt;&gt;"",各種設定金額!$C$2,0)</f>
        <v>0</v>
      </c>
      <c r="K146" s="35">
        <f>IF(INDEX(Sheet1!$CF:$CF,ROWS($A$2:$A146)+1)&lt;&gt;"",0,IF(C146="✔",IF(H146="◯",IF(G146="◯",各種設定金額!$H$4,各種設定金額!$H$5),IF(G146="◯",各種設定金額!$H$3,各種設定金額!$H$2)),IF(C146="2️⃣",IF(G146="◯",各種設定金額!$I$3,各種設定金額!$I$2),0)))</f>
        <v>0</v>
      </c>
      <c r="L146" s="35">
        <f>IF(OR(C146="✔",C146="2️⃣"),各種設定金額!$M$2,0)</f>
        <v>0</v>
      </c>
      <c r="M146" s="35">
        <f>IF(INDEX(Sheet1!$CF:$CF,ROWS($A$2:$A146)+1)&lt;&gt;"",0,IF(E146="✔",IF(H146="◯",IF(G146="◯",各種設定金額!$J$4,各種設定金額!$J$5),IF(G146="◯",各種設定金額!$J$3,各種設定金額!$J$2)),0))</f>
        <v>0</v>
      </c>
      <c r="N146" s="35">
        <f>IF(E146="✔",各種設定金額!$M$2,0)</f>
        <v>0</v>
      </c>
      <c r="O146" s="35">
        <f>IF(INDEX(Sheet1!$CF:$CF,ROWS($A$2:$A146)+1)&lt;&gt;"",0,IF(F146="✔",IF(H146="◯",IF(G146="◯",各種設定金額!$K$4,各種設定金額!$K$5),IF(G146="◯",各種設定金額!$K$3,各種設定金額!$K$2)),0))</f>
        <v>0</v>
      </c>
      <c r="P146" s="35">
        <f>IF(F146="✔",各種設定金額!$M$2,0)</f>
        <v>0</v>
      </c>
      <c r="Q146" s="35">
        <f>IF(B146&lt;&gt;"",各種設定金額!$D$2,0)</f>
        <v>0</v>
      </c>
      <c r="R146" s="84"/>
      <c r="S146" s="35">
        <f>IF(D146="A",各種設定金額!$P$2,IF(D146="B",各種設定金額!$P$3,IF(D146="C",各種設定金額!$P$4,0)))</f>
        <v>0</v>
      </c>
      <c r="T146" s="35">
        <f>IF(E146="✔",各種設定金額!$Q$2,0)</f>
        <v>0</v>
      </c>
      <c r="U146" s="35">
        <f t="shared" si="2"/>
        <v>0</v>
      </c>
    </row>
    <row r="147" spans="1:21" ht="20.100000000000001" customHeight="1" x14ac:dyDescent="0.15">
      <c r="A147" s="31" t="str">
        <f>IF(B147="","",IF(SUBTOTAL(103,B147)=0,"",SUBTOTAL(103,$B$2:B147)))</f>
        <v/>
      </c>
      <c r="B147" s="31" t="str">
        <f>INDEX(Sheet1!$B:$B,ROWS($A$2:$A147)+1)&amp;""</f>
        <v/>
      </c>
      <c r="C147" s="82"/>
      <c r="D147" s="82"/>
      <c r="E147" s="82"/>
      <c r="F147" s="82"/>
      <c r="G147" s="82"/>
      <c r="H147" s="82"/>
      <c r="I147" s="35" t="str">
        <f>IF(OR(C147="✔",AND(C147="",D147&lt;&gt;"")),各種設定金額!$B$2,IF(C147="2️⃣",各種設定金額!$B$3,IF(AND(C147="",E147="✔"),各種設定金額!$B$4,IF(AND(C147="",E147="",F147="✔"),各種設定金額!$B$5,""))))</f>
        <v/>
      </c>
      <c r="J147" s="35">
        <f>IF(B147&lt;&gt;"",各種設定金額!$C$2,0)</f>
        <v>0</v>
      </c>
      <c r="K147" s="35">
        <f>IF(INDEX(Sheet1!$CF:$CF,ROWS($A$2:$A147)+1)&lt;&gt;"",0,IF(C147="✔",IF(H147="◯",IF(G147="◯",各種設定金額!$H$4,各種設定金額!$H$5),IF(G147="◯",各種設定金額!$H$3,各種設定金額!$H$2)),IF(C147="2️⃣",IF(G147="◯",各種設定金額!$I$3,各種設定金額!$I$2),0)))</f>
        <v>0</v>
      </c>
      <c r="L147" s="35">
        <f>IF(OR(C147="✔",C147="2️⃣"),各種設定金額!$M$2,0)</f>
        <v>0</v>
      </c>
      <c r="M147" s="35">
        <f>IF(INDEX(Sheet1!$CF:$CF,ROWS($A$2:$A147)+1)&lt;&gt;"",0,IF(E147="✔",IF(H147="◯",IF(G147="◯",各種設定金額!$J$4,各種設定金額!$J$5),IF(G147="◯",各種設定金額!$J$3,各種設定金額!$J$2)),0))</f>
        <v>0</v>
      </c>
      <c r="N147" s="35">
        <f>IF(E147="✔",各種設定金額!$M$2,0)</f>
        <v>0</v>
      </c>
      <c r="O147" s="35">
        <f>IF(INDEX(Sheet1!$CF:$CF,ROWS($A$2:$A147)+1)&lt;&gt;"",0,IF(F147="✔",IF(H147="◯",IF(G147="◯",各種設定金額!$K$4,各種設定金額!$K$5),IF(G147="◯",各種設定金額!$K$3,各種設定金額!$K$2)),0))</f>
        <v>0</v>
      </c>
      <c r="P147" s="35">
        <f>IF(F147="✔",各種設定金額!$M$2,0)</f>
        <v>0</v>
      </c>
      <c r="Q147" s="35">
        <f>IF(B147&lt;&gt;"",各種設定金額!$D$2,0)</f>
        <v>0</v>
      </c>
      <c r="R147" s="84"/>
      <c r="S147" s="35">
        <f>IF(D147="A",各種設定金額!$P$2,IF(D147="B",各種設定金額!$P$3,IF(D147="C",各種設定金額!$P$4,0)))</f>
        <v>0</v>
      </c>
      <c r="T147" s="35">
        <f>IF(E147="✔",各種設定金額!$Q$2,0)</f>
        <v>0</v>
      </c>
      <c r="U147" s="35">
        <f t="shared" si="2"/>
        <v>0</v>
      </c>
    </row>
    <row r="148" spans="1:21" ht="20.100000000000001" customHeight="1" x14ac:dyDescent="0.15">
      <c r="A148" s="31" t="str">
        <f>IF(B148="","",IF(SUBTOTAL(103,B148)=0,"",SUBTOTAL(103,$B$2:B148)))</f>
        <v/>
      </c>
      <c r="B148" s="31" t="str">
        <f>INDEX(Sheet1!$B:$B,ROWS($A$2:$A148)+1)&amp;""</f>
        <v/>
      </c>
      <c r="C148" s="82"/>
      <c r="D148" s="82"/>
      <c r="E148" s="82"/>
      <c r="F148" s="82"/>
      <c r="G148" s="82"/>
      <c r="H148" s="82"/>
      <c r="I148" s="35" t="str">
        <f>IF(OR(C148="✔",AND(C148="",D148&lt;&gt;"")),各種設定金額!$B$2,IF(C148="2️⃣",各種設定金額!$B$3,IF(AND(C148="",E148="✔"),各種設定金額!$B$4,IF(AND(C148="",E148="",F148="✔"),各種設定金額!$B$5,""))))</f>
        <v/>
      </c>
      <c r="J148" s="35">
        <f>IF(B148&lt;&gt;"",各種設定金額!$C$2,0)</f>
        <v>0</v>
      </c>
      <c r="K148" s="35">
        <f>IF(INDEX(Sheet1!$CF:$CF,ROWS($A$2:$A148)+1)&lt;&gt;"",0,IF(C148="✔",IF(H148="◯",IF(G148="◯",各種設定金額!$H$4,各種設定金額!$H$5),IF(G148="◯",各種設定金額!$H$3,各種設定金額!$H$2)),IF(C148="2️⃣",IF(G148="◯",各種設定金額!$I$3,各種設定金額!$I$2),0)))</f>
        <v>0</v>
      </c>
      <c r="L148" s="35">
        <f>IF(OR(C148="✔",C148="2️⃣"),各種設定金額!$M$2,0)</f>
        <v>0</v>
      </c>
      <c r="M148" s="35">
        <f>IF(INDEX(Sheet1!$CF:$CF,ROWS($A$2:$A148)+1)&lt;&gt;"",0,IF(E148="✔",IF(H148="◯",IF(G148="◯",各種設定金額!$J$4,各種設定金額!$J$5),IF(G148="◯",各種設定金額!$J$3,各種設定金額!$J$2)),0))</f>
        <v>0</v>
      </c>
      <c r="N148" s="35">
        <f>IF(E148="✔",各種設定金額!$M$2,0)</f>
        <v>0</v>
      </c>
      <c r="O148" s="35">
        <f>IF(INDEX(Sheet1!$CF:$CF,ROWS($A$2:$A148)+1)&lt;&gt;"",0,IF(F148="✔",IF(H148="◯",IF(G148="◯",各種設定金額!$K$4,各種設定金額!$K$5),IF(G148="◯",各種設定金額!$K$3,各種設定金額!$K$2)),0))</f>
        <v>0</v>
      </c>
      <c r="P148" s="35">
        <f>IF(F148="✔",各種設定金額!$M$2,0)</f>
        <v>0</v>
      </c>
      <c r="Q148" s="35">
        <f>IF(B148&lt;&gt;"",各種設定金額!$D$2,0)</f>
        <v>0</v>
      </c>
      <c r="R148" s="84"/>
      <c r="S148" s="35">
        <f>IF(D148="A",各種設定金額!$P$2,IF(D148="B",各種設定金額!$P$3,IF(D148="C",各種設定金額!$P$4,0)))</f>
        <v>0</v>
      </c>
      <c r="T148" s="35">
        <f>IF(E148="✔",各種設定金額!$Q$2,0)</f>
        <v>0</v>
      </c>
      <c r="U148" s="35">
        <f t="shared" si="2"/>
        <v>0</v>
      </c>
    </row>
    <row r="149" spans="1:21" ht="20.100000000000001" customHeight="1" x14ac:dyDescent="0.15">
      <c r="A149" s="31" t="str">
        <f>IF(B149="","",IF(SUBTOTAL(103,B149)=0,"",SUBTOTAL(103,$B$2:B149)))</f>
        <v/>
      </c>
      <c r="B149" s="31" t="str">
        <f>INDEX(Sheet1!$B:$B,ROWS($A$2:$A149)+1)&amp;""</f>
        <v/>
      </c>
      <c r="C149" s="82"/>
      <c r="D149" s="82"/>
      <c r="E149" s="82"/>
      <c r="F149" s="82"/>
      <c r="G149" s="82"/>
      <c r="H149" s="82"/>
      <c r="I149" s="35" t="str">
        <f>IF(OR(C149="✔",AND(C149="",D149&lt;&gt;"")),各種設定金額!$B$2,IF(C149="2️⃣",各種設定金額!$B$3,IF(AND(C149="",E149="✔"),各種設定金額!$B$4,IF(AND(C149="",E149="",F149="✔"),各種設定金額!$B$5,""))))</f>
        <v/>
      </c>
      <c r="J149" s="35">
        <f>IF(B149&lt;&gt;"",各種設定金額!$C$2,0)</f>
        <v>0</v>
      </c>
      <c r="K149" s="35">
        <f>IF(INDEX(Sheet1!$CF:$CF,ROWS($A$2:$A149)+1)&lt;&gt;"",0,IF(C149="✔",IF(H149="◯",IF(G149="◯",各種設定金額!$H$4,各種設定金額!$H$5),IF(G149="◯",各種設定金額!$H$3,各種設定金額!$H$2)),IF(C149="2️⃣",IF(G149="◯",各種設定金額!$I$3,各種設定金額!$I$2),0)))</f>
        <v>0</v>
      </c>
      <c r="L149" s="35">
        <f>IF(OR(C149="✔",C149="2️⃣"),各種設定金額!$M$2,0)</f>
        <v>0</v>
      </c>
      <c r="M149" s="35">
        <f>IF(INDEX(Sheet1!$CF:$CF,ROWS($A$2:$A149)+1)&lt;&gt;"",0,IF(E149="✔",IF(H149="◯",IF(G149="◯",各種設定金額!$J$4,各種設定金額!$J$5),IF(G149="◯",各種設定金額!$J$3,各種設定金額!$J$2)),0))</f>
        <v>0</v>
      </c>
      <c r="N149" s="35">
        <f>IF(E149="✔",各種設定金額!$M$2,0)</f>
        <v>0</v>
      </c>
      <c r="O149" s="35">
        <f>IF(INDEX(Sheet1!$CF:$CF,ROWS($A$2:$A149)+1)&lt;&gt;"",0,IF(F149="✔",IF(H149="◯",IF(G149="◯",各種設定金額!$K$4,各種設定金額!$K$5),IF(G149="◯",各種設定金額!$K$3,各種設定金額!$K$2)),0))</f>
        <v>0</v>
      </c>
      <c r="P149" s="35">
        <f>IF(F149="✔",各種設定金額!$M$2,0)</f>
        <v>0</v>
      </c>
      <c r="Q149" s="35">
        <f>IF(B149&lt;&gt;"",各種設定金額!$D$2,0)</f>
        <v>0</v>
      </c>
      <c r="R149" s="84"/>
      <c r="S149" s="35">
        <f>IF(D149="A",各種設定金額!$P$2,IF(D149="B",各種設定金額!$P$3,IF(D149="C",各種設定金額!$P$4,0)))</f>
        <v>0</v>
      </c>
      <c r="T149" s="35">
        <f>IF(E149="✔",各種設定金額!$Q$2,0)</f>
        <v>0</v>
      </c>
      <c r="U149" s="35">
        <f t="shared" si="2"/>
        <v>0</v>
      </c>
    </row>
    <row r="150" spans="1:21" ht="20.100000000000001" customHeight="1" x14ac:dyDescent="0.15">
      <c r="A150" s="31" t="str">
        <f>IF(B150="","",IF(SUBTOTAL(103,B150)=0,"",SUBTOTAL(103,$B$2:B150)))</f>
        <v/>
      </c>
      <c r="B150" s="31" t="str">
        <f>INDEX(Sheet1!$B:$B,ROWS($A$2:$A150)+1)&amp;""</f>
        <v/>
      </c>
      <c r="C150" s="82"/>
      <c r="D150" s="82"/>
      <c r="E150" s="82"/>
      <c r="F150" s="82"/>
      <c r="G150" s="82"/>
      <c r="H150" s="82"/>
      <c r="I150" s="35" t="str">
        <f>IF(OR(C150="✔",AND(C150="",D150&lt;&gt;"")),各種設定金額!$B$2,IF(C150="2️⃣",各種設定金額!$B$3,IF(AND(C150="",E150="✔"),各種設定金額!$B$4,IF(AND(C150="",E150="",F150="✔"),各種設定金額!$B$5,""))))</f>
        <v/>
      </c>
      <c r="J150" s="35">
        <f>IF(B150&lt;&gt;"",各種設定金額!$C$2,0)</f>
        <v>0</v>
      </c>
      <c r="K150" s="35">
        <f>IF(INDEX(Sheet1!$CF:$CF,ROWS($A$2:$A150)+1)&lt;&gt;"",0,IF(C150="✔",IF(H150="◯",IF(G150="◯",各種設定金額!$H$4,各種設定金額!$H$5),IF(G150="◯",各種設定金額!$H$3,各種設定金額!$H$2)),IF(C150="2️⃣",IF(G150="◯",各種設定金額!$I$3,各種設定金額!$I$2),0)))</f>
        <v>0</v>
      </c>
      <c r="L150" s="35">
        <f>IF(OR(C150="✔",C150="2️⃣"),各種設定金額!$M$2,0)</f>
        <v>0</v>
      </c>
      <c r="M150" s="35">
        <f>IF(INDEX(Sheet1!$CF:$CF,ROWS($A$2:$A150)+1)&lt;&gt;"",0,IF(E150="✔",IF(H150="◯",IF(G150="◯",各種設定金額!$J$4,各種設定金額!$J$5),IF(G150="◯",各種設定金額!$J$3,各種設定金額!$J$2)),0))</f>
        <v>0</v>
      </c>
      <c r="N150" s="35">
        <f>IF(E150="✔",各種設定金額!$M$2,0)</f>
        <v>0</v>
      </c>
      <c r="O150" s="35">
        <f>IF(INDEX(Sheet1!$CF:$CF,ROWS($A$2:$A150)+1)&lt;&gt;"",0,IF(F150="✔",IF(H150="◯",IF(G150="◯",各種設定金額!$K$4,各種設定金額!$K$5),IF(G150="◯",各種設定金額!$K$3,各種設定金額!$K$2)),0))</f>
        <v>0</v>
      </c>
      <c r="P150" s="35">
        <f>IF(F150="✔",各種設定金額!$M$2,0)</f>
        <v>0</v>
      </c>
      <c r="Q150" s="35">
        <f>IF(B150&lt;&gt;"",各種設定金額!$D$2,0)</f>
        <v>0</v>
      </c>
      <c r="R150" s="84"/>
      <c r="S150" s="35">
        <f>IF(D150="A",各種設定金額!$P$2,IF(D150="B",各種設定金額!$P$3,IF(D150="C",各種設定金額!$P$4,0)))</f>
        <v>0</v>
      </c>
      <c r="T150" s="35">
        <f>IF(E150="✔",各種設定金額!$Q$2,0)</f>
        <v>0</v>
      </c>
      <c r="U150" s="35">
        <f t="shared" si="2"/>
        <v>0</v>
      </c>
    </row>
    <row r="151" spans="1:21" ht="20.100000000000001" customHeight="1" x14ac:dyDescent="0.15">
      <c r="A151" s="31" t="str">
        <f>IF(B151="","",IF(SUBTOTAL(103,B151)=0,"",SUBTOTAL(103,$B$2:B151)))</f>
        <v/>
      </c>
      <c r="B151" s="31" t="str">
        <f>INDEX(Sheet1!$B:$B,ROWS($A$2:$A151)+1)&amp;""</f>
        <v/>
      </c>
      <c r="C151" s="82"/>
      <c r="D151" s="82"/>
      <c r="E151" s="82"/>
      <c r="F151" s="82"/>
      <c r="G151" s="82"/>
      <c r="H151" s="82"/>
      <c r="I151" s="35" t="str">
        <f>IF(OR(C151="✔",AND(C151="",D151&lt;&gt;"")),各種設定金額!$B$2,IF(C151="2️⃣",各種設定金額!$B$3,IF(AND(C151="",E151="✔"),各種設定金額!$B$4,IF(AND(C151="",E151="",F151="✔"),各種設定金額!$B$5,""))))</f>
        <v/>
      </c>
      <c r="J151" s="35">
        <f>IF(B151&lt;&gt;"",各種設定金額!$C$2,0)</f>
        <v>0</v>
      </c>
      <c r="K151" s="35">
        <f>IF(INDEX(Sheet1!$CF:$CF,ROWS($A$2:$A151)+1)&lt;&gt;"",0,IF(C151="✔",IF(H151="◯",IF(G151="◯",各種設定金額!$H$4,各種設定金額!$H$5),IF(G151="◯",各種設定金額!$H$3,各種設定金額!$H$2)),IF(C151="2️⃣",IF(G151="◯",各種設定金額!$I$3,各種設定金額!$I$2),0)))</f>
        <v>0</v>
      </c>
      <c r="L151" s="35">
        <f>IF(OR(C151="✔",C151="2️⃣"),各種設定金額!$M$2,0)</f>
        <v>0</v>
      </c>
      <c r="M151" s="35">
        <f>IF(INDEX(Sheet1!$CF:$CF,ROWS($A$2:$A151)+1)&lt;&gt;"",0,IF(E151="✔",IF(H151="◯",IF(G151="◯",各種設定金額!$J$4,各種設定金額!$J$5),IF(G151="◯",各種設定金額!$J$3,各種設定金額!$J$2)),0))</f>
        <v>0</v>
      </c>
      <c r="N151" s="35">
        <f>IF(E151="✔",各種設定金額!$M$2,0)</f>
        <v>0</v>
      </c>
      <c r="O151" s="35">
        <f>IF(INDEX(Sheet1!$CF:$CF,ROWS($A$2:$A151)+1)&lt;&gt;"",0,IF(F151="✔",IF(H151="◯",IF(G151="◯",各種設定金額!$K$4,各種設定金額!$K$5),IF(G151="◯",各種設定金額!$K$3,各種設定金額!$K$2)),0))</f>
        <v>0</v>
      </c>
      <c r="P151" s="35">
        <f>IF(F151="✔",各種設定金額!$M$2,0)</f>
        <v>0</v>
      </c>
      <c r="Q151" s="35">
        <f>IF(B151&lt;&gt;"",各種設定金額!$D$2,0)</f>
        <v>0</v>
      </c>
      <c r="R151" s="84"/>
      <c r="S151" s="35">
        <f>IF(D151="A",各種設定金額!$P$2,IF(D151="B",各種設定金額!$P$3,IF(D151="C",各種設定金額!$P$4,0)))</f>
        <v>0</v>
      </c>
      <c r="T151" s="35">
        <f>IF(E151="✔",各種設定金額!$Q$2,0)</f>
        <v>0</v>
      </c>
      <c r="U151" s="35">
        <f t="shared" si="0"/>
        <v>0</v>
      </c>
    </row>
    <row r="152" spans="1:21" ht="20.100000000000001" customHeight="1" x14ac:dyDescent="0.15">
      <c r="I152" s="37">
        <f t="shared" ref="I152:U152" si="3">SUBTOTAL(109,I2:I151)</f>
        <v>17500</v>
      </c>
      <c r="J152" s="37">
        <f t="shared" si="3"/>
        <v>30000</v>
      </c>
      <c r="K152" s="37">
        <f t="shared" si="3"/>
        <v>22000</v>
      </c>
      <c r="L152" s="37">
        <f t="shared" si="3"/>
        <v>5400</v>
      </c>
      <c r="M152" s="37">
        <f t="shared" si="3"/>
        <v>17800</v>
      </c>
      <c r="N152" s="37">
        <f t="shared" si="3"/>
        <v>5400</v>
      </c>
      <c r="O152" s="37">
        <f t="shared" si="3"/>
        <v>5500</v>
      </c>
      <c r="P152" s="37">
        <f t="shared" si="3"/>
        <v>3600</v>
      </c>
      <c r="Q152" s="37">
        <f t="shared" si="3"/>
        <v>25000</v>
      </c>
      <c r="R152" s="37">
        <f t="shared" si="3"/>
        <v>10000</v>
      </c>
      <c r="S152" s="37">
        <f t="shared" si="3"/>
        <v>17900</v>
      </c>
      <c r="T152" s="37">
        <f t="shared" si="3"/>
        <v>3600</v>
      </c>
      <c r="U152" s="37">
        <f t="shared" si="3"/>
        <v>163700</v>
      </c>
    </row>
    <row r="153" spans="1:21" ht="30" customHeight="1" x14ac:dyDescent="0.15">
      <c r="I153" s="38" t="s">
        <v>126</v>
      </c>
      <c r="J153" s="38" t="s">
        <v>194</v>
      </c>
      <c r="K153" s="38" t="s">
        <v>139</v>
      </c>
      <c r="L153" s="38" t="s">
        <v>128</v>
      </c>
      <c r="M153" s="38" t="s">
        <v>140</v>
      </c>
      <c r="N153" s="38" t="s">
        <v>130</v>
      </c>
      <c r="O153" s="38" t="s">
        <v>209</v>
      </c>
      <c r="P153" s="38" t="s">
        <v>210</v>
      </c>
      <c r="Q153" s="38" t="s">
        <v>131</v>
      </c>
      <c r="R153" s="38" t="s">
        <v>132</v>
      </c>
      <c r="S153" s="38" t="s">
        <v>133</v>
      </c>
      <c r="T153" s="38" t="s">
        <v>134</v>
      </c>
      <c r="U153" s="39"/>
    </row>
    <row r="154" spans="1:21" ht="20.100000000000001" customHeight="1" x14ac:dyDescent="0.15">
      <c r="H154" s="40"/>
      <c r="I154" s="41" t="str">
        <f ca="1">SUMPRODUCT(SUBTOTAL(103,OFFSET($B$2,ROW($I$2:$I$151)-2,0))*($I$2:$I$151=各種設定金額!B2))&amp;"×"&amp;各種設定金額!B2</f>
        <v>2×4800</v>
      </c>
      <c r="J154" s="41" t="str">
        <f ca="1">SUMPRODUCT(SUBTOTAL(103,OFFSET($B$2,ROW($J$2:$J$151)-2,0))*($J$2:$J$151=各種設定金額!C2))&amp;"×"&amp;各種設定金額!C2</f>
        <v>5×6000</v>
      </c>
      <c r="K154" s="41" t="str">
        <f ca="1">SUMPRODUCT(SUBTOTAL(103,OFFSET($B$2,ROW($K$2:$K$151)-2,0))*($K$2:$K$151=各種設定金額!H2))&amp;"×"&amp;各種設定金額!H2</f>
        <v>1×16500</v>
      </c>
      <c r="L154" s="41" t="str">
        <f ca="1">SUMPRODUCT(SUBTOTAL(103,OFFSET($B$2,ROW($L$2:$L$151)-2,0))*($L$2:$L$151=各種設定金額!M2))&amp;"×"&amp;各種設定金額!M2</f>
        <v>3×1800</v>
      </c>
      <c r="M154" s="41" t="str">
        <f ca="1">SUMPRODUCT(SUBTOTAL(103,OFFSET($B$2,ROW($M$2:$M$151)-2,0))*($M$2:$M$151=各種設定金額!J2))&amp;"×"&amp;各種設定金額!J2</f>
        <v>1×8200</v>
      </c>
      <c r="N154" s="41" t="str">
        <f ca="1">SUMPRODUCT(SUBTOTAL(103,OFFSET($B$2,ROW($N$2:$N$151)-2,0))*($N$2:$N$151=各種設定金額!M2))&amp;"×"&amp;各種設定金額!M2</f>
        <v>3×1800</v>
      </c>
      <c r="O154" s="41" t="str">
        <f ca="1">SUMPRODUCT(SUBTOTAL(103,OFFSET($B$2,ROW($O$2:$O$151)-2,0))*($O$2:$O$151=各種設定金額!$K$2))&amp;"×"&amp;各種設定金額!$K$2</f>
        <v>0×8200</v>
      </c>
      <c r="P154" s="41" t="str">
        <f ca="1">SUMPRODUCT(SUBTOTAL(103,OFFSET($B$2,ROW($P$2:$P$151)-2,0))*($P$2:$P$151=各種設定金額!$M$2))&amp;"×"&amp;各種設定金額!$M$2</f>
        <v>2×1800</v>
      </c>
      <c r="Q154" s="41" t="str">
        <f ca="1">SUMPRODUCT(SUBTOTAL(103,OFFSET($B$2,ROW($Q$2:$Q$151)-2,0))*($Q$2:$Q$151=各種設定金額!D2))&amp;"×"&amp;各種設定金額!D2</f>
        <v>5×5000</v>
      </c>
      <c r="R154" s="41" t="str">
        <f ca="1">SUMPRODUCT(SUBTOTAL(103,OFFSET($B$2,ROW($R$2:$R$151)-2,0))*($R$2:$R$151=各種設定金額!$E$2))&amp;"×"&amp;各種設定金額!$E$2</f>
        <v>1×10000</v>
      </c>
      <c r="S154" s="41" t="str">
        <f ca="1">SUMPRODUCT(SUBTOTAL(103,OFFSET($B$2,ROW($S$2:$S$151)-2,0))*($S$2:$S$151=各種設定金額!P2))&amp;"×"&amp;各種設定金額!P2</f>
        <v>1×7290</v>
      </c>
      <c r="T154" s="41" t="str">
        <f ca="1">SUMPRODUCT(SUBTOTAL(103,OFFSET($B$2,ROW($T$2:$T$151)-2,0))*($T$2:$T$151=各種設定金額!Q2))&amp;"×"&amp;各種設定金額!Q2</f>
        <v>3×1200</v>
      </c>
      <c r="U154" s="41"/>
    </row>
    <row r="155" spans="1:21" ht="20.100000000000001" customHeight="1" x14ac:dyDescent="0.15">
      <c r="H155" s="40"/>
      <c r="I155" s="41" t="str">
        <f ca="1">SUMPRODUCT(SUBTOTAL(103,OFFSET($B$2,ROW($I$2:$I$151)-2,0))*($I$2:$I$151=各種設定金額!B3))&amp;"×"&amp;各種設定金額!B3</f>
        <v>1×3300</v>
      </c>
      <c r="J155" s="41"/>
      <c r="K155" s="41" t="str">
        <f ca="1">SUMPRODUCT(SUBTOTAL(103,OFFSET($B$2,ROW($K$2:$K$151)-2,0))*($K$2:$K$151=各種設定金額!H5))&amp;"×"&amp;各種設定金額!H5</f>
        <v>0×11000</v>
      </c>
      <c r="L155" s="41"/>
      <c r="M155" s="41" t="str">
        <f ca="1">SUMPRODUCT(SUBTOTAL(103,OFFSET($B$2,ROW($M$2:$M$151)-2,0))*($M$2:$M$151=各種設定金額!J5))&amp;"×"&amp;各種設定金額!J5</f>
        <v>1×5500</v>
      </c>
      <c r="N155" s="41"/>
      <c r="O155" s="41" t="str">
        <f ca="1">SUMPRODUCT(SUBTOTAL(103,OFFSET($B$2,ROW($O$2:$O$151)-2,0))*($O$2:$O$151=各種設定金額!$K$5))&amp;"×"&amp;各種設定金額!$K$5</f>
        <v>1×5500</v>
      </c>
      <c r="P155" s="41"/>
      <c r="Q155" s="41"/>
      <c r="R155" s="41"/>
      <c r="S155" s="41" t="str">
        <f ca="1">SUMPRODUCT(SUBTOTAL(103,OFFSET($B$2,ROW($S$2:$S$151)-2,0))*($S$2:$S$151=各種設定金額!P3))&amp;"×"&amp;各種設定金額!P3</f>
        <v>1×5960</v>
      </c>
      <c r="T155" s="41"/>
      <c r="U155" s="41"/>
    </row>
    <row r="156" spans="1:21" ht="20.100000000000001" customHeight="1" x14ac:dyDescent="0.15">
      <c r="H156" s="40"/>
      <c r="I156" s="41" t="str">
        <f ca="1">SUMPRODUCT(SUBTOTAL(103,OFFSET($B$2,ROW($I$2:$I$151)-2,0))*($I$2:$I$151=各種設定金額!B4))&amp;"×"&amp;各種設定金額!B4</f>
        <v>2×2300</v>
      </c>
      <c r="J156" s="41"/>
      <c r="K156" s="41" t="str">
        <f ca="1">SUMPRODUCT(SUBTOTAL(103,OFFSET($B$2,ROW($K$2:$K$151)-2,0))*($K$2:$K$151=各種設定金額!H3))&amp;"×"&amp;各種設定金額!H3</f>
        <v>0×8200</v>
      </c>
      <c r="L156" s="41"/>
      <c r="M156" s="41" t="str">
        <f ca="1">SUMPRODUCT(SUBTOTAL(103,OFFSET($B$2,ROW($M$2:$M$151)-2,0))*($M$2:$M$151=各種設定金額!J3))&amp;"×"&amp;各種設定金額!J3</f>
        <v>1×4100</v>
      </c>
      <c r="N156" s="41"/>
      <c r="O156" s="41" t="str">
        <f ca="1">SUMPRODUCT(SUBTOTAL(103,OFFSET($B$2,ROW($O$2:$O$151)-2,0))*($O$2:$O$151=各種設定金額!$K$3))&amp;"×"&amp;各種設定金額!$K$3</f>
        <v>0×4100</v>
      </c>
      <c r="P156" s="41"/>
      <c r="Q156" s="41"/>
      <c r="R156" s="41"/>
      <c r="S156" s="41" t="str">
        <f ca="1">SUMPRODUCT(SUBTOTAL(103,OFFSET($B$2,ROW($S$2:$S$151)-2,0))*($S$2:$S$151=各種設定金額!P4))&amp;"×"&amp;各種設定金額!P4</f>
        <v>1×4650</v>
      </c>
      <c r="T156" s="41"/>
      <c r="U156" s="41"/>
    </row>
    <row r="157" spans="1:21" ht="20.100000000000001" customHeight="1" x14ac:dyDescent="0.15">
      <c r="K157" s="41" t="str">
        <f ca="1">SUMPRODUCT(SUBTOTAL(103,OFFSET($B$2,ROW($K$2:$K$151)-2,0))*($K$2:$K$151=各種設定金額!H4))&amp;"×"&amp;各種設定金額!H4</f>
        <v>1×5500</v>
      </c>
      <c r="M157" s="41" t="str">
        <f ca="1">SUMPRODUCT(SUBTOTAL(103,OFFSET($B$2,ROW($M$2:$M$151)-2,0))*($M$2:$M$151=各種設定金額!J4))&amp;"×"&amp;各種設定金額!J4</f>
        <v>0×2700</v>
      </c>
      <c r="O157" s="41" t="str">
        <f ca="1">SUMPRODUCT(SUBTOTAL(103,OFFSET($B$2,ROW($O$2:$O$151)-2,0))*($O$2:$O$151=各種設定金額!$K$4))&amp;"×"&amp;各種設定金額!$K$4</f>
        <v>0×2700</v>
      </c>
    </row>
    <row r="158" spans="1:21" ht="21.75" customHeight="1" x14ac:dyDescent="0.15">
      <c r="K158" s="41" t="str">
        <f ca="1">SUMPRODUCT(SUBTOTAL(103,OFFSET($B$2,ROW($K$2:$K$151)-2,0))*($K$2:$K$151=各種設定金額!I3))&amp;"×"&amp;各種設定金額!I3</f>
        <v>0×2700</v>
      </c>
    </row>
    <row r="159" spans="1:21" ht="21.75" customHeight="1" x14ac:dyDescent="0.15"/>
    <row r="160" spans="1:21" ht="21.75" customHeight="1" x14ac:dyDescent="0.15"/>
    <row r="161" ht="21.75" customHeight="1" x14ac:dyDescent="0.15"/>
    <row r="162" ht="21.75" customHeight="1" x14ac:dyDescent="0.15"/>
    <row r="163" ht="21.75" customHeight="1" x14ac:dyDescent="0.15"/>
    <row r="165" ht="21.75" customHeight="1" x14ac:dyDescent="0.15"/>
    <row r="167" ht="21.75" customHeight="1" x14ac:dyDescent="0.15"/>
    <row r="168" ht="21.75" customHeight="1" x14ac:dyDescent="0.15"/>
    <row r="169" ht="21.75" customHeight="1" x14ac:dyDescent="0.15"/>
  </sheetData>
  <sheetProtection sheet="1" objects="1" scenarios="1" formatColumns="0" formatRows="0"/>
  <autoFilter ref="A1:U158" xr:uid="{00000000-0001-0000-0300-000000000000}"/>
  <phoneticPr fontId="5"/>
  <conditionalFormatting sqref="A1:U151">
    <cfRule type="expression" dxfId="0" priority="1">
      <formula>MOD(ROW(),2)=0</formula>
    </cfRule>
  </conditionalFormatting>
  <dataValidations count="4">
    <dataValidation type="list" allowBlank="1" showInputMessage="1" showErrorMessage="1" errorTitle="入力できない値です" error="一覧から選んでください（✔,2️⃣）。消すときは Delete キー。" sqref="C2:C151" xr:uid="{11D1C3FE-ABA9-4283-AF96-6AF97927844B}">
      <formula1>"✔,2️⃣"</formula1>
    </dataValidation>
    <dataValidation type="list" allowBlank="1" showInputMessage="1" showErrorMessage="1" errorTitle="入力できない値です" error="一覧から選んでください（A,B,C）。消すときは Delete キー。" sqref="D2:D151" xr:uid="{9343ADA7-9229-48AC-9503-4AF898B0136B}">
      <formula1>"A,B,C"</formula1>
    </dataValidation>
    <dataValidation type="list" allowBlank="1" showInputMessage="1" showErrorMessage="1" errorTitle="入力できない値です" error="一覧から選んでください（◯）。消すときは Delete キー。" sqref="G2:H151" xr:uid="{64830582-D4A8-4543-9691-ED1ACBFD1AEA}">
      <formula1>"◯"</formula1>
    </dataValidation>
    <dataValidation type="list" allowBlank="1" showInputMessage="1" showErrorMessage="1" errorTitle="入力できない値です" error="一覧から選んでください（✔）。消すときは Delete キー。" sqref="E2:F151" xr:uid="{95690A04-A60D-4339-BC2A-99FB5B6671BD}">
      <formula1>"✔"</formula1>
    </dataValidation>
  </dataValidations>
  <printOptions horizontalCentered="1" verticalCentered="1"/>
  <pageMargins left="0" right="0" top="0" bottom="0" header="0" footer="0"/>
  <pageSetup paperSize="9" scale="63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入力できない値です" error="▼から入会金を選んでください。入会金がない人は空欄のままにします（消すときは Delete キー）。" xr:uid="{3EF67A10-D925-4B5E-B227-2EC409DF1829}">
          <x14:formula1>
            <xm:f>各種設定金額!$E$2</xm:f>
          </x14:formula1>
          <xm:sqref>R2:R151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"/>
  <sheetViews>
    <sheetView workbookViewId="0">
      <selection activeCell="G7" sqref="G7"/>
    </sheetView>
  </sheetViews>
  <sheetFormatPr defaultColWidth="9" defaultRowHeight="14.25" x14ac:dyDescent="0.15"/>
  <cols>
    <col min="1" max="1" width="11.625" style="95" bestFit="1" customWidth="1"/>
    <col min="2" max="2" width="9.5" style="97" bestFit="1" customWidth="1"/>
    <col min="3" max="5" width="9.625" style="97" customWidth="1"/>
    <col min="6" max="6" width="3.625" style="97" customWidth="1"/>
    <col min="7" max="7" width="10.375" style="95" bestFit="1" customWidth="1"/>
    <col min="8" max="11" width="9.625" style="97" customWidth="1"/>
    <col min="12" max="12" width="3.625" style="97" customWidth="1"/>
    <col min="13" max="13" width="9.625" style="97" customWidth="1"/>
    <col min="14" max="14" width="3.625" style="97" customWidth="1"/>
    <col min="15" max="15" width="2.75" style="95" bestFit="1" customWidth="1"/>
    <col min="16" max="17" width="9.625" style="97" customWidth="1"/>
    <col min="18" max="19" width="9" style="97" customWidth="1"/>
    <col min="20" max="16384" width="9" style="97"/>
  </cols>
  <sheetData>
    <row r="1" spans="1:17" s="95" customFormat="1" ht="36" customHeight="1" x14ac:dyDescent="0.15">
      <c r="A1" s="91"/>
      <c r="B1" s="92" t="s">
        <v>126</v>
      </c>
      <c r="C1" s="92" t="s">
        <v>194</v>
      </c>
      <c r="D1" s="92" t="s">
        <v>131</v>
      </c>
      <c r="E1" s="92" t="s">
        <v>178</v>
      </c>
      <c r="F1" s="93"/>
      <c r="G1" s="91"/>
      <c r="H1" s="92" t="s">
        <v>143</v>
      </c>
      <c r="I1" s="94" t="s">
        <v>144</v>
      </c>
      <c r="J1" s="92" t="s">
        <v>129</v>
      </c>
      <c r="K1" s="92" t="s">
        <v>145</v>
      </c>
      <c r="M1" s="92" t="s">
        <v>146</v>
      </c>
      <c r="O1" s="91"/>
      <c r="P1" s="92" t="s">
        <v>147</v>
      </c>
      <c r="Q1" s="92" t="s">
        <v>134</v>
      </c>
    </row>
    <row r="2" spans="1:17" ht="23.1" customHeight="1" x14ac:dyDescent="0.15">
      <c r="A2" s="96" t="s">
        <v>81</v>
      </c>
      <c r="B2" s="102">
        <v>4800</v>
      </c>
      <c r="C2" s="102">
        <v>6000</v>
      </c>
      <c r="D2" s="102">
        <v>5000</v>
      </c>
      <c r="E2" s="102">
        <v>10000</v>
      </c>
      <c r="G2" s="96" t="s">
        <v>141</v>
      </c>
      <c r="H2" s="102">
        <v>16500</v>
      </c>
      <c r="I2" s="103">
        <v>5500</v>
      </c>
      <c r="J2" s="102">
        <v>8200</v>
      </c>
      <c r="K2" s="102">
        <v>8200</v>
      </c>
      <c r="M2" s="102">
        <v>1800</v>
      </c>
      <c r="O2" s="96" t="s">
        <v>138</v>
      </c>
      <c r="P2" s="102">
        <v>7290</v>
      </c>
      <c r="Q2" s="102">
        <v>1200</v>
      </c>
    </row>
    <row r="3" spans="1:17" ht="23.1" customHeight="1" x14ac:dyDescent="0.15">
      <c r="A3" s="96" t="s">
        <v>82</v>
      </c>
      <c r="B3" s="102">
        <v>3300</v>
      </c>
      <c r="G3" s="96" t="s">
        <v>124</v>
      </c>
      <c r="H3" s="102">
        <v>8200</v>
      </c>
      <c r="I3" s="103">
        <v>2700</v>
      </c>
      <c r="J3" s="102">
        <v>4100</v>
      </c>
      <c r="K3" s="102">
        <v>4100</v>
      </c>
      <c r="O3" s="96" t="s">
        <v>148</v>
      </c>
      <c r="P3" s="102">
        <v>5960</v>
      </c>
    </row>
    <row r="4" spans="1:17" ht="23.1" customHeight="1" x14ac:dyDescent="0.15">
      <c r="A4" s="96" t="s">
        <v>12</v>
      </c>
      <c r="B4" s="102">
        <v>2300</v>
      </c>
      <c r="G4" s="96" t="s">
        <v>142</v>
      </c>
      <c r="H4" s="102">
        <v>5500</v>
      </c>
      <c r="I4" s="104"/>
      <c r="J4" s="102">
        <v>2700</v>
      </c>
      <c r="K4" s="102">
        <v>2700</v>
      </c>
      <c r="O4" s="96" t="s">
        <v>136</v>
      </c>
      <c r="P4" s="102">
        <v>4650</v>
      </c>
    </row>
    <row r="5" spans="1:17" ht="23.1" customHeight="1" x14ac:dyDescent="0.15">
      <c r="A5" s="96" t="s">
        <v>149</v>
      </c>
      <c r="B5" s="102">
        <v>2300</v>
      </c>
      <c r="G5" s="96" t="s">
        <v>125</v>
      </c>
      <c r="H5" s="102">
        <v>11000</v>
      </c>
      <c r="I5" s="104"/>
      <c r="J5" s="102">
        <v>5500</v>
      </c>
      <c r="K5" s="102">
        <v>5500</v>
      </c>
    </row>
    <row r="6" spans="1:17" ht="23.1" customHeight="1" x14ac:dyDescent="0.15"/>
    <row r="7" spans="1:17" ht="23.1" customHeight="1" x14ac:dyDescent="0.15">
      <c r="A7" s="96" t="s">
        <v>212</v>
      </c>
      <c r="B7" s="105"/>
      <c r="C7" s="97" t="s">
        <v>213</v>
      </c>
    </row>
    <row r="8" spans="1:17" ht="23.1" customHeight="1" x14ac:dyDescent="0.15">
      <c r="A8" s="98"/>
      <c r="C8" s="97" t="s">
        <v>214</v>
      </c>
    </row>
    <row r="9" spans="1:17" ht="23.1" customHeight="1" x14ac:dyDescent="0.15"/>
    <row r="10" spans="1:17" ht="23.1" customHeight="1" x14ac:dyDescent="0.15">
      <c r="A10" s="99"/>
    </row>
    <row r="11" spans="1:17" ht="23.1" customHeight="1" x14ac:dyDescent="0.15">
      <c r="A11" s="100"/>
    </row>
    <row r="12" spans="1:17" ht="23.1" customHeight="1" x14ac:dyDescent="0.15">
      <c r="A12" s="100"/>
    </row>
    <row r="13" spans="1:17" ht="23.1" customHeight="1" x14ac:dyDescent="0.15">
      <c r="A13" s="100"/>
    </row>
    <row r="14" spans="1:17" ht="23.1" customHeight="1" x14ac:dyDescent="0.15">
      <c r="A14" s="98"/>
    </row>
    <row r="15" spans="1:17" ht="23.1" customHeight="1" x14ac:dyDescent="0.15">
      <c r="A15" s="98"/>
    </row>
    <row r="16" spans="1:17" ht="23.1" customHeight="1" x14ac:dyDescent="0.15">
      <c r="A16" s="101"/>
    </row>
    <row r="17" spans="1:1" ht="23.1" customHeight="1" x14ac:dyDescent="0.15">
      <c r="A17" s="101"/>
    </row>
    <row r="18" spans="1:1" ht="23.1" customHeight="1" x14ac:dyDescent="0.15">
      <c r="A18" s="98"/>
    </row>
    <row r="19" spans="1:1" ht="23.1" customHeight="1" x14ac:dyDescent="0.15">
      <c r="A19" s="98"/>
    </row>
    <row r="20" spans="1:1" ht="23.1" customHeight="1" x14ac:dyDescent="0.15">
      <c r="A20" s="101"/>
    </row>
    <row r="21" spans="1:1" ht="23.1" customHeight="1" x14ac:dyDescent="0.15">
      <c r="A21" s="101"/>
    </row>
    <row r="22" spans="1:1" ht="23.1" customHeight="1" x14ac:dyDescent="0.15"/>
    <row r="23" spans="1:1" ht="23.1" customHeight="1" x14ac:dyDescent="0.15"/>
    <row r="24" spans="1:1" ht="23.1" customHeight="1" x14ac:dyDescent="0.15"/>
    <row r="25" spans="1:1" ht="23.1" customHeight="1" x14ac:dyDescent="0.15"/>
    <row r="26" spans="1:1" ht="23.1" customHeight="1" x14ac:dyDescent="0.15"/>
  </sheetData>
  <sheetProtection sheet="1" objects="1" scenarios="1" formatColumns="0" formatRows="0"/>
  <phoneticPr fontId="5"/>
  <dataValidations xWindow="144" yWindow="505" count="1">
    <dataValidation type="list" allowBlank="1" showErrorMessage="1" errorTitle="入力できない値です" error="一覧から都道府県を選んでください。" sqref="B7" xr:uid="{C30159AF-1950-4C46-AFEC-033C7A180B8B}">
      <formula1>"北海道,青森県,岩手県,宮城県,秋田県,山形県,福島県,茨城県,栃木県,群馬県,埼玉県,千葉県,東京都,神奈川県,新潟県,富山県,石川県,福井県,山梨県,長野県,岐阜県,静岡県,愛知県,三重県,滋賀県,京都府,大阪府,兵庫県,奈良県,和歌山県,鳥取県,島根県,岡山県,広島県,山口県,徳島県,香川県,愛媛県,高知県,福岡県,佐賀県,長崎県,熊本県,大分県,宮崎県,鹿児島県,沖縄県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55"/>
  <sheetViews>
    <sheetView workbookViewId="0">
      <selection activeCell="I12" sqref="I12"/>
    </sheetView>
  </sheetViews>
  <sheetFormatPr defaultColWidth="9" defaultRowHeight="14.25" x14ac:dyDescent="0.15"/>
  <cols>
    <col min="1" max="1" width="4.125" style="55" customWidth="1"/>
    <col min="2" max="2" width="14.625" style="55" customWidth="1"/>
    <col min="3" max="3" width="11.625" style="54" customWidth="1"/>
    <col min="4" max="4" width="16.375" style="55" customWidth="1"/>
    <col min="5" max="5" width="10.625" style="55" customWidth="1"/>
    <col min="6" max="6" width="32.875" style="54" customWidth="1"/>
    <col min="7" max="8" width="5.625" style="54" customWidth="1"/>
    <col min="9" max="10" width="9" style="54" customWidth="1"/>
    <col min="11" max="16384" width="9" style="54"/>
  </cols>
  <sheetData>
    <row r="1" spans="1:10" ht="20.100000000000001" customHeight="1" x14ac:dyDescent="0.15">
      <c r="A1" s="112" t="s">
        <v>150</v>
      </c>
      <c r="B1" s="113"/>
      <c r="C1" s="113"/>
      <c r="D1" s="113"/>
      <c r="E1" s="113"/>
      <c r="F1" s="113"/>
      <c r="G1" s="113"/>
      <c r="H1" s="113"/>
      <c r="I1" s="113"/>
    </row>
    <row r="2" spans="1:10" ht="20.100000000000001" customHeight="1" x14ac:dyDescent="0.15">
      <c r="A2" s="111" t="s">
        <v>185</v>
      </c>
      <c r="B2" s="109"/>
      <c r="C2" s="109"/>
      <c r="D2" s="109"/>
      <c r="E2" s="109"/>
      <c r="F2" s="108"/>
      <c r="G2" s="109"/>
      <c r="H2" s="109"/>
      <c r="I2" s="110" t="s">
        <v>218</v>
      </c>
    </row>
    <row r="3" spans="1:10" ht="20.100000000000001" customHeight="1" x14ac:dyDescent="0.15">
      <c r="A3" s="109" t="s">
        <v>186</v>
      </c>
      <c r="B3" s="109"/>
      <c r="C3" s="109"/>
      <c r="D3" s="109"/>
      <c r="F3" s="108"/>
      <c r="G3" s="109"/>
      <c r="H3" s="109"/>
      <c r="I3" s="110" t="s">
        <v>187</v>
      </c>
      <c r="J3" s="65"/>
    </row>
    <row r="4" spans="1:10" ht="20.100000000000001" customHeight="1" x14ac:dyDescent="0.15">
      <c r="A4" s="273" t="s">
        <v>13</v>
      </c>
      <c r="B4" s="273" t="s">
        <v>1</v>
      </c>
      <c r="C4" s="273" t="s">
        <v>3</v>
      </c>
      <c r="D4" s="273" t="s">
        <v>151</v>
      </c>
      <c r="E4" s="273" t="s">
        <v>23</v>
      </c>
      <c r="F4" s="273" t="s">
        <v>152</v>
      </c>
      <c r="G4" s="106" t="s">
        <v>153</v>
      </c>
      <c r="H4" s="107"/>
      <c r="I4" s="273" t="s">
        <v>154</v>
      </c>
    </row>
    <row r="5" spans="1:10" ht="20.100000000000001" customHeight="1" x14ac:dyDescent="0.15">
      <c r="A5" s="274"/>
      <c r="B5" s="274"/>
      <c r="C5" s="274"/>
      <c r="D5" s="274"/>
      <c r="E5" s="274"/>
      <c r="F5" s="274"/>
      <c r="G5" s="59" t="s">
        <v>65</v>
      </c>
      <c r="H5" s="59" t="s">
        <v>66</v>
      </c>
      <c r="I5" s="274"/>
    </row>
    <row r="6" spans="1:10" ht="20.100000000000001" customHeight="1" x14ac:dyDescent="0.15">
      <c r="A6" s="59">
        <f>IF(B6="","",SUBTOTAL(103, $B$6:B6))</f>
        <v>1</v>
      </c>
      <c r="B6" s="59" t="str">
        <f>INDEX(Sheet1!$B:$B,ROWS($A$6:$A6)+1)&amp;""</f>
        <v>見本　太郎</v>
      </c>
      <c r="C6" s="66">
        <f>IF(INDEX(Sheet1!$N:$N,ROWS($A$6:$A6)+1)="","",INDEX(Sheet1!$N:$N,ROWS($A$6:$A6)+1))</f>
        <v>23833</v>
      </c>
      <c r="D6" s="63" t="str">
        <f>IF(INDEX(Sheet1!$T:$T,ROWS($A$6:$A6)+1)&lt;&gt;"", INDEX(Sheet1!$T:$T,ROWS($A$6:$A6)+1), IF(INDEX(Sheet1!$O:$O,ROWS($A$6:$A6)+1)&lt;&gt;"", INDEX(Sheet1!$O:$O,ROWS($A$6:$A6)+1), ""))</f>
        <v>000-000-0001</v>
      </c>
      <c r="E6" s="64" t="str">
        <f>INDEX(Sheet1!$Y:$Y,ROWS($A$6:$A6)+1)&amp;""</f>
        <v>000-0001</v>
      </c>
      <c r="F6" s="61" t="str">
        <f>INDEX(Sheet1!$AC:$AC,ROWS($A$6:$A6)+1)&amp;""</f>
        <v>見本市見本町1丁目2-3</v>
      </c>
      <c r="G6" s="59" t="str">
        <f>IF(INDEX(Sheet1!$AM:$AM,ROWS($A$6:$A6)+1)&lt;&gt;"", "◯", "")</f>
        <v>◯</v>
      </c>
      <c r="H6" s="59" t="str">
        <f>IF(INDEX(Sheet1!$BA:$BA,ROWS($A$6:$A6)+1)&lt;&gt;"", "◯", "")</f>
        <v>◯</v>
      </c>
      <c r="I6" s="86"/>
    </row>
    <row r="7" spans="1:10" ht="20.100000000000001" customHeight="1" x14ac:dyDescent="0.15">
      <c r="A7" s="59">
        <f>IF(B7="","",SUBTOTAL(103, $B$6:B7))</f>
        <v>2</v>
      </c>
      <c r="B7" s="59" t="str">
        <f>INDEX(Sheet1!$B:$B,ROWS($A$6:$A7)+1)&amp;""</f>
        <v>例示　花子</v>
      </c>
      <c r="C7" s="66">
        <f>IF(INDEX(Sheet1!$N:$N,ROWS($A$6:$A7)+1)="","",INDEX(Sheet1!$N:$N,ROWS($A$6:$A7)+1))</f>
        <v>29417</v>
      </c>
      <c r="D7" s="63" t="str">
        <f>IF(INDEX(Sheet1!$T:$T,ROWS($A$6:$A7)+1)&lt;&gt;"", INDEX(Sheet1!$T:$T,ROWS($A$6:$A7)+1), IF(INDEX(Sheet1!$O:$O,ROWS($A$6:$A7)+1)&lt;&gt;"", INDEX(Sheet1!$O:$O,ROWS($A$6:$A7)+1), ""))</f>
        <v>080-0000-0002</v>
      </c>
      <c r="E7" s="64" t="str">
        <f>INDEX(Sheet1!$Y:$Y,ROWS($A$6:$A7)+1)&amp;""</f>
        <v>000-0002</v>
      </c>
      <c r="F7" s="61" t="str">
        <f>INDEX(Sheet1!$AC:$AC,ROWS($A$6:$A7)+1)&amp;""</f>
        <v>例示市例示町2丁目3-4</v>
      </c>
      <c r="G7" s="59" t="str">
        <f>IF(INDEX(Sheet1!$AM:$AM,ROWS($A$6:$A7)+1)&lt;&gt;"", "◯", "")</f>
        <v/>
      </c>
      <c r="H7" s="59" t="str">
        <f>IF(INDEX(Sheet1!$BA:$BA,ROWS($A$6:$A7)+1)&lt;&gt;"", "◯", "")</f>
        <v>◯</v>
      </c>
      <c r="I7" s="86"/>
    </row>
    <row r="8" spans="1:10" ht="20.100000000000001" customHeight="1" x14ac:dyDescent="0.15">
      <c r="A8" s="59">
        <f>IF(B8="","",SUBTOTAL(103, $B$6:B8))</f>
        <v>3</v>
      </c>
      <c r="B8" s="59" t="str">
        <f>INDEX(Sheet1!$B:$B,ROWS($A$6:$A8)+1)&amp;""</f>
        <v>記入　次郎</v>
      </c>
      <c r="C8" s="66">
        <f>IF(INDEX(Sheet1!$N:$N,ROWS($A$6:$A8)+1)="","",INDEX(Sheet1!$N:$N,ROWS($A$6:$A8)+1))</f>
        <v>21509</v>
      </c>
      <c r="D8" s="63" t="str">
        <f>IF(INDEX(Sheet1!$T:$T,ROWS($A$6:$A8)+1)&lt;&gt;"", INDEX(Sheet1!$T:$T,ROWS($A$6:$A8)+1), IF(INDEX(Sheet1!$O:$O,ROWS($A$6:$A8)+1)&lt;&gt;"", INDEX(Sheet1!$O:$O,ROWS($A$6:$A8)+1), ""))</f>
        <v>070-0000-0003</v>
      </c>
      <c r="E8" s="64" t="str">
        <f>INDEX(Sheet1!$Y:$Y,ROWS($A$6:$A8)+1)&amp;""</f>
        <v>000-0003</v>
      </c>
      <c r="F8" s="61" t="str">
        <f>INDEX(Sheet1!$AC:$AC,ROWS($A$6:$A8)+1)&amp;""</f>
        <v>記入市記入町3丁目4-5</v>
      </c>
      <c r="G8" s="59" t="str">
        <f>IF(INDEX(Sheet1!$AM:$AM,ROWS($A$6:$A8)+1)&lt;&gt;"", "◯", "")</f>
        <v>◯</v>
      </c>
      <c r="H8" s="59" t="str">
        <f>IF(INDEX(Sheet1!$BA:$BA,ROWS($A$6:$A8)+1)&lt;&gt;"", "◯", "")</f>
        <v/>
      </c>
      <c r="I8" s="86"/>
    </row>
    <row r="9" spans="1:10" ht="20.100000000000001" customHeight="1" x14ac:dyDescent="0.15">
      <c r="A9" s="59">
        <f>IF(B9="","",SUBTOTAL(103, $B$6:B9))</f>
        <v>4</v>
      </c>
      <c r="B9" s="59" t="str">
        <f>INDEX(Sheet1!$B:$B,ROWS($A$6:$A9)+1)&amp;""</f>
        <v>試験　三郎</v>
      </c>
      <c r="C9" s="66">
        <f>IF(INDEX(Sheet1!$N:$N,ROWS($A$6:$A9)+1)="","",INDEX(Sheet1!$N:$N,ROWS($A$6:$A9)+1))</f>
        <v>26357</v>
      </c>
      <c r="D9" s="63" t="str">
        <f>IF(INDEX(Sheet1!$T:$T,ROWS($A$6:$A9)+1)&lt;&gt;"", INDEX(Sheet1!$T:$T,ROWS($A$6:$A9)+1), IF(INDEX(Sheet1!$O:$O,ROWS($A$6:$A9)+1)&lt;&gt;"", INDEX(Sheet1!$O:$O,ROWS($A$6:$A9)+1), ""))</f>
        <v>000-000-0004</v>
      </c>
      <c r="E9" s="64" t="str">
        <f>INDEX(Sheet1!$Y:$Y,ROWS($A$6:$A9)+1)&amp;""</f>
        <v>000-0004</v>
      </c>
      <c r="F9" s="61" t="str">
        <f>INDEX(Sheet1!$AC:$AC,ROWS($A$6:$A9)+1)&amp;""</f>
        <v>試験市試験町4丁目5-6</v>
      </c>
      <c r="G9" s="59" t="str">
        <f>IF(INDEX(Sheet1!$AM:$AM,ROWS($A$6:$A9)+1)&lt;&gt;"", "◯", "")</f>
        <v>◯</v>
      </c>
      <c r="H9" s="59" t="str">
        <f>IF(INDEX(Sheet1!$BA:$BA,ROWS($A$6:$A9)+1)&lt;&gt;"", "◯", "")</f>
        <v/>
      </c>
      <c r="I9" s="86"/>
    </row>
    <row r="10" spans="1:10" ht="20.100000000000001" customHeight="1" x14ac:dyDescent="0.15">
      <c r="A10" s="59">
        <f>IF(B10="","",SUBTOTAL(103, $B$6:B10))</f>
        <v>5</v>
      </c>
      <c r="B10" s="59" t="str">
        <f>INDEX(Sheet1!$B:$B,ROWS($A$6:$A10)+1)&amp;""</f>
        <v>架空　良子</v>
      </c>
      <c r="C10" s="66">
        <f>IF(INDEX(Sheet1!$N:$N,ROWS($A$6:$A10)+1)="","",INDEX(Sheet1!$N:$N,ROWS($A$6:$A10)+1))</f>
        <v>33212</v>
      </c>
      <c r="D10" s="63" t="str">
        <f>IF(INDEX(Sheet1!$T:$T,ROWS($A$6:$A10)+1)&lt;&gt;"", INDEX(Sheet1!$T:$T,ROWS($A$6:$A10)+1), IF(INDEX(Sheet1!$O:$O,ROWS($A$6:$A10)+1)&lt;&gt;"", INDEX(Sheet1!$O:$O,ROWS($A$6:$A10)+1), ""))</f>
        <v>080-0000-0005</v>
      </c>
      <c r="E10" s="64" t="str">
        <f>INDEX(Sheet1!$Y:$Y,ROWS($A$6:$A10)+1)&amp;""</f>
        <v>000-0005</v>
      </c>
      <c r="F10" s="61" t="str">
        <f>INDEX(Sheet1!$AC:$AC,ROWS($A$6:$A10)+1)&amp;""</f>
        <v>架空市架空町5丁目6-7</v>
      </c>
      <c r="G10" s="59" t="str">
        <f>IF(INDEX(Sheet1!$AM:$AM,ROWS($A$6:$A10)+1)&lt;&gt;"", "◯", "")</f>
        <v/>
      </c>
      <c r="H10" s="59" t="str">
        <f>IF(INDEX(Sheet1!$BA:$BA,ROWS($A$6:$A10)+1)&lt;&gt;"", "◯", "")</f>
        <v>◯</v>
      </c>
      <c r="I10" s="86"/>
    </row>
    <row r="11" spans="1:10" ht="20.100000000000001" customHeight="1" x14ac:dyDescent="0.15">
      <c r="A11" s="59" t="str">
        <f>IF(B11="","",SUBTOTAL(103, $B$6:B11))</f>
        <v/>
      </c>
      <c r="B11" s="59" t="str">
        <f>INDEX(Sheet1!$B:$B,ROWS($A$6:$A11)+1)&amp;""</f>
        <v/>
      </c>
      <c r="C11" s="66" t="str">
        <f>IF(INDEX(Sheet1!$N:$N,ROWS($A$6:$A11)+1)="","",INDEX(Sheet1!$N:$N,ROWS($A$6:$A11)+1))</f>
        <v/>
      </c>
      <c r="D11" s="63" t="str">
        <f>IF(INDEX(Sheet1!$T:$T,ROWS($A$6:$A11)+1)&lt;&gt;"", INDEX(Sheet1!$T:$T,ROWS($A$6:$A11)+1), IF(INDEX(Sheet1!$O:$O,ROWS($A$6:$A11)+1)&lt;&gt;"", INDEX(Sheet1!$O:$O,ROWS($A$6:$A11)+1), ""))</f>
        <v/>
      </c>
      <c r="E11" s="64" t="str">
        <f>INDEX(Sheet1!$Y:$Y,ROWS($A$6:$A11)+1)&amp;""</f>
        <v/>
      </c>
      <c r="F11" s="61" t="str">
        <f>INDEX(Sheet1!$AC:$AC,ROWS($A$6:$A11)+1)&amp;""</f>
        <v/>
      </c>
      <c r="G11" s="59" t="str">
        <f>IF(INDEX(Sheet1!$AM:$AM,ROWS($A$6:$A11)+1)&lt;&gt;"", "◯", "")</f>
        <v/>
      </c>
      <c r="H11" s="59" t="str">
        <f>IF(INDEX(Sheet1!$BA:$BA,ROWS($A$6:$A11)+1)&lt;&gt;"", "◯", "")</f>
        <v/>
      </c>
      <c r="I11" s="86"/>
    </row>
    <row r="12" spans="1:10" ht="20.100000000000001" customHeight="1" x14ac:dyDescent="0.15">
      <c r="A12" s="59" t="str">
        <f>IF(B12="","",SUBTOTAL(103, $B$6:B12))</f>
        <v/>
      </c>
      <c r="B12" s="59" t="str">
        <f>INDEX(Sheet1!$B:$B,ROWS($A$6:$A12)+1)&amp;""</f>
        <v/>
      </c>
      <c r="C12" s="66" t="str">
        <f>IF(INDEX(Sheet1!$N:$N,ROWS($A$6:$A12)+1)="","",INDEX(Sheet1!$N:$N,ROWS($A$6:$A12)+1))</f>
        <v/>
      </c>
      <c r="D12" s="63" t="str">
        <f>IF(INDEX(Sheet1!$T:$T,ROWS($A$6:$A12)+1)&lt;&gt;"", INDEX(Sheet1!$T:$T,ROWS($A$6:$A12)+1), IF(INDEX(Sheet1!$O:$O,ROWS($A$6:$A12)+1)&lt;&gt;"", INDEX(Sheet1!$O:$O,ROWS($A$6:$A12)+1), ""))</f>
        <v/>
      </c>
      <c r="E12" s="64" t="str">
        <f>INDEX(Sheet1!$Y:$Y,ROWS($A$6:$A12)+1)&amp;""</f>
        <v/>
      </c>
      <c r="F12" s="61" t="str">
        <f>INDEX(Sheet1!$AC:$AC,ROWS($A$6:$A12)+1)&amp;""</f>
        <v/>
      </c>
      <c r="G12" s="59" t="str">
        <f>IF(INDEX(Sheet1!$AM:$AM,ROWS($A$6:$A12)+1)&lt;&gt;"", "◯", "")</f>
        <v/>
      </c>
      <c r="H12" s="59" t="str">
        <f>IF(INDEX(Sheet1!$BA:$BA,ROWS($A$6:$A12)+1)&lt;&gt;"", "◯", "")</f>
        <v/>
      </c>
      <c r="I12" s="86"/>
    </row>
    <row r="13" spans="1:10" ht="20.100000000000001" customHeight="1" x14ac:dyDescent="0.15">
      <c r="A13" s="59" t="str">
        <f>IF(B13="","",SUBTOTAL(103, $B$6:B13))</f>
        <v/>
      </c>
      <c r="B13" s="59" t="str">
        <f>INDEX(Sheet1!$B:$B,ROWS($A$6:$A13)+1)&amp;""</f>
        <v/>
      </c>
      <c r="C13" s="66" t="str">
        <f>IF(INDEX(Sheet1!$N:$N,ROWS($A$6:$A13)+1)="","",INDEX(Sheet1!$N:$N,ROWS($A$6:$A13)+1))</f>
        <v/>
      </c>
      <c r="D13" s="63" t="str">
        <f>IF(INDEX(Sheet1!$T:$T,ROWS($A$6:$A13)+1)&lt;&gt;"", INDEX(Sheet1!$T:$T,ROWS($A$6:$A13)+1), IF(INDEX(Sheet1!$O:$O,ROWS($A$6:$A13)+1)&lt;&gt;"", INDEX(Sheet1!$O:$O,ROWS($A$6:$A13)+1), ""))</f>
        <v/>
      </c>
      <c r="E13" s="64" t="str">
        <f>INDEX(Sheet1!$Y:$Y,ROWS($A$6:$A13)+1)&amp;""</f>
        <v/>
      </c>
      <c r="F13" s="61" t="str">
        <f>INDEX(Sheet1!$AC:$AC,ROWS($A$6:$A13)+1)&amp;""</f>
        <v/>
      </c>
      <c r="G13" s="59" t="str">
        <f>IF(INDEX(Sheet1!$AM:$AM,ROWS($A$6:$A13)+1)&lt;&gt;"", "◯", "")</f>
        <v/>
      </c>
      <c r="H13" s="59" t="str">
        <f>IF(INDEX(Sheet1!$BA:$BA,ROWS($A$6:$A13)+1)&lt;&gt;"", "◯", "")</f>
        <v/>
      </c>
      <c r="I13" s="86"/>
    </row>
    <row r="14" spans="1:10" ht="20.100000000000001" customHeight="1" x14ac:dyDescent="0.15">
      <c r="A14" s="59" t="str">
        <f>IF(B14="","",SUBTOTAL(103, $B$6:B14))</f>
        <v/>
      </c>
      <c r="B14" s="59" t="str">
        <f>INDEX(Sheet1!$B:$B,ROWS($A$6:$A14)+1)&amp;""</f>
        <v/>
      </c>
      <c r="C14" s="66" t="str">
        <f>IF(INDEX(Sheet1!$N:$N,ROWS($A$6:$A14)+1)="","",INDEX(Sheet1!$N:$N,ROWS($A$6:$A14)+1))</f>
        <v/>
      </c>
      <c r="D14" s="63" t="str">
        <f>IF(INDEX(Sheet1!$T:$T,ROWS($A$6:$A14)+1)&lt;&gt;"", INDEX(Sheet1!$T:$T,ROWS($A$6:$A14)+1), IF(INDEX(Sheet1!$O:$O,ROWS($A$6:$A14)+1)&lt;&gt;"", INDEX(Sheet1!$O:$O,ROWS($A$6:$A14)+1), ""))</f>
        <v/>
      </c>
      <c r="E14" s="64" t="str">
        <f>INDEX(Sheet1!$Y:$Y,ROWS($A$6:$A14)+1)&amp;""</f>
        <v/>
      </c>
      <c r="F14" s="61" t="str">
        <f>INDEX(Sheet1!$AC:$AC,ROWS($A$6:$A14)+1)&amp;""</f>
        <v/>
      </c>
      <c r="G14" s="59" t="str">
        <f>IF(INDEX(Sheet1!$AM:$AM,ROWS($A$6:$A14)+1)&lt;&gt;"", "◯", "")</f>
        <v/>
      </c>
      <c r="H14" s="59" t="str">
        <f>IF(INDEX(Sheet1!$BA:$BA,ROWS($A$6:$A14)+1)&lt;&gt;"", "◯", "")</f>
        <v/>
      </c>
      <c r="I14" s="86"/>
    </row>
    <row r="15" spans="1:10" ht="20.100000000000001" customHeight="1" x14ac:dyDescent="0.15">
      <c r="A15" s="59" t="str">
        <f>IF(B15="","",SUBTOTAL(103, $B$6:B15))</f>
        <v/>
      </c>
      <c r="B15" s="59" t="str">
        <f>INDEX(Sheet1!$B:$B,ROWS($A$6:$A15)+1)&amp;""</f>
        <v/>
      </c>
      <c r="C15" s="66" t="str">
        <f>IF(INDEX(Sheet1!$N:$N,ROWS($A$6:$A15)+1)="","",INDEX(Sheet1!$N:$N,ROWS($A$6:$A15)+1))</f>
        <v/>
      </c>
      <c r="D15" s="63" t="str">
        <f>IF(INDEX(Sheet1!$T:$T,ROWS($A$6:$A15)+1)&lt;&gt;"", INDEX(Sheet1!$T:$T,ROWS($A$6:$A15)+1), IF(INDEX(Sheet1!$O:$O,ROWS($A$6:$A15)+1)&lt;&gt;"", INDEX(Sheet1!$O:$O,ROWS($A$6:$A15)+1), ""))</f>
        <v/>
      </c>
      <c r="E15" s="64" t="str">
        <f>INDEX(Sheet1!$Y:$Y,ROWS($A$6:$A15)+1)&amp;""</f>
        <v/>
      </c>
      <c r="F15" s="61" t="str">
        <f>INDEX(Sheet1!$AC:$AC,ROWS($A$6:$A15)+1)&amp;""</f>
        <v/>
      </c>
      <c r="G15" s="59" t="str">
        <f>IF(INDEX(Sheet1!$AM:$AM,ROWS($A$6:$A15)+1)&lt;&gt;"", "◯", "")</f>
        <v/>
      </c>
      <c r="H15" s="59" t="str">
        <f>IF(INDEX(Sheet1!$BA:$BA,ROWS($A$6:$A15)+1)&lt;&gt;"", "◯", "")</f>
        <v/>
      </c>
      <c r="I15" s="86"/>
    </row>
    <row r="16" spans="1:10" ht="20.100000000000001" customHeight="1" x14ac:dyDescent="0.15">
      <c r="A16" s="59" t="str">
        <f>IF(B16="","",SUBTOTAL(103, $B$6:B16))</f>
        <v/>
      </c>
      <c r="B16" s="59" t="str">
        <f>INDEX(Sheet1!$B:$B,ROWS($A$6:$A16)+1)&amp;""</f>
        <v/>
      </c>
      <c r="C16" s="66" t="str">
        <f>IF(INDEX(Sheet1!$N:$N,ROWS($A$6:$A16)+1)="","",INDEX(Sheet1!$N:$N,ROWS($A$6:$A16)+1))</f>
        <v/>
      </c>
      <c r="D16" s="63" t="str">
        <f>IF(INDEX(Sheet1!$T:$T,ROWS($A$6:$A16)+1)&lt;&gt;"", INDEX(Sheet1!$T:$T,ROWS($A$6:$A16)+1), IF(INDEX(Sheet1!$O:$O,ROWS($A$6:$A16)+1)&lt;&gt;"", INDEX(Sheet1!$O:$O,ROWS($A$6:$A16)+1), ""))</f>
        <v/>
      </c>
      <c r="E16" s="64" t="str">
        <f>INDEX(Sheet1!$Y:$Y,ROWS($A$6:$A16)+1)&amp;""</f>
        <v/>
      </c>
      <c r="F16" s="61" t="str">
        <f>INDEX(Sheet1!$AC:$AC,ROWS($A$6:$A16)+1)&amp;""</f>
        <v/>
      </c>
      <c r="G16" s="59" t="str">
        <f>IF(INDEX(Sheet1!$AM:$AM,ROWS($A$6:$A16)+1)&lt;&gt;"", "◯", "")</f>
        <v/>
      </c>
      <c r="H16" s="59" t="str">
        <f>IF(INDEX(Sheet1!$BA:$BA,ROWS($A$6:$A16)+1)&lt;&gt;"", "◯", "")</f>
        <v/>
      </c>
      <c r="I16" s="86"/>
    </row>
    <row r="17" spans="1:14" ht="20.100000000000001" customHeight="1" x14ac:dyDescent="0.15">
      <c r="A17" s="59" t="str">
        <f>IF(B17="","",SUBTOTAL(103, $B$6:B17))</f>
        <v/>
      </c>
      <c r="B17" s="59" t="str">
        <f>INDEX(Sheet1!$B:$B,ROWS($A$6:$A17)+1)&amp;""</f>
        <v/>
      </c>
      <c r="C17" s="66" t="str">
        <f>IF(INDEX(Sheet1!$N:$N,ROWS($A$6:$A17)+1)="","",INDEX(Sheet1!$N:$N,ROWS($A$6:$A17)+1))</f>
        <v/>
      </c>
      <c r="D17" s="63" t="str">
        <f>IF(INDEX(Sheet1!$T:$T,ROWS($A$6:$A17)+1)&lt;&gt;"", INDEX(Sheet1!$T:$T,ROWS($A$6:$A17)+1), IF(INDEX(Sheet1!$O:$O,ROWS($A$6:$A17)+1)&lt;&gt;"", INDEX(Sheet1!$O:$O,ROWS($A$6:$A17)+1), ""))</f>
        <v/>
      </c>
      <c r="E17" s="64" t="str">
        <f>INDEX(Sheet1!$Y:$Y,ROWS($A$6:$A17)+1)&amp;""</f>
        <v/>
      </c>
      <c r="F17" s="61" t="str">
        <f>INDEX(Sheet1!$AC:$AC,ROWS($A$6:$A17)+1)&amp;""</f>
        <v/>
      </c>
      <c r="G17" s="59" t="str">
        <f>IF(INDEX(Sheet1!$AM:$AM,ROWS($A$6:$A17)+1)&lt;&gt;"", "◯", "")</f>
        <v/>
      </c>
      <c r="H17" s="59" t="str">
        <f>IF(INDEX(Sheet1!$BA:$BA,ROWS($A$6:$A17)+1)&lt;&gt;"", "◯", "")</f>
        <v/>
      </c>
      <c r="I17" s="86"/>
    </row>
    <row r="18" spans="1:14" ht="20.100000000000001" customHeight="1" x14ac:dyDescent="0.15">
      <c r="A18" s="59" t="str">
        <f>IF(B18="","",SUBTOTAL(103, $B$6:B18))</f>
        <v/>
      </c>
      <c r="B18" s="59" t="str">
        <f>INDEX(Sheet1!$B:$B,ROWS($A$6:$A18)+1)&amp;""</f>
        <v/>
      </c>
      <c r="C18" s="66" t="str">
        <f>IF(INDEX(Sheet1!$N:$N,ROWS($A$6:$A18)+1)="","",INDEX(Sheet1!$N:$N,ROWS($A$6:$A18)+1))</f>
        <v/>
      </c>
      <c r="D18" s="63" t="str">
        <f>IF(INDEX(Sheet1!$T:$T,ROWS($A$6:$A18)+1)&lt;&gt;"", INDEX(Sheet1!$T:$T,ROWS($A$6:$A18)+1), IF(INDEX(Sheet1!$O:$O,ROWS($A$6:$A18)+1)&lt;&gt;"", INDEX(Sheet1!$O:$O,ROWS($A$6:$A18)+1), ""))</f>
        <v/>
      </c>
      <c r="E18" s="64" t="str">
        <f>INDEX(Sheet1!$Y:$Y,ROWS($A$6:$A18)+1)&amp;""</f>
        <v/>
      </c>
      <c r="F18" s="61" t="str">
        <f>INDEX(Sheet1!$AC:$AC,ROWS($A$6:$A18)+1)&amp;""</f>
        <v/>
      </c>
      <c r="G18" s="59" t="str">
        <f>IF(INDEX(Sheet1!$AM:$AM,ROWS($A$6:$A18)+1)&lt;&gt;"", "◯", "")</f>
        <v/>
      </c>
      <c r="H18" s="59" t="str">
        <f>IF(INDEX(Sheet1!$BA:$BA,ROWS($A$6:$A18)+1)&lt;&gt;"", "◯", "")</f>
        <v/>
      </c>
      <c r="I18" s="86"/>
    </row>
    <row r="19" spans="1:14" ht="20.100000000000001" customHeight="1" x14ac:dyDescent="0.15">
      <c r="A19" s="59" t="str">
        <f>IF(B19="","",SUBTOTAL(103, $B$6:B19))</f>
        <v/>
      </c>
      <c r="B19" s="59" t="str">
        <f>INDEX(Sheet1!$B:$B,ROWS($A$6:$A19)+1)&amp;""</f>
        <v/>
      </c>
      <c r="C19" s="66" t="str">
        <f>IF(INDEX(Sheet1!$N:$N,ROWS($A$6:$A19)+1)="","",INDEX(Sheet1!$N:$N,ROWS($A$6:$A19)+1))</f>
        <v/>
      </c>
      <c r="D19" s="63" t="str">
        <f>IF(INDEX(Sheet1!$T:$T,ROWS($A$6:$A19)+1)&lt;&gt;"", INDEX(Sheet1!$T:$T,ROWS($A$6:$A19)+1), IF(INDEX(Sheet1!$O:$O,ROWS($A$6:$A19)+1)&lt;&gt;"", INDEX(Sheet1!$O:$O,ROWS($A$6:$A19)+1), ""))</f>
        <v/>
      </c>
      <c r="E19" s="64" t="str">
        <f>INDEX(Sheet1!$Y:$Y,ROWS($A$6:$A19)+1)&amp;""</f>
        <v/>
      </c>
      <c r="F19" s="61" t="str">
        <f>INDEX(Sheet1!$AC:$AC,ROWS($A$6:$A19)+1)&amp;""</f>
        <v/>
      </c>
      <c r="G19" s="59" t="str">
        <f>IF(INDEX(Sheet1!$AM:$AM,ROWS($A$6:$A19)+1)&lt;&gt;"", "◯", "")</f>
        <v/>
      </c>
      <c r="H19" s="59" t="str">
        <f>IF(INDEX(Sheet1!$BA:$BA,ROWS($A$6:$A19)+1)&lt;&gt;"", "◯", "")</f>
        <v/>
      </c>
      <c r="I19" s="86"/>
    </row>
    <row r="20" spans="1:14" ht="20.100000000000001" customHeight="1" x14ac:dyDescent="0.15">
      <c r="A20" s="59" t="str">
        <f>IF(B20="","",SUBTOTAL(103, $B$6:B20))</f>
        <v/>
      </c>
      <c r="B20" s="59" t="str">
        <f>INDEX(Sheet1!$B:$B,ROWS($A$6:$A20)+1)&amp;""</f>
        <v/>
      </c>
      <c r="C20" s="66" t="str">
        <f>IF(INDEX(Sheet1!$N:$N,ROWS($A$6:$A20)+1)="","",INDEX(Sheet1!$N:$N,ROWS($A$6:$A20)+1))</f>
        <v/>
      </c>
      <c r="D20" s="63" t="str">
        <f>IF(INDEX(Sheet1!$T:$T,ROWS($A$6:$A20)+1)&lt;&gt;"", INDEX(Sheet1!$T:$T,ROWS($A$6:$A20)+1), IF(INDEX(Sheet1!$O:$O,ROWS($A$6:$A20)+1)&lt;&gt;"", INDEX(Sheet1!$O:$O,ROWS($A$6:$A20)+1), ""))</f>
        <v/>
      </c>
      <c r="E20" s="64" t="str">
        <f>INDEX(Sheet1!$Y:$Y,ROWS($A$6:$A20)+1)&amp;""</f>
        <v/>
      </c>
      <c r="F20" s="61" t="str">
        <f>INDEX(Sheet1!$AC:$AC,ROWS($A$6:$A20)+1)&amp;""</f>
        <v/>
      </c>
      <c r="G20" s="59" t="str">
        <f>IF(INDEX(Sheet1!$AM:$AM,ROWS($A$6:$A20)+1)&lt;&gt;"", "◯", "")</f>
        <v/>
      </c>
      <c r="H20" s="59" t="str">
        <f>IF(INDEX(Sheet1!$BA:$BA,ROWS($A$6:$A20)+1)&lt;&gt;"", "◯", "")</f>
        <v/>
      </c>
      <c r="I20" s="86"/>
    </row>
    <row r="21" spans="1:14" ht="20.100000000000001" customHeight="1" x14ac:dyDescent="0.15">
      <c r="A21" s="59" t="str">
        <f>IF(B21="","",SUBTOTAL(103, $B$6:B21))</f>
        <v/>
      </c>
      <c r="B21" s="59" t="str">
        <f>INDEX(Sheet1!$B:$B,ROWS($A$6:$A21)+1)&amp;""</f>
        <v/>
      </c>
      <c r="C21" s="66" t="str">
        <f>IF(INDEX(Sheet1!$N:$N,ROWS($A$6:$A21)+1)="","",INDEX(Sheet1!$N:$N,ROWS($A$6:$A21)+1))</f>
        <v/>
      </c>
      <c r="D21" s="63" t="str">
        <f>IF(INDEX(Sheet1!$T:$T,ROWS($A$6:$A21)+1)&lt;&gt;"", INDEX(Sheet1!$T:$T,ROWS($A$6:$A21)+1), IF(INDEX(Sheet1!$O:$O,ROWS($A$6:$A21)+1)&lt;&gt;"", INDEX(Sheet1!$O:$O,ROWS($A$6:$A21)+1), ""))</f>
        <v/>
      </c>
      <c r="E21" s="64" t="str">
        <f>INDEX(Sheet1!$Y:$Y,ROWS($A$6:$A21)+1)&amp;""</f>
        <v/>
      </c>
      <c r="F21" s="61" t="str">
        <f>INDEX(Sheet1!$AC:$AC,ROWS($A$6:$A21)+1)&amp;""</f>
        <v/>
      </c>
      <c r="G21" s="59" t="str">
        <f>IF(INDEX(Sheet1!$AM:$AM,ROWS($A$6:$A21)+1)&lt;&gt;"", "◯", "")</f>
        <v/>
      </c>
      <c r="H21" s="59" t="str">
        <f>IF(INDEX(Sheet1!$BA:$BA,ROWS($A$6:$A21)+1)&lt;&gt;"", "◯", "")</f>
        <v/>
      </c>
      <c r="I21" s="86"/>
    </row>
    <row r="22" spans="1:14" ht="20.100000000000001" customHeight="1" x14ac:dyDescent="0.15">
      <c r="A22" s="59" t="str">
        <f>IF(B22="","",SUBTOTAL(103, $B$6:B22))</f>
        <v/>
      </c>
      <c r="B22" s="59" t="str">
        <f>INDEX(Sheet1!$B:$B,ROWS($A$6:$A22)+1)&amp;""</f>
        <v/>
      </c>
      <c r="C22" s="66" t="str">
        <f>IF(INDEX(Sheet1!$N:$N,ROWS($A$6:$A22)+1)="","",INDEX(Sheet1!$N:$N,ROWS($A$6:$A22)+1))</f>
        <v/>
      </c>
      <c r="D22" s="63" t="str">
        <f>IF(INDEX(Sheet1!$T:$T,ROWS($A$6:$A22)+1)&lt;&gt;"", INDEX(Sheet1!$T:$T,ROWS($A$6:$A22)+1), IF(INDEX(Sheet1!$O:$O,ROWS($A$6:$A22)+1)&lt;&gt;"", INDEX(Sheet1!$O:$O,ROWS($A$6:$A22)+1), ""))</f>
        <v/>
      </c>
      <c r="E22" s="64" t="str">
        <f>INDEX(Sheet1!$Y:$Y,ROWS($A$6:$A22)+1)&amp;""</f>
        <v/>
      </c>
      <c r="F22" s="61" t="str">
        <f>INDEX(Sheet1!$AC:$AC,ROWS($A$6:$A22)+1)&amp;""</f>
        <v/>
      </c>
      <c r="G22" s="59" t="str">
        <f>IF(INDEX(Sheet1!$AM:$AM,ROWS($A$6:$A22)+1)&lt;&gt;"", "◯", "")</f>
        <v/>
      </c>
      <c r="H22" s="59" t="str">
        <f>IF(INDEX(Sheet1!$BA:$BA,ROWS($A$6:$A22)+1)&lt;&gt;"", "◯", "")</f>
        <v/>
      </c>
      <c r="I22" s="86"/>
    </row>
    <row r="23" spans="1:14" ht="20.100000000000001" customHeight="1" x14ac:dyDescent="0.15">
      <c r="A23" s="59" t="str">
        <f>IF(B23="","",SUBTOTAL(103, $B$6:B23))</f>
        <v/>
      </c>
      <c r="B23" s="59" t="str">
        <f>INDEX(Sheet1!$B:$B,ROWS($A$6:$A23)+1)&amp;""</f>
        <v/>
      </c>
      <c r="C23" s="66" t="str">
        <f>IF(INDEX(Sheet1!$N:$N,ROWS($A$6:$A23)+1)="","",INDEX(Sheet1!$N:$N,ROWS($A$6:$A23)+1))</f>
        <v/>
      </c>
      <c r="D23" s="63" t="str">
        <f>IF(INDEX(Sheet1!$T:$T,ROWS($A$6:$A23)+1)&lt;&gt;"", INDEX(Sheet1!$T:$T,ROWS($A$6:$A23)+1), IF(INDEX(Sheet1!$O:$O,ROWS($A$6:$A23)+1)&lt;&gt;"", INDEX(Sheet1!$O:$O,ROWS($A$6:$A23)+1), ""))</f>
        <v/>
      </c>
      <c r="E23" s="64" t="str">
        <f>INDEX(Sheet1!$Y:$Y,ROWS($A$6:$A23)+1)&amp;""</f>
        <v/>
      </c>
      <c r="F23" s="61" t="str">
        <f>INDEX(Sheet1!$AC:$AC,ROWS($A$6:$A23)+1)&amp;""</f>
        <v/>
      </c>
      <c r="G23" s="59" t="str">
        <f>IF(INDEX(Sheet1!$AM:$AM,ROWS($A$6:$A23)+1)&lt;&gt;"", "◯", "")</f>
        <v/>
      </c>
      <c r="H23" s="59" t="str">
        <f>IF(INDEX(Sheet1!$BA:$BA,ROWS($A$6:$A23)+1)&lt;&gt;"", "◯", "")</f>
        <v/>
      </c>
      <c r="I23" s="86"/>
    </row>
    <row r="24" spans="1:14" ht="20.100000000000001" customHeight="1" x14ac:dyDescent="0.15">
      <c r="A24" s="59" t="str">
        <f>IF(B24="","",SUBTOTAL(103, $B$6:B24))</f>
        <v/>
      </c>
      <c r="B24" s="59" t="str">
        <f>INDEX(Sheet1!$B:$B,ROWS($A$6:$A24)+1)&amp;""</f>
        <v/>
      </c>
      <c r="C24" s="66" t="str">
        <f>IF(INDEX(Sheet1!$N:$N,ROWS($A$6:$A24)+1)="","",INDEX(Sheet1!$N:$N,ROWS($A$6:$A24)+1))</f>
        <v/>
      </c>
      <c r="D24" s="63" t="str">
        <f>IF(INDEX(Sheet1!$T:$T,ROWS($A$6:$A24)+1)&lt;&gt;"", INDEX(Sheet1!$T:$T,ROWS($A$6:$A24)+1), IF(INDEX(Sheet1!$O:$O,ROWS($A$6:$A24)+1)&lt;&gt;"", INDEX(Sheet1!$O:$O,ROWS($A$6:$A24)+1), ""))</f>
        <v/>
      </c>
      <c r="E24" s="64" t="str">
        <f>INDEX(Sheet1!$Y:$Y,ROWS($A$6:$A24)+1)&amp;""</f>
        <v/>
      </c>
      <c r="F24" s="61" t="str">
        <f>INDEX(Sheet1!$AC:$AC,ROWS($A$6:$A24)+1)&amp;""</f>
        <v/>
      </c>
      <c r="G24" s="59" t="str">
        <f>IF(INDEX(Sheet1!$AM:$AM,ROWS($A$6:$A24)+1)&lt;&gt;"", "◯", "")</f>
        <v/>
      </c>
      <c r="H24" s="59" t="str">
        <f>IF(INDEX(Sheet1!$BA:$BA,ROWS($A$6:$A24)+1)&lt;&gt;"", "◯", "")</f>
        <v/>
      </c>
      <c r="I24" s="86"/>
    </row>
    <row r="25" spans="1:14" ht="20.100000000000001" customHeight="1" x14ac:dyDescent="0.15">
      <c r="A25" s="59" t="str">
        <f>IF(B25="","",SUBTOTAL(103, $B$6:B25))</f>
        <v/>
      </c>
      <c r="B25" s="59" t="str">
        <f>INDEX(Sheet1!$B:$B,ROWS($A$6:$A25)+1)&amp;""</f>
        <v/>
      </c>
      <c r="C25" s="66" t="str">
        <f>IF(INDEX(Sheet1!$N:$N,ROWS($A$6:$A25)+1)="","",INDEX(Sheet1!$N:$N,ROWS($A$6:$A25)+1))</f>
        <v/>
      </c>
      <c r="D25" s="63" t="str">
        <f>IF(INDEX(Sheet1!$T:$T,ROWS($A$6:$A25)+1)&lt;&gt;"", INDEX(Sheet1!$T:$T,ROWS($A$6:$A25)+1), IF(INDEX(Sheet1!$O:$O,ROWS($A$6:$A25)+1)&lt;&gt;"", INDEX(Sheet1!$O:$O,ROWS($A$6:$A25)+1), ""))</f>
        <v/>
      </c>
      <c r="E25" s="64" t="str">
        <f>INDEX(Sheet1!$Y:$Y,ROWS($A$6:$A25)+1)&amp;""</f>
        <v/>
      </c>
      <c r="F25" s="61" t="str">
        <f>INDEX(Sheet1!$AC:$AC,ROWS($A$6:$A25)+1)&amp;""</f>
        <v/>
      </c>
      <c r="G25" s="59" t="str">
        <f>IF(INDEX(Sheet1!$AM:$AM,ROWS($A$6:$A25)+1)&lt;&gt;"", "◯", "")</f>
        <v/>
      </c>
      <c r="H25" s="59" t="str">
        <f>IF(INDEX(Sheet1!$BA:$BA,ROWS($A$6:$A25)+1)&lt;&gt;"", "◯", "")</f>
        <v/>
      </c>
      <c r="I25" s="87"/>
    </row>
    <row r="26" spans="1:14" ht="20.100000000000001" customHeight="1" x14ac:dyDescent="0.15">
      <c r="A26" s="59" t="str">
        <f>IF(B26="","",SUBTOTAL(103, $B$6:B26))</f>
        <v/>
      </c>
      <c r="B26" s="59" t="str">
        <f>INDEX(Sheet1!$B:$B,ROWS($A$6:$A26)+1)&amp;""</f>
        <v/>
      </c>
      <c r="C26" s="66" t="str">
        <f>IF(INDEX(Sheet1!$N:$N,ROWS($A$6:$A26)+1)="","",INDEX(Sheet1!$N:$N,ROWS($A$6:$A26)+1))</f>
        <v/>
      </c>
      <c r="D26" s="63" t="str">
        <f>IF(INDEX(Sheet1!$T:$T,ROWS($A$6:$A26)+1)&lt;&gt;"", INDEX(Sheet1!$T:$T,ROWS($A$6:$A26)+1), IF(INDEX(Sheet1!$O:$O,ROWS($A$6:$A26)+1)&lt;&gt;"", INDEX(Sheet1!$O:$O,ROWS($A$6:$A26)+1), ""))</f>
        <v/>
      </c>
      <c r="E26" s="64" t="str">
        <f>INDEX(Sheet1!$Y:$Y,ROWS($A$6:$A26)+1)&amp;""</f>
        <v/>
      </c>
      <c r="F26" s="61" t="str">
        <f>INDEX(Sheet1!$AC:$AC,ROWS($A$6:$A26)+1)&amp;""</f>
        <v/>
      </c>
      <c r="G26" s="59" t="str">
        <f>IF(INDEX(Sheet1!$AM:$AM,ROWS($A$6:$A26)+1)&lt;&gt;"", "◯", "")</f>
        <v/>
      </c>
      <c r="H26" s="59" t="str">
        <f>IF(INDEX(Sheet1!$BA:$BA,ROWS($A$6:$A26)+1)&lt;&gt;"", "◯", "")</f>
        <v/>
      </c>
      <c r="I26" s="86"/>
    </row>
    <row r="27" spans="1:14" ht="20.100000000000001" customHeight="1" x14ac:dyDescent="0.15">
      <c r="A27" s="59" t="str">
        <f>IF(B27="","",SUBTOTAL(103, $B$6:B27))</f>
        <v/>
      </c>
      <c r="B27" s="59" t="str">
        <f>INDEX(Sheet1!$B:$B,ROWS($A$6:$A27)+1)&amp;""</f>
        <v/>
      </c>
      <c r="C27" s="66" t="str">
        <f>IF(INDEX(Sheet1!$N:$N,ROWS($A$6:$A27)+1)="","",INDEX(Sheet1!$N:$N,ROWS($A$6:$A27)+1))</f>
        <v/>
      </c>
      <c r="D27" s="63" t="str">
        <f>IF(INDEX(Sheet1!$T:$T,ROWS($A$6:$A27)+1)&lt;&gt;"", INDEX(Sheet1!$T:$T,ROWS($A$6:$A27)+1), IF(INDEX(Sheet1!$O:$O,ROWS($A$6:$A27)+1)&lt;&gt;"", INDEX(Sheet1!$O:$O,ROWS($A$6:$A27)+1), ""))</f>
        <v/>
      </c>
      <c r="E27" s="64" t="str">
        <f>INDEX(Sheet1!$Y:$Y,ROWS($A$6:$A27)+1)&amp;""</f>
        <v/>
      </c>
      <c r="F27" s="61" t="str">
        <f>INDEX(Sheet1!$AC:$AC,ROWS($A$6:$A27)+1)&amp;""</f>
        <v/>
      </c>
      <c r="G27" s="59" t="str">
        <f>IF(INDEX(Sheet1!$AM:$AM,ROWS($A$6:$A27)+1)&lt;&gt;"", "◯", "")</f>
        <v/>
      </c>
      <c r="H27" s="59" t="str">
        <f>IF(INDEX(Sheet1!$BA:$BA,ROWS($A$6:$A27)+1)&lt;&gt;"", "◯", "")</f>
        <v/>
      </c>
      <c r="I27" s="86"/>
    </row>
    <row r="28" spans="1:14" ht="20.100000000000001" customHeight="1" x14ac:dyDescent="0.15">
      <c r="A28" s="59" t="str">
        <f>IF(B28="","",SUBTOTAL(103, $B$6:B28))</f>
        <v/>
      </c>
      <c r="B28" s="59" t="str">
        <f>INDEX(Sheet1!$B:$B,ROWS($A$6:$A28)+1)&amp;""</f>
        <v/>
      </c>
      <c r="C28" s="66" t="str">
        <f>IF(INDEX(Sheet1!$N:$N,ROWS($A$6:$A28)+1)="","",INDEX(Sheet1!$N:$N,ROWS($A$6:$A28)+1))</f>
        <v/>
      </c>
      <c r="D28" s="63" t="str">
        <f>IF(INDEX(Sheet1!$T:$T,ROWS($A$6:$A28)+1)&lt;&gt;"", INDEX(Sheet1!$T:$T,ROWS($A$6:$A28)+1), IF(INDEX(Sheet1!$O:$O,ROWS($A$6:$A28)+1)&lt;&gt;"", INDEX(Sheet1!$O:$O,ROWS($A$6:$A28)+1), ""))</f>
        <v/>
      </c>
      <c r="E28" s="64" t="str">
        <f>INDEX(Sheet1!$Y:$Y,ROWS($A$6:$A28)+1)&amp;""</f>
        <v/>
      </c>
      <c r="F28" s="61" t="str">
        <f>INDEX(Sheet1!$AC:$AC,ROWS($A$6:$A28)+1)&amp;""</f>
        <v/>
      </c>
      <c r="G28" s="59" t="str">
        <f>IF(INDEX(Sheet1!$AM:$AM,ROWS($A$6:$A28)+1)&lt;&gt;"", "◯", "")</f>
        <v/>
      </c>
      <c r="H28" s="59" t="str">
        <f>IF(INDEX(Sheet1!$BA:$BA,ROWS($A$6:$A28)+1)&lt;&gt;"", "◯", "")</f>
        <v/>
      </c>
      <c r="I28" s="86"/>
      <c r="J28" s="62"/>
    </row>
    <row r="29" spans="1:14" s="56" customFormat="1" ht="20.100000000000001" customHeight="1" x14ac:dyDescent="0.15">
      <c r="A29" s="59" t="str">
        <f>IF(B29="","",SUBTOTAL(103, $B$6:B29))</f>
        <v/>
      </c>
      <c r="B29" s="59" t="str">
        <f>INDEX(Sheet1!$B:$B,ROWS($A$6:$A29)+1)&amp;""</f>
        <v/>
      </c>
      <c r="C29" s="66" t="str">
        <f>IF(INDEX(Sheet1!$N:$N,ROWS($A$6:$A29)+1)="","",INDEX(Sheet1!$N:$N,ROWS($A$6:$A29)+1))</f>
        <v/>
      </c>
      <c r="D29" s="63" t="str">
        <f>IF(INDEX(Sheet1!$T:$T,ROWS($A$6:$A29)+1)&lt;&gt;"", INDEX(Sheet1!$T:$T,ROWS($A$6:$A29)+1), IF(INDEX(Sheet1!$O:$O,ROWS($A$6:$A29)+1)&lt;&gt;"", INDEX(Sheet1!$O:$O,ROWS($A$6:$A29)+1), ""))</f>
        <v/>
      </c>
      <c r="E29" s="64" t="str">
        <f>INDEX(Sheet1!$Y:$Y,ROWS($A$6:$A29)+1)&amp;""</f>
        <v/>
      </c>
      <c r="F29" s="61" t="str">
        <f>INDEX(Sheet1!$AC:$AC,ROWS($A$6:$A29)+1)&amp;""</f>
        <v/>
      </c>
      <c r="G29" s="59" t="str">
        <f>IF(INDEX(Sheet1!$AM:$AM,ROWS($A$6:$A29)+1)&lt;&gt;"", "◯", "")</f>
        <v/>
      </c>
      <c r="H29" s="59" t="str">
        <f>IF(INDEX(Sheet1!$BA:$BA,ROWS($A$6:$A29)+1)&lt;&gt;"", "◯", "")</f>
        <v/>
      </c>
      <c r="I29" s="86"/>
      <c r="J29" s="60"/>
      <c r="K29" s="57"/>
      <c r="L29" s="57"/>
      <c r="M29" s="57"/>
      <c r="N29" s="57"/>
    </row>
    <row r="30" spans="1:14" ht="20.100000000000001" customHeight="1" x14ac:dyDescent="0.15">
      <c r="A30" s="59" t="str">
        <f>IF(B30="","",SUBTOTAL(103, $B$6:B30))</f>
        <v/>
      </c>
      <c r="B30" s="59" t="str">
        <f>INDEX(Sheet1!$B:$B,ROWS($A$6:$A30)+1)&amp;""</f>
        <v/>
      </c>
      <c r="C30" s="66" t="str">
        <f>IF(INDEX(Sheet1!$N:$N,ROWS($A$6:$A30)+1)="","",INDEX(Sheet1!$N:$N,ROWS($A$6:$A30)+1))</f>
        <v/>
      </c>
      <c r="D30" s="63" t="str">
        <f>IF(INDEX(Sheet1!$T:$T,ROWS($A$6:$A30)+1)&lt;&gt;"", INDEX(Sheet1!$T:$T,ROWS($A$6:$A30)+1), IF(INDEX(Sheet1!$O:$O,ROWS($A$6:$A30)+1)&lt;&gt;"", INDEX(Sheet1!$O:$O,ROWS($A$6:$A30)+1), ""))</f>
        <v/>
      </c>
      <c r="E30" s="64" t="str">
        <f>INDEX(Sheet1!$Y:$Y,ROWS($A$6:$A30)+1)&amp;""</f>
        <v/>
      </c>
      <c r="F30" s="61" t="str">
        <f>INDEX(Sheet1!$AC:$AC,ROWS($A$6:$A30)+1)&amp;""</f>
        <v/>
      </c>
      <c r="G30" s="59" t="str">
        <f>IF(INDEX(Sheet1!$AM:$AM,ROWS($A$6:$A30)+1)&lt;&gt;"", "◯", "")</f>
        <v/>
      </c>
      <c r="H30" s="59" t="str">
        <f>IF(INDEX(Sheet1!$BA:$BA,ROWS($A$6:$A30)+1)&lt;&gt;"", "◯", "")</f>
        <v/>
      </c>
      <c r="I30" s="87"/>
      <c r="J30" s="62"/>
    </row>
    <row r="31" spans="1:14" ht="20.100000000000001" customHeight="1" x14ac:dyDescent="0.15">
      <c r="A31" s="59" t="str">
        <f>IF(B31="","",SUBTOTAL(103, $B$6:B31))</f>
        <v/>
      </c>
      <c r="B31" s="59" t="str">
        <f>INDEX(Sheet1!$B:$B,ROWS($A$6:$A31)+1)&amp;""</f>
        <v/>
      </c>
      <c r="C31" s="66" t="str">
        <f>IF(INDEX(Sheet1!$N:$N,ROWS($A$6:$A31)+1)="","",INDEX(Sheet1!$N:$N,ROWS($A$6:$A31)+1))</f>
        <v/>
      </c>
      <c r="D31" s="63" t="str">
        <f>IF(INDEX(Sheet1!$T:$T,ROWS($A$6:$A31)+1)&lt;&gt;"", INDEX(Sheet1!$T:$T,ROWS($A$6:$A31)+1), IF(INDEX(Sheet1!$O:$O,ROWS($A$6:$A31)+1)&lt;&gt;"", INDEX(Sheet1!$O:$O,ROWS($A$6:$A31)+1), ""))</f>
        <v/>
      </c>
      <c r="E31" s="64" t="str">
        <f>INDEX(Sheet1!$Y:$Y,ROWS($A$6:$A31)+1)&amp;""</f>
        <v/>
      </c>
      <c r="F31" s="61" t="str">
        <f>INDEX(Sheet1!$AC:$AC,ROWS($A$6:$A31)+1)&amp;""</f>
        <v/>
      </c>
      <c r="G31" s="59" t="str">
        <f>IF(INDEX(Sheet1!$AM:$AM,ROWS($A$6:$A31)+1)&lt;&gt;"", "◯", "")</f>
        <v/>
      </c>
      <c r="H31" s="59" t="str">
        <f>IF(INDEX(Sheet1!$BA:$BA,ROWS($A$6:$A31)+1)&lt;&gt;"", "◯", "")</f>
        <v/>
      </c>
      <c r="I31" s="87"/>
      <c r="J31" s="62"/>
    </row>
    <row r="32" spans="1:14" ht="20.100000000000001" customHeight="1" x14ac:dyDescent="0.15">
      <c r="A32" s="59" t="str">
        <f>IF(B32="","",SUBTOTAL(103, $B$6:B32))</f>
        <v/>
      </c>
      <c r="B32" s="59" t="str">
        <f>INDEX(Sheet1!$B:$B,ROWS($A$6:$A32)+1)&amp;""</f>
        <v/>
      </c>
      <c r="C32" s="66" t="str">
        <f>IF(INDEX(Sheet1!$N:$N,ROWS($A$6:$A32)+1)="","",INDEX(Sheet1!$N:$N,ROWS($A$6:$A32)+1))</f>
        <v/>
      </c>
      <c r="D32" s="63" t="str">
        <f>IF(INDEX(Sheet1!$T:$T,ROWS($A$6:$A32)+1)&lt;&gt;"", INDEX(Sheet1!$T:$T,ROWS($A$6:$A32)+1), IF(INDEX(Sheet1!$O:$O,ROWS($A$6:$A32)+1)&lt;&gt;"", INDEX(Sheet1!$O:$O,ROWS($A$6:$A32)+1), ""))</f>
        <v/>
      </c>
      <c r="E32" s="64" t="str">
        <f>INDEX(Sheet1!$Y:$Y,ROWS($A$6:$A32)+1)&amp;""</f>
        <v/>
      </c>
      <c r="F32" s="61" t="str">
        <f>INDEX(Sheet1!$AC:$AC,ROWS($A$6:$A32)+1)&amp;""</f>
        <v/>
      </c>
      <c r="G32" s="59" t="str">
        <f>IF(INDEX(Sheet1!$AM:$AM,ROWS($A$6:$A32)+1)&lt;&gt;"", "◯", "")</f>
        <v/>
      </c>
      <c r="H32" s="59" t="str">
        <f>IF(INDEX(Sheet1!$BA:$BA,ROWS($A$6:$A32)+1)&lt;&gt;"", "◯", "")</f>
        <v/>
      </c>
      <c r="I32" s="87"/>
      <c r="J32" s="62"/>
    </row>
    <row r="33" spans="1:14" s="56" customFormat="1" ht="20.100000000000001" customHeight="1" x14ac:dyDescent="0.15">
      <c r="A33" s="59" t="str">
        <f>IF(B33="","",SUBTOTAL(103, $B$6:B33))</f>
        <v/>
      </c>
      <c r="B33" s="59" t="str">
        <f>INDEX(Sheet1!$B:$B,ROWS($A$6:$A33)+1)&amp;""</f>
        <v/>
      </c>
      <c r="C33" s="66" t="str">
        <f>IF(INDEX(Sheet1!$N:$N,ROWS($A$6:$A33)+1)="","",INDEX(Sheet1!$N:$N,ROWS($A$6:$A33)+1))</f>
        <v/>
      </c>
      <c r="D33" s="63" t="str">
        <f>IF(INDEX(Sheet1!$T:$T,ROWS($A$6:$A33)+1)&lt;&gt;"", INDEX(Sheet1!$T:$T,ROWS($A$6:$A33)+1), IF(INDEX(Sheet1!$O:$O,ROWS($A$6:$A33)+1)&lt;&gt;"", INDEX(Sheet1!$O:$O,ROWS($A$6:$A33)+1), ""))</f>
        <v/>
      </c>
      <c r="E33" s="64" t="str">
        <f>INDEX(Sheet1!$Y:$Y,ROWS($A$6:$A33)+1)&amp;""</f>
        <v/>
      </c>
      <c r="F33" s="61" t="str">
        <f>INDEX(Sheet1!$AC:$AC,ROWS($A$6:$A33)+1)&amp;""</f>
        <v/>
      </c>
      <c r="G33" s="59" t="str">
        <f>IF(INDEX(Sheet1!$AM:$AM,ROWS($A$6:$A33)+1)&lt;&gt;"", "◯", "")</f>
        <v/>
      </c>
      <c r="H33" s="59" t="str">
        <f>IF(INDEX(Sheet1!$BA:$BA,ROWS($A$6:$A33)+1)&lt;&gt;"", "◯", "")</f>
        <v/>
      </c>
      <c r="I33" s="88"/>
      <c r="J33" s="60"/>
      <c r="K33" s="57"/>
      <c r="L33" s="57"/>
      <c r="M33" s="57"/>
      <c r="N33" s="57"/>
    </row>
    <row r="34" spans="1:14" s="56" customFormat="1" ht="20.100000000000001" customHeight="1" x14ac:dyDescent="0.15">
      <c r="A34" s="59" t="str">
        <f>IF(B34="","",SUBTOTAL(103, $B$6:B34))</f>
        <v/>
      </c>
      <c r="B34" s="59" t="str">
        <f>INDEX(Sheet1!$B:$B,ROWS($A$6:$A34)+1)&amp;""</f>
        <v/>
      </c>
      <c r="C34" s="66" t="str">
        <f>IF(INDEX(Sheet1!$N:$N,ROWS($A$6:$A34)+1)="","",INDEX(Sheet1!$N:$N,ROWS($A$6:$A34)+1))</f>
        <v/>
      </c>
      <c r="D34" s="63" t="str">
        <f>IF(INDEX(Sheet1!$T:$T,ROWS($A$6:$A34)+1)&lt;&gt;"", INDEX(Sheet1!$T:$T,ROWS($A$6:$A34)+1), IF(INDEX(Sheet1!$O:$O,ROWS($A$6:$A34)+1)&lt;&gt;"", INDEX(Sheet1!$O:$O,ROWS($A$6:$A34)+1), ""))</f>
        <v/>
      </c>
      <c r="E34" s="64" t="str">
        <f>INDEX(Sheet1!$Y:$Y,ROWS($A$6:$A34)+1)&amp;""</f>
        <v/>
      </c>
      <c r="F34" s="61" t="str">
        <f>INDEX(Sheet1!$AC:$AC,ROWS($A$6:$A34)+1)&amp;""</f>
        <v/>
      </c>
      <c r="G34" s="59" t="str">
        <f>IF(INDEX(Sheet1!$AM:$AM,ROWS($A$6:$A34)+1)&lt;&gt;"", "◯", "")</f>
        <v/>
      </c>
      <c r="H34" s="59" t="str">
        <f>IF(INDEX(Sheet1!$BA:$BA,ROWS($A$6:$A34)+1)&lt;&gt;"", "◯", "")</f>
        <v/>
      </c>
      <c r="I34" s="86"/>
      <c r="J34" s="58"/>
      <c r="K34" s="57"/>
      <c r="L34" s="57"/>
      <c r="M34" s="57"/>
      <c r="N34" s="57"/>
    </row>
    <row r="35" spans="1:14" ht="20.100000000000001" customHeight="1" x14ac:dyDescent="0.15">
      <c r="A35" s="59" t="str">
        <f>IF(B35="","",SUBTOTAL(103, $B$6:B35))</f>
        <v/>
      </c>
      <c r="B35" s="59" t="str">
        <f>INDEX(Sheet1!$B:$B,ROWS($A$6:$A35)+1)&amp;""</f>
        <v/>
      </c>
      <c r="C35" s="66" t="str">
        <f>IF(INDEX(Sheet1!$N:$N,ROWS($A$6:$A35)+1)="","",INDEX(Sheet1!$N:$N,ROWS($A$6:$A35)+1))</f>
        <v/>
      </c>
      <c r="D35" s="63" t="str">
        <f>IF(INDEX(Sheet1!$T:$T,ROWS($A$6:$A35)+1)&lt;&gt;"", INDEX(Sheet1!$T:$T,ROWS($A$6:$A35)+1), IF(INDEX(Sheet1!$O:$O,ROWS($A$6:$A35)+1)&lt;&gt;"", INDEX(Sheet1!$O:$O,ROWS($A$6:$A35)+1), ""))</f>
        <v/>
      </c>
      <c r="E35" s="64" t="str">
        <f>INDEX(Sheet1!$Y:$Y,ROWS($A$6:$A35)+1)&amp;""</f>
        <v/>
      </c>
      <c r="F35" s="61" t="str">
        <f>INDEX(Sheet1!$AC:$AC,ROWS($A$6:$A35)+1)&amp;""</f>
        <v/>
      </c>
      <c r="G35" s="59" t="str">
        <f>IF(INDEX(Sheet1!$AM:$AM,ROWS($A$6:$A35)+1)&lt;&gt;"", "◯", "")</f>
        <v/>
      </c>
      <c r="H35" s="59" t="str">
        <f>IF(INDEX(Sheet1!$BA:$BA,ROWS($A$6:$A35)+1)&lt;&gt;"", "◯", "")</f>
        <v/>
      </c>
      <c r="I35" s="86"/>
    </row>
    <row r="36" spans="1:14" ht="20.100000000000001" customHeight="1" x14ac:dyDescent="0.15">
      <c r="A36" s="59" t="str">
        <f>IF(B36="","",SUBTOTAL(103, $B$6:B36))</f>
        <v/>
      </c>
      <c r="B36" s="59" t="str">
        <f>INDEX(Sheet1!$B:$B,ROWS($A$6:$A36)+1)&amp;""</f>
        <v/>
      </c>
      <c r="C36" s="66" t="str">
        <f>IF(INDEX(Sheet1!$N:$N,ROWS($A$6:$A36)+1)="","",INDEX(Sheet1!$N:$N,ROWS($A$6:$A36)+1))</f>
        <v/>
      </c>
      <c r="D36" s="63" t="str">
        <f>IF(INDEX(Sheet1!$T:$T,ROWS($A$6:$A36)+1)&lt;&gt;"", INDEX(Sheet1!$T:$T,ROWS($A$6:$A36)+1), IF(INDEX(Sheet1!$O:$O,ROWS($A$6:$A36)+1)&lt;&gt;"", INDEX(Sheet1!$O:$O,ROWS($A$6:$A36)+1), ""))</f>
        <v/>
      </c>
      <c r="E36" s="64" t="str">
        <f>INDEX(Sheet1!$Y:$Y,ROWS($A$6:$A36)+1)&amp;""</f>
        <v/>
      </c>
      <c r="F36" s="61" t="str">
        <f>INDEX(Sheet1!$AC:$AC,ROWS($A$6:$A36)+1)&amp;""</f>
        <v/>
      </c>
      <c r="G36" s="59" t="str">
        <f>IF(INDEX(Sheet1!$AM:$AM,ROWS($A$6:$A36)+1)&lt;&gt;"", "◯", "")</f>
        <v/>
      </c>
      <c r="H36" s="59" t="str">
        <f>IF(INDEX(Sheet1!$BA:$BA,ROWS($A$6:$A36)+1)&lt;&gt;"", "◯", "")</f>
        <v/>
      </c>
      <c r="I36" s="86"/>
    </row>
    <row r="37" spans="1:14" ht="20.100000000000001" customHeight="1" x14ac:dyDescent="0.15">
      <c r="A37" s="59" t="str">
        <f>IF(B37="","",SUBTOTAL(103, $B$6:B37))</f>
        <v/>
      </c>
      <c r="B37" s="59" t="str">
        <f>INDEX(Sheet1!$B:$B,ROWS($A$6:$A37)+1)&amp;""</f>
        <v/>
      </c>
      <c r="C37" s="66" t="str">
        <f>IF(INDEX(Sheet1!$N:$N,ROWS($A$6:$A37)+1)="","",INDEX(Sheet1!$N:$N,ROWS($A$6:$A37)+1))</f>
        <v/>
      </c>
      <c r="D37" s="63" t="str">
        <f>IF(INDEX(Sheet1!$T:$T,ROWS($A$6:$A37)+1)&lt;&gt;"", INDEX(Sheet1!$T:$T,ROWS($A$6:$A37)+1), IF(INDEX(Sheet1!$O:$O,ROWS($A$6:$A37)+1)&lt;&gt;"", INDEX(Sheet1!$O:$O,ROWS($A$6:$A37)+1), ""))</f>
        <v/>
      </c>
      <c r="E37" s="64" t="str">
        <f>INDEX(Sheet1!$Y:$Y,ROWS($A$6:$A37)+1)&amp;""</f>
        <v/>
      </c>
      <c r="F37" s="61" t="str">
        <f>INDEX(Sheet1!$AC:$AC,ROWS($A$6:$A37)+1)&amp;""</f>
        <v/>
      </c>
      <c r="G37" s="59" t="str">
        <f>IF(INDEX(Sheet1!$AM:$AM,ROWS($A$6:$A37)+1)&lt;&gt;"", "◯", "")</f>
        <v/>
      </c>
      <c r="H37" s="59" t="str">
        <f>IF(INDEX(Sheet1!$BA:$BA,ROWS($A$6:$A37)+1)&lt;&gt;"", "◯", "")</f>
        <v/>
      </c>
      <c r="I37" s="86"/>
    </row>
    <row r="38" spans="1:14" ht="20.100000000000001" customHeight="1" x14ac:dyDescent="0.15">
      <c r="A38" s="59" t="str">
        <f>IF(B38="","",SUBTOTAL(103, $B$6:B38))</f>
        <v/>
      </c>
      <c r="B38" s="59" t="str">
        <f>INDEX(Sheet1!$B:$B,ROWS($A$6:$A38)+1)&amp;""</f>
        <v/>
      </c>
      <c r="C38" s="66" t="str">
        <f>IF(INDEX(Sheet1!$N:$N,ROWS($A$6:$A38)+1)="","",INDEX(Sheet1!$N:$N,ROWS($A$6:$A38)+1))</f>
        <v/>
      </c>
      <c r="D38" s="63" t="str">
        <f>IF(INDEX(Sheet1!$T:$T,ROWS($A$6:$A38)+1)&lt;&gt;"", INDEX(Sheet1!$T:$T,ROWS($A$6:$A38)+1), IF(INDEX(Sheet1!$O:$O,ROWS($A$6:$A38)+1)&lt;&gt;"", INDEX(Sheet1!$O:$O,ROWS($A$6:$A38)+1), ""))</f>
        <v/>
      </c>
      <c r="E38" s="64" t="str">
        <f>INDEX(Sheet1!$Y:$Y,ROWS($A$6:$A38)+1)&amp;""</f>
        <v/>
      </c>
      <c r="F38" s="61" t="str">
        <f>INDEX(Sheet1!$AC:$AC,ROWS($A$6:$A38)+1)&amp;""</f>
        <v/>
      </c>
      <c r="G38" s="59" t="str">
        <f>IF(INDEX(Sheet1!$AM:$AM,ROWS($A$6:$A38)+1)&lt;&gt;"", "◯", "")</f>
        <v/>
      </c>
      <c r="H38" s="59" t="str">
        <f>IF(INDEX(Sheet1!$BA:$BA,ROWS($A$6:$A38)+1)&lt;&gt;"", "◯", "")</f>
        <v/>
      </c>
      <c r="I38" s="86"/>
    </row>
    <row r="39" spans="1:14" ht="20.100000000000001" customHeight="1" x14ac:dyDescent="0.15">
      <c r="A39" s="59" t="str">
        <f>IF(B39="","",SUBTOTAL(103, $B$6:B39))</f>
        <v/>
      </c>
      <c r="B39" s="59" t="str">
        <f>INDEX(Sheet1!$B:$B,ROWS($A$6:$A39)+1)&amp;""</f>
        <v/>
      </c>
      <c r="C39" s="66" t="str">
        <f>IF(INDEX(Sheet1!$N:$N,ROWS($A$6:$A39)+1)="","",INDEX(Sheet1!$N:$N,ROWS($A$6:$A39)+1))</f>
        <v/>
      </c>
      <c r="D39" s="63" t="str">
        <f>IF(INDEX(Sheet1!$T:$T,ROWS($A$6:$A39)+1)&lt;&gt;"", INDEX(Sheet1!$T:$T,ROWS($A$6:$A39)+1), IF(INDEX(Sheet1!$O:$O,ROWS($A$6:$A39)+1)&lt;&gt;"", INDEX(Sheet1!$O:$O,ROWS($A$6:$A39)+1), ""))</f>
        <v/>
      </c>
      <c r="E39" s="64" t="str">
        <f>INDEX(Sheet1!$Y:$Y,ROWS($A$6:$A39)+1)&amp;""</f>
        <v/>
      </c>
      <c r="F39" s="61" t="str">
        <f>INDEX(Sheet1!$AC:$AC,ROWS($A$6:$A39)+1)&amp;""</f>
        <v/>
      </c>
      <c r="G39" s="59" t="str">
        <f>IF(INDEX(Sheet1!$AM:$AM,ROWS($A$6:$A39)+1)&lt;&gt;"", "◯", "")</f>
        <v/>
      </c>
      <c r="H39" s="59" t="str">
        <f>IF(INDEX(Sheet1!$BA:$BA,ROWS($A$6:$A39)+1)&lt;&gt;"", "◯", "")</f>
        <v/>
      </c>
      <c r="I39" s="86"/>
    </row>
    <row r="40" spans="1:14" ht="20.100000000000001" customHeight="1" x14ac:dyDescent="0.15">
      <c r="A40" s="59" t="str">
        <f>IF(B40="","",SUBTOTAL(103, $B$6:B40))</f>
        <v/>
      </c>
      <c r="B40" s="59" t="str">
        <f>INDEX(Sheet1!$B:$B,ROWS($A$6:$A40)+1)&amp;""</f>
        <v/>
      </c>
      <c r="C40" s="66" t="str">
        <f>IF(INDEX(Sheet1!$N:$N,ROWS($A$6:$A40)+1)="","",INDEX(Sheet1!$N:$N,ROWS($A$6:$A40)+1))</f>
        <v/>
      </c>
      <c r="D40" s="63" t="str">
        <f>IF(INDEX(Sheet1!$T:$T,ROWS($A$6:$A40)+1)&lt;&gt;"", INDEX(Sheet1!$T:$T,ROWS($A$6:$A40)+1), IF(INDEX(Sheet1!$O:$O,ROWS($A$6:$A40)+1)&lt;&gt;"", INDEX(Sheet1!$O:$O,ROWS($A$6:$A40)+1), ""))</f>
        <v/>
      </c>
      <c r="E40" s="64" t="str">
        <f>INDEX(Sheet1!$Y:$Y,ROWS($A$6:$A40)+1)&amp;""</f>
        <v/>
      </c>
      <c r="F40" s="61" t="str">
        <f>INDEX(Sheet1!$AC:$AC,ROWS($A$6:$A40)+1)&amp;""</f>
        <v/>
      </c>
      <c r="G40" s="59" t="str">
        <f>IF(INDEX(Sheet1!$AM:$AM,ROWS($A$6:$A40)+1)&lt;&gt;"", "◯", "")</f>
        <v/>
      </c>
      <c r="H40" s="59" t="str">
        <f>IF(INDEX(Sheet1!$BA:$BA,ROWS($A$6:$A40)+1)&lt;&gt;"", "◯", "")</f>
        <v/>
      </c>
      <c r="I40" s="86"/>
    </row>
    <row r="41" spans="1:14" ht="20.100000000000001" customHeight="1" x14ac:dyDescent="0.15">
      <c r="A41" s="59" t="str">
        <f>IF(B41="","",SUBTOTAL(103, $B$6:B41))</f>
        <v/>
      </c>
      <c r="B41" s="59" t="str">
        <f>INDEX(Sheet1!$B:$B,ROWS($A$6:$A41)+1)&amp;""</f>
        <v/>
      </c>
      <c r="C41" s="66" t="str">
        <f>IF(INDEX(Sheet1!$N:$N,ROWS($A$6:$A41)+1)="","",INDEX(Sheet1!$N:$N,ROWS($A$6:$A41)+1))</f>
        <v/>
      </c>
      <c r="D41" s="63" t="str">
        <f>IF(INDEX(Sheet1!$T:$T,ROWS($A$6:$A41)+1)&lt;&gt;"", INDEX(Sheet1!$T:$T,ROWS($A$6:$A41)+1), IF(INDEX(Sheet1!$O:$O,ROWS($A$6:$A41)+1)&lt;&gt;"", INDEX(Sheet1!$O:$O,ROWS($A$6:$A41)+1), ""))</f>
        <v/>
      </c>
      <c r="E41" s="64" t="str">
        <f>INDEX(Sheet1!$Y:$Y,ROWS($A$6:$A41)+1)&amp;""</f>
        <v/>
      </c>
      <c r="F41" s="61" t="str">
        <f>INDEX(Sheet1!$AC:$AC,ROWS($A$6:$A41)+1)&amp;""</f>
        <v/>
      </c>
      <c r="G41" s="59" t="str">
        <f>IF(INDEX(Sheet1!$AM:$AM,ROWS($A$6:$A41)+1)&lt;&gt;"", "◯", "")</f>
        <v/>
      </c>
      <c r="H41" s="59" t="str">
        <f>IF(INDEX(Sheet1!$BA:$BA,ROWS($A$6:$A41)+1)&lt;&gt;"", "◯", "")</f>
        <v/>
      </c>
      <c r="I41" s="86"/>
    </row>
    <row r="42" spans="1:14" s="56" customFormat="1" ht="20.100000000000001" customHeight="1" x14ac:dyDescent="0.15">
      <c r="A42" s="59" t="str">
        <f>IF(B42="","",SUBTOTAL(103, $B$6:B42))</f>
        <v/>
      </c>
      <c r="B42" s="59" t="str">
        <f>INDEX(Sheet1!$B:$B,ROWS($A$6:$A42)+1)&amp;""</f>
        <v/>
      </c>
      <c r="C42" s="66" t="str">
        <f>IF(INDEX(Sheet1!$N:$N,ROWS($A$6:$A42)+1)="","",INDEX(Sheet1!$N:$N,ROWS($A$6:$A42)+1))</f>
        <v/>
      </c>
      <c r="D42" s="63" t="str">
        <f>IF(INDEX(Sheet1!$T:$T,ROWS($A$6:$A42)+1)&lt;&gt;"", INDEX(Sheet1!$T:$T,ROWS($A$6:$A42)+1), IF(INDEX(Sheet1!$O:$O,ROWS($A$6:$A42)+1)&lt;&gt;"", INDEX(Sheet1!$O:$O,ROWS($A$6:$A42)+1), ""))</f>
        <v/>
      </c>
      <c r="E42" s="64" t="str">
        <f>INDEX(Sheet1!$Y:$Y,ROWS($A$6:$A42)+1)&amp;""</f>
        <v/>
      </c>
      <c r="F42" s="61" t="str">
        <f>INDEX(Sheet1!$AC:$AC,ROWS($A$6:$A42)+1)&amp;""</f>
        <v/>
      </c>
      <c r="G42" s="59" t="str">
        <f>IF(INDEX(Sheet1!$AM:$AM,ROWS($A$6:$A42)+1)&lt;&gt;"", "◯", "")</f>
        <v/>
      </c>
      <c r="H42" s="59" t="str">
        <f>IF(INDEX(Sheet1!$BA:$BA,ROWS($A$6:$A42)+1)&lt;&gt;"", "◯", "")</f>
        <v/>
      </c>
      <c r="I42" s="86"/>
      <c r="J42" s="58"/>
      <c r="K42" s="57"/>
      <c r="L42" s="57"/>
      <c r="M42" s="57"/>
      <c r="N42" s="57"/>
    </row>
    <row r="43" spans="1:14" ht="20.100000000000001" customHeight="1" x14ac:dyDescent="0.15">
      <c r="A43" s="59" t="str">
        <f>IF(B43="","",SUBTOTAL(103, $B$6:B43))</f>
        <v/>
      </c>
      <c r="B43" s="59" t="str">
        <f>INDEX(Sheet1!$B:$B,ROWS($A$6:$A43)+1)&amp;""</f>
        <v/>
      </c>
      <c r="C43" s="66" t="str">
        <f>IF(INDEX(Sheet1!$N:$N,ROWS($A$6:$A43)+1)="","",INDEX(Sheet1!$N:$N,ROWS($A$6:$A43)+1))</f>
        <v/>
      </c>
      <c r="D43" s="63" t="str">
        <f>IF(INDEX(Sheet1!$T:$T,ROWS($A$6:$A43)+1)&lt;&gt;"", INDEX(Sheet1!$T:$T,ROWS($A$6:$A43)+1), IF(INDEX(Sheet1!$O:$O,ROWS($A$6:$A43)+1)&lt;&gt;"", INDEX(Sheet1!$O:$O,ROWS($A$6:$A43)+1), ""))</f>
        <v/>
      </c>
      <c r="E43" s="64" t="str">
        <f>INDEX(Sheet1!$Y:$Y,ROWS($A$6:$A43)+1)&amp;""</f>
        <v/>
      </c>
      <c r="F43" s="61" t="str">
        <f>INDEX(Sheet1!$AC:$AC,ROWS($A$6:$A43)+1)&amp;""</f>
        <v/>
      </c>
      <c r="G43" s="59" t="str">
        <f>IF(INDEX(Sheet1!$AM:$AM,ROWS($A$6:$A43)+1)&lt;&gt;"", "◯", "")</f>
        <v/>
      </c>
      <c r="H43" s="59" t="str">
        <f>IF(INDEX(Sheet1!$BA:$BA,ROWS($A$6:$A43)+1)&lt;&gt;"", "◯", "")</f>
        <v/>
      </c>
      <c r="I43" s="86"/>
    </row>
    <row r="44" spans="1:14" s="56" customFormat="1" ht="20.100000000000001" customHeight="1" x14ac:dyDescent="0.15">
      <c r="A44" s="59" t="str">
        <f>IF(B44="","",SUBTOTAL(103, $B$6:B44))</f>
        <v/>
      </c>
      <c r="B44" s="59" t="str">
        <f>INDEX(Sheet1!$B:$B,ROWS($A$6:$A44)+1)&amp;""</f>
        <v/>
      </c>
      <c r="C44" s="66" t="str">
        <f>IF(INDEX(Sheet1!$N:$N,ROWS($A$6:$A44)+1)="","",INDEX(Sheet1!$N:$N,ROWS($A$6:$A44)+1))</f>
        <v/>
      </c>
      <c r="D44" s="63" t="str">
        <f>IF(INDEX(Sheet1!$T:$T,ROWS($A$6:$A44)+1)&lt;&gt;"", INDEX(Sheet1!$T:$T,ROWS($A$6:$A44)+1), IF(INDEX(Sheet1!$O:$O,ROWS($A$6:$A44)+1)&lt;&gt;"", INDEX(Sheet1!$O:$O,ROWS($A$6:$A44)+1), ""))</f>
        <v/>
      </c>
      <c r="E44" s="64" t="str">
        <f>INDEX(Sheet1!$Y:$Y,ROWS($A$6:$A44)+1)&amp;""</f>
        <v/>
      </c>
      <c r="F44" s="61" t="str">
        <f>INDEX(Sheet1!$AC:$AC,ROWS($A$6:$A44)+1)&amp;""</f>
        <v/>
      </c>
      <c r="G44" s="59" t="str">
        <f>IF(INDEX(Sheet1!$AM:$AM,ROWS($A$6:$A44)+1)&lt;&gt;"", "◯", "")</f>
        <v/>
      </c>
      <c r="H44" s="59" t="str">
        <f>IF(INDEX(Sheet1!$BA:$BA,ROWS($A$6:$A44)+1)&lt;&gt;"", "◯", "")</f>
        <v/>
      </c>
      <c r="I44" s="86"/>
      <c r="J44" s="58"/>
      <c r="K44" s="57"/>
      <c r="L44" s="57"/>
      <c r="M44" s="57"/>
      <c r="N44" s="57"/>
    </row>
    <row r="45" spans="1:14" ht="20.100000000000001" customHeight="1" x14ac:dyDescent="0.15">
      <c r="A45" s="59" t="str">
        <f>IF(B45="","",SUBTOTAL(103, $B$6:B45))</f>
        <v/>
      </c>
      <c r="B45" s="59" t="str">
        <f>INDEX(Sheet1!$B:$B,ROWS($A$6:$A45)+1)&amp;""</f>
        <v/>
      </c>
      <c r="C45" s="66" t="str">
        <f>IF(INDEX(Sheet1!$N:$N,ROWS($A$6:$A45)+1)="","",INDEX(Sheet1!$N:$N,ROWS($A$6:$A45)+1))</f>
        <v/>
      </c>
      <c r="D45" s="63" t="str">
        <f>IF(INDEX(Sheet1!$T:$T,ROWS($A$6:$A45)+1)&lt;&gt;"", INDEX(Sheet1!$T:$T,ROWS($A$6:$A45)+1), IF(INDEX(Sheet1!$O:$O,ROWS($A$6:$A45)+1)&lt;&gt;"", INDEX(Sheet1!$O:$O,ROWS($A$6:$A45)+1), ""))</f>
        <v/>
      </c>
      <c r="E45" s="64" t="str">
        <f>INDEX(Sheet1!$Y:$Y,ROWS($A$6:$A45)+1)&amp;""</f>
        <v/>
      </c>
      <c r="F45" s="61" t="str">
        <f>INDEX(Sheet1!$AC:$AC,ROWS($A$6:$A45)+1)&amp;""</f>
        <v/>
      </c>
      <c r="G45" s="59" t="str">
        <f>IF(INDEX(Sheet1!$AM:$AM,ROWS($A$6:$A45)+1)&lt;&gt;"", "◯", "")</f>
        <v/>
      </c>
      <c r="H45" s="59" t="str">
        <f>IF(INDEX(Sheet1!$BA:$BA,ROWS($A$6:$A45)+1)&lt;&gt;"", "◯", "")</f>
        <v/>
      </c>
      <c r="I45" s="86"/>
    </row>
    <row r="46" spans="1:14" ht="20.100000000000001" customHeight="1" x14ac:dyDescent="0.15">
      <c r="A46" s="59" t="str">
        <f>IF(B46="","",SUBTOTAL(103, $B$6:B46))</f>
        <v/>
      </c>
      <c r="B46" s="59" t="str">
        <f>INDEX(Sheet1!$B:$B,ROWS($A$6:$A46)+1)&amp;""</f>
        <v/>
      </c>
      <c r="C46" s="66" t="str">
        <f>IF(INDEX(Sheet1!$N:$N,ROWS($A$6:$A46)+1)="","",INDEX(Sheet1!$N:$N,ROWS($A$6:$A46)+1))</f>
        <v/>
      </c>
      <c r="D46" s="63" t="str">
        <f>IF(INDEX(Sheet1!$T:$T,ROWS($A$6:$A46)+1)&lt;&gt;"", INDEX(Sheet1!$T:$T,ROWS($A$6:$A46)+1), IF(INDEX(Sheet1!$O:$O,ROWS($A$6:$A46)+1)&lt;&gt;"", INDEX(Sheet1!$O:$O,ROWS($A$6:$A46)+1), ""))</f>
        <v/>
      </c>
      <c r="E46" s="64" t="str">
        <f>INDEX(Sheet1!$Y:$Y,ROWS($A$6:$A46)+1)&amp;""</f>
        <v/>
      </c>
      <c r="F46" s="61" t="str">
        <f>INDEX(Sheet1!$AC:$AC,ROWS($A$6:$A46)+1)&amp;""</f>
        <v/>
      </c>
      <c r="G46" s="59" t="str">
        <f>IF(INDEX(Sheet1!$AM:$AM,ROWS($A$6:$A46)+1)&lt;&gt;"", "◯", "")</f>
        <v/>
      </c>
      <c r="H46" s="59" t="str">
        <f>IF(INDEX(Sheet1!$BA:$BA,ROWS($A$6:$A46)+1)&lt;&gt;"", "◯", "")</f>
        <v/>
      </c>
      <c r="I46" s="86"/>
    </row>
    <row r="47" spans="1:14" ht="20.100000000000001" customHeight="1" x14ac:dyDescent="0.15">
      <c r="A47" s="59" t="str">
        <f>IF(B47="","",SUBTOTAL(103, $B$6:B47))</f>
        <v/>
      </c>
      <c r="B47" s="59" t="str">
        <f>INDEX(Sheet1!$B:$B,ROWS($A$6:$A47)+1)&amp;""</f>
        <v/>
      </c>
      <c r="C47" s="66" t="str">
        <f>IF(INDEX(Sheet1!$N:$N,ROWS($A$6:$A47)+1)="","",INDEX(Sheet1!$N:$N,ROWS($A$6:$A47)+1))</f>
        <v/>
      </c>
      <c r="D47" s="63" t="str">
        <f>IF(INDEX(Sheet1!$T:$T,ROWS($A$6:$A47)+1)&lt;&gt;"", INDEX(Sheet1!$T:$T,ROWS($A$6:$A47)+1), IF(INDEX(Sheet1!$O:$O,ROWS($A$6:$A47)+1)&lt;&gt;"", INDEX(Sheet1!$O:$O,ROWS($A$6:$A47)+1), ""))</f>
        <v/>
      </c>
      <c r="E47" s="64" t="str">
        <f>INDEX(Sheet1!$Y:$Y,ROWS($A$6:$A47)+1)&amp;""</f>
        <v/>
      </c>
      <c r="F47" s="61" t="str">
        <f>INDEX(Sheet1!$AC:$AC,ROWS($A$6:$A47)+1)&amp;""</f>
        <v/>
      </c>
      <c r="G47" s="59" t="str">
        <f>IF(INDEX(Sheet1!$AM:$AM,ROWS($A$6:$A47)+1)&lt;&gt;"", "◯", "")</f>
        <v/>
      </c>
      <c r="H47" s="59" t="str">
        <f>IF(INDEX(Sheet1!$BA:$BA,ROWS($A$6:$A47)+1)&lt;&gt;"", "◯", "")</f>
        <v/>
      </c>
      <c r="I47" s="86"/>
    </row>
    <row r="48" spans="1:14" ht="20.100000000000001" customHeight="1" x14ac:dyDescent="0.15">
      <c r="A48" s="59" t="str">
        <f>IF(B48="","",SUBTOTAL(103, $B$6:B48))</f>
        <v/>
      </c>
      <c r="B48" s="59" t="str">
        <f>INDEX(Sheet1!$B:$B,ROWS($A$6:$A48)+1)&amp;""</f>
        <v/>
      </c>
      <c r="C48" s="66" t="str">
        <f>IF(INDEX(Sheet1!$N:$N,ROWS($A$6:$A48)+1)="","",INDEX(Sheet1!$N:$N,ROWS($A$6:$A48)+1))</f>
        <v/>
      </c>
      <c r="D48" s="63" t="str">
        <f>IF(INDEX(Sheet1!$T:$T,ROWS($A$6:$A48)+1)&lt;&gt;"", INDEX(Sheet1!$T:$T,ROWS($A$6:$A48)+1), IF(INDEX(Sheet1!$O:$O,ROWS($A$6:$A48)+1)&lt;&gt;"", INDEX(Sheet1!$O:$O,ROWS($A$6:$A48)+1), ""))</f>
        <v/>
      </c>
      <c r="E48" s="64" t="str">
        <f>INDEX(Sheet1!$Y:$Y,ROWS($A$6:$A48)+1)&amp;""</f>
        <v/>
      </c>
      <c r="F48" s="61" t="str">
        <f>INDEX(Sheet1!$AC:$AC,ROWS($A$6:$A48)+1)&amp;""</f>
        <v/>
      </c>
      <c r="G48" s="59" t="str">
        <f>IF(INDEX(Sheet1!$AM:$AM,ROWS($A$6:$A48)+1)&lt;&gt;"", "◯", "")</f>
        <v/>
      </c>
      <c r="H48" s="59" t="str">
        <f>IF(INDEX(Sheet1!$BA:$BA,ROWS($A$6:$A48)+1)&lt;&gt;"", "◯", "")</f>
        <v/>
      </c>
      <c r="I48" s="86"/>
    </row>
    <row r="49" spans="1:9" ht="20.100000000000001" customHeight="1" x14ac:dyDescent="0.15">
      <c r="A49" s="59" t="str">
        <f>IF(B49="","",SUBTOTAL(103, $B$6:B49))</f>
        <v/>
      </c>
      <c r="B49" s="59" t="str">
        <f>INDEX(Sheet1!$B:$B,ROWS($A$6:$A49)+1)&amp;""</f>
        <v/>
      </c>
      <c r="C49" s="66" t="str">
        <f>IF(INDEX(Sheet1!$N:$N,ROWS($A$6:$A49)+1)="","",INDEX(Sheet1!$N:$N,ROWS($A$6:$A49)+1))</f>
        <v/>
      </c>
      <c r="D49" s="63" t="str">
        <f>IF(INDEX(Sheet1!$T:$T,ROWS($A$6:$A49)+1)&lt;&gt;"", INDEX(Sheet1!$T:$T,ROWS($A$6:$A49)+1), IF(INDEX(Sheet1!$O:$O,ROWS($A$6:$A49)+1)&lt;&gt;"", INDEX(Sheet1!$O:$O,ROWS($A$6:$A49)+1), ""))</f>
        <v/>
      </c>
      <c r="E49" s="64" t="str">
        <f>INDEX(Sheet1!$Y:$Y,ROWS($A$6:$A49)+1)&amp;""</f>
        <v/>
      </c>
      <c r="F49" s="61" t="str">
        <f>INDEX(Sheet1!$AC:$AC,ROWS($A$6:$A49)+1)&amp;""</f>
        <v/>
      </c>
      <c r="G49" s="59" t="str">
        <f>IF(INDEX(Sheet1!$AM:$AM,ROWS($A$6:$A49)+1)&lt;&gt;"", "◯", "")</f>
        <v/>
      </c>
      <c r="H49" s="59" t="str">
        <f>IF(INDEX(Sheet1!$BA:$BA,ROWS($A$6:$A49)+1)&lt;&gt;"", "◯", "")</f>
        <v/>
      </c>
      <c r="I49" s="86"/>
    </row>
    <row r="50" spans="1:9" ht="20.100000000000001" customHeight="1" x14ac:dyDescent="0.15">
      <c r="A50" s="59" t="str">
        <f>IF(B50="","",SUBTOTAL(103, $B$6:B50))</f>
        <v/>
      </c>
      <c r="B50" s="59" t="str">
        <f>INDEX(Sheet1!$B:$B,ROWS($A$6:$A50)+1)&amp;""</f>
        <v/>
      </c>
      <c r="C50" s="66" t="str">
        <f>IF(INDEX(Sheet1!$N:$N,ROWS($A$6:$A50)+1)="","",INDEX(Sheet1!$N:$N,ROWS($A$6:$A50)+1))</f>
        <v/>
      </c>
      <c r="D50" s="63" t="str">
        <f>IF(INDEX(Sheet1!$T:$T,ROWS($A$6:$A50)+1)&lt;&gt;"", INDEX(Sheet1!$T:$T,ROWS($A$6:$A50)+1), IF(INDEX(Sheet1!$O:$O,ROWS($A$6:$A50)+1)&lt;&gt;"", INDEX(Sheet1!$O:$O,ROWS($A$6:$A50)+1), ""))</f>
        <v/>
      </c>
      <c r="E50" s="64" t="str">
        <f>INDEX(Sheet1!$Y:$Y,ROWS($A$6:$A50)+1)&amp;""</f>
        <v/>
      </c>
      <c r="F50" s="61" t="str">
        <f>INDEX(Sheet1!$AC:$AC,ROWS($A$6:$A50)+1)&amp;""</f>
        <v/>
      </c>
      <c r="G50" s="59" t="str">
        <f>IF(INDEX(Sheet1!$AM:$AM,ROWS($A$6:$A50)+1)&lt;&gt;"", "◯", "")</f>
        <v/>
      </c>
      <c r="H50" s="59" t="str">
        <f>IF(INDEX(Sheet1!$BA:$BA,ROWS($A$6:$A50)+1)&lt;&gt;"", "◯", "")</f>
        <v/>
      </c>
      <c r="I50" s="86"/>
    </row>
    <row r="51" spans="1:9" ht="20.100000000000001" customHeight="1" x14ac:dyDescent="0.15">
      <c r="A51" s="59" t="str">
        <f>IF(B51="","",SUBTOTAL(103, $B$6:B51))</f>
        <v/>
      </c>
      <c r="B51" s="59" t="str">
        <f>INDEX(Sheet1!$B:$B,ROWS($A$6:$A51)+1)&amp;""</f>
        <v/>
      </c>
      <c r="C51" s="66" t="str">
        <f>IF(INDEX(Sheet1!$N:$N,ROWS($A$6:$A51)+1)="","",INDEX(Sheet1!$N:$N,ROWS($A$6:$A51)+1))</f>
        <v/>
      </c>
      <c r="D51" s="63" t="str">
        <f>IF(INDEX(Sheet1!$T:$T,ROWS($A$6:$A51)+1)&lt;&gt;"", INDEX(Sheet1!$T:$T,ROWS($A$6:$A51)+1), IF(INDEX(Sheet1!$O:$O,ROWS($A$6:$A51)+1)&lt;&gt;"", INDEX(Sheet1!$O:$O,ROWS($A$6:$A51)+1), ""))</f>
        <v/>
      </c>
      <c r="E51" s="64" t="str">
        <f>INDEX(Sheet1!$Y:$Y,ROWS($A$6:$A51)+1)&amp;""</f>
        <v/>
      </c>
      <c r="F51" s="61" t="str">
        <f>INDEX(Sheet1!$AC:$AC,ROWS($A$6:$A51)+1)&amp;""</f>
        <v/>
      </c>
      <c r="G51" s="59" t="str">
        <f>IF(INDEX(Sheet1!$AM:$AM,ROWS($A$6:$A51)+1)&lt;&gt;"", "◯", "")</f>
        <v/>
      </c>
      <c r="H51" s="59" t="str">
        <f>IF(INDEX(Sheet1!$BA:$BA,ROWS($A$6:$A51)+1)&lt;&gt;"", "◯", "")</f>
        <v/>
      </c>
      <c r="I51" s="86"/>
    </row>
    <row r="52" spans="1:9" ht="20.100000000000001" customHeight="1" x14ac:dyDescent="0.15">
      <c r="A52" s="59" t="str">
        <f>IF(B52="","",SUBTOTAL(103, $B$6:B52))</f>
        <v/>
      </c>
      <c r="B52" s="59" t="str">
        <f>INDEX(Sheet1!$B:$B,ROWS($A$6:$A52)+1)&amp;""</f>
        <v/>
      </c>
      <c r="C52" s="66" t="str">
        <f>IF(INDEX(Sheet1!$N:$N,ROWS($A$6:$A52)+1)="","",INDEX(Sheet1!$N:$N,ROWS($A$6:$A52)+1))</f>
        <v/>
      </c>
      <c r="D52" s="63" t="str">
        <f>IF(INDEX(Sheet1!$T:$T,ROWS($A$6:$A52)+1)&lt;&gt;"", INDEX(Sheet1!$T:$T,ROWS($A$6:$A52)+1), IF(INDEX(Sheet1!$O:$O,ROWS($A$6:$A52)+1)&lt;&gt;"", INDEX(Sheet1!$O:$O,ROWS($A$6:$A52)+1), ""))</f>
        <v/>
      </c>
      <c r="E52" s="64" t="str">
        <f>INDEX(Sheet1!$Y:$Y,ROWS($A$6:$A52)+1)&amp;""</f>
        <v/>
      </c>
      <c r="F52" s="61" t="str">
        <f>INDEX(Sheet1!$AC:$AC,ROWS($A$6:$A52)+1)&amp;""</f>
        <v/>
      </c>
      <c r="G52" s="59" t="str">
        <f>IF(INDEX(Sheet1!$AM:$AM,ROWS($A$6:$A52)+1)&lt;&gt;"", "◯", "")</f>
        <v/>
      </c>
      <c r="H52" s="59" t="str">
        <f>IF(INDEX(Sheet1!$BA:$BA,ROWS($A$6:$A52)+1)&lt;&gt;"", "◯", "")</f>
        <v/>
      </c>
      <c r="I52" s="86"/>
    </row>
    <row r="53" spans="1:9" ht="20.100000000000001" customHeight="1" x14ac:dyDescent="0.15">
      <c r="A53" s="59" t="str">
        <f>IF(B53="","",SUBTOTAL(103, $B$6:B53))</f>
        <v/>
      </c>
      <c r="B53" s="59" t="str">
        <f>INDEX(Sheet1!$B:$B,ROWS($A$6:$A53)+1)&amp;""</f>
        <v/>
      </c>
      <c r="C53" s="66" t="str">
        <f>IF(INDEX(Sheet1!$N:$N,ROWS($A$6:$A53)+1)="","",INDEX(Sheet1!$N:$N,ROWS($A$6:$A53)+1))</f>
        <v/>
      </c>
      <c r="D53" s="63" t="str">
        <f>IF(INDEX(Sheet1!$T:$T,ROWS($A$6:$A53)+1)&lt;&gt;"", INDEX(Sheet1!$T:$T,ROWS($A$6:$A53)+1), IF(INDEX(Sheet1!$O:$O,ROWS($A$6:$A53)+1)&lt;&gt;"", INDEX(Sheet1!$O:$O,ROWS($A$6:$A53)+1), ""))</f>
        <v/>
      </c>
      <c r="E53" s="64" t="str">
        <f>INDEX(Sheet1!$Y:$Y,ROWS($A$6:$A53)+1)&amp;""</f>
        <v/>
      </c>
      <c r="F53" s="61" t="str">
        <f>INDEX(Sheet1!$AC:$AC,ROWS($A$6:$A53)+1)&amp;""</f>
        <v/>
      </c>
      <c r="G53" s="59" t="str">
        <f>IF(INDEX(Sheet1!$AM:$AM,ROWS($A$6:$A53)+1)&lt;&gt;"", "◯", "")</f>
        <v/>
      </c>
      <c r="H53" s="59" t="str">
        <f>IF(INDEX(Sheet1!$BA:$BA,ROWS($A$6:$A53)+1)&lt;&gt;"", "◯", "")</f>
        <v/>
      </c>
      <c r="I53" s="86"/>
    </row>
    <row r="54" spans="1:9" ht="20.100000000000001" customHeight="1" x14ac:dyDescent="0.15">
      <c r="A54" s="59" t="str">
        <f>IF(B54="","",SUBTOTAL(103, $B$6:B54))</f>
        <v/>
      </c>
      <c r="B54" s="59" t="str">
        <f>INDEX(Sheet1!$B:$B,ROWS($A$6:$A54)+1)&amp;""</f>
        <v/>
      </c>
      <c r="C54" s="66" t="str">
        <f>IF(INDEX(Sheet1!$N:$N,ROWS($A$6:$A54)+1)="","",INDEX(Sheet1!$N:$N,ROWS($A$6:$A54)+1))</f>
        <v/>
      </c>
      <c r="D54" s="63" t="str">
        <f>IF(INDEX(Sheet1!$T:$T,ROWS($A$6:$A54)+1)&lt;&gt;"", INDEX(Sheet1!$T:$T,ROWS($A$6:$A54)+1), IF(INDEX(Sheet1!$O:$O,ROWS($A$6:$A54)+1)&lt;&gt;"", INDEX(Sheet1!$O:$O,ROWS($A$6:$A54)+1), ""))</f>
        <v/>
      </c>
      <c r="E54" s="64" t="str">
        <f>INDEX(Sheet1!$Y:$Y,ROWS($A$6:$A54)+1)&amp;""</f>
        <v/>
      </c>
      <c r="F54" s="61" t="str">
        <f>INDEX(Sheet1!$AC:$AC,ROWS($A$6:$A54)+1)&amp;""</f>
        <v/>
      </c>
      <c r="G54" s="59" t="str">
        <f>IF(INDEX(Sheet1!$AM:$AM,ROWS($A$6:$A54)+1)&lt;&gt;"", "◯", "")</f>
        <v/>
      </c>
      <c r="H54" s="59" t="str">
        <f>IF(INDEX(Sheet1!$BA:$BA,ROWS($A$6:$A54)+1)&lt;&gt;"", "◯", "")</f>
        <v/>
      </c>
      <c r="I54" s="86"/>
    </row>
    <row r="55" spans="1:9" ht="20.100000000000001" customHeight="1" x14ac:dyDescent="0.15">
      <c r="A55" s="59" t="str">
        <f>IF(B55="","",SUBTOTAL(103, $B$6:B55))</f>
        <v/>
      </c>
      <c r="B55" s="59" t="str">
        <f>INDEX(Sheet1!$B:$B,ROWS($A$6:$A55)+1)&amp;""</f>
        <v/>
      </c>
      <c r="C55" s="66" t="str">
        <f>IF(INDEX(Sheet1!$N:$N,ROWS($A$6:$A55)+1)="","",INDEX(Sheet1!$N:$N,ROWS($A$6:$A55)+1))</f>
        <v/>
      </c>
      <c r="D55" s="63" t="str">
        <f>IF(INDEX(Sheet1!$T:$T,ROWS($A$6:$A55)+1)&lt;&gt;"", INDEX(Sheet1!$T:$T,ROWS($A$6:$A55)+1), IF(INDEX(Sheet1!$O:$O,ROWS($A$6:$A55)+1)&lt;&gt;"", INDEX(Sheet1!$O:$O,ROWS($A$6:$A55)+1), ""))</f>
        <v/>
      </c>
      <c r="E55" s="64" t="str">
        <f>INDEX(Sheet1!$Y:$Y,ROWS($A$6:$A55)+1)&amp;""</f>
        <v/>
      </c>
      <c r="F55" s="61" t="str">
        <f>INDEX(Sheet1!$AC:$AC,ROWS($A$6:$A55)+1)&amp;""</f>
        <v/>
      </c>
      <c r="G55" s="59" t="str">
        <f>IF(INDEX(Sheet1!$AM:$AM,ROWS($A$6:$A55)+1)&lt;&gt;"", "◯", "")</f>
        <v/>
      </c>
      <c r="H55" s="59" t="str">
        <f>IF(INDEX(Sheet1!$BA:$BA,ROWS($A$6:$A55)+1)&lt;&gt;"", "◯", "")</f>
        <v/>
      </c>
      <c r="I55" s="86"/>
    </row>
    <row r="56" spans="1:9" ht="20.100000000000001" customHeight="1" x14ac:dyDescent="0.15">
      <c r="A56" s="59" t="str">
        <f>IF(B56="","",SUBTOTAL(103, $B$6:B56))</f>
        <v/>
      </c>
      <c r="B56" s="59" t="str">
        <f>INDEX(Sheet1!$B:$B,ROWS($A$6:$A56)+1)&amp;""</f>
        <v/>
      </c>
      <c r="C56" s="66" t="str">
        <f>IF(INDEX(Sheet1!$N:$N,ROWS($A$6:$A56)+1)="","",INDEX(Sheet1!$N:$N,ROWS($A$6:$A56)+1))</f>
        <v/>
      </c>
      <c r="D56" s="63" t="str">
        <f>IF(INDEX(Sheet1!$T:$T,ROWS($A$6:$A56)+1)&lt;&gt;"", INDEX(Sheet1!$T:$T,ROWS($A$6:$A56)+1), IF(INDEX(Sheet1!$O:$O,ROWS($A$6:$A56)+1)&lt;&gt;"", INDEX(Sheet1!$O:$O,ROWS($A$6:$A56)+1), ""))</f>
        <v/>
      </c>
      <c r="E56" s="64" t="str">
        <f>INDEX(Sheet1!$Y:$Y,ROWS($A$6:$A56)+1)&amp;""</f>
        <v/>
      </c>
      <c r="F56" s="61" t="str">
        <f>INDEX(Sheet1!$AC:$AC,ROWS($A$6:$A56)+1)&amp;""</f>
        <v/>
      </c>
      <c r="G56" s="59" t="str">
        <f>IF(INDEX(Sheet1!$AM:$AM,ROWS($A$6:$A56)+1)&lt;&gt;"", "◯", "")</f>
        <v/>
      </c>
      <c r="H56" s="59" t="str">
        <f>IF(INDEX(Sheet1!$BA:$BA,ROWS($A$6:$A56)+1)&lt;&gt;"", "◯", "")</f>
        <v/>
      </c>
      <c r="I56" s="86"/>
    </row>
    <row r="57" spans="1:9" ht="20.100000000000001" customHeight="1" x14ac:dyDescent="0.15">
      <c r="A57" s="59" t="str">
        <f>IF(B57="","",SUBTOTAL(103, $B$6:B57))</f>
        <v/>
      </c>
      <c r="B57" s="59" t="str">
        <f>INDEX(Sheet1!$B:$B,ROWS($A$6:$A57)+1)&amp;""</f>
        <v/>
      </c>
      <c r="C57" s="66" t="str">
        <f>IF(INDEX(Sheet1!$N:$N,ROWS($A$6:$A57)+1)="","",INDEX(Sheet1!$N:$N,ROWS($A$6:$A57)+1))</f>
        <v/>
      </c>
      <c r="D57" s="63" t="str">
        <f>IF(INDEX(Sheet1!$T:$T,ROWS($A$6:$A57)+1)&lt;&gt;"", INDEX(Sheet1!$T:$T,ROWS($A$6:$A57)+1), IF(INDEX(Sheet1!$O:$O,ROWS($A$6:$A57)+1)&lt;&gt;"", INDEX(Sheet1!$O:$O,ROWS($A$6:$A57)+1), ""))</f>
        <v/>
      </c>
      <c r="E57" s="64" t="str">
        <f>INDEX(Sheet1!$Y:$Y,ROWS($A$6:$A57)+1)&amp;""</f>
        <v/>
      </c>
      <c r="F57" s="61" t="str">
        <f>INDEX(Sheet1!$AC:$AC,ROWS($A$6:$A57)+1)&amp;""</f>
        <v/>
      </c>
      <c r="G57" s="59" t="str">
        <f>IF(INDEX(Sheet1!$AM:$AM,ROWS($A$6:$A57)+1)&lt;&gt;"", "◯", "")</f>
        <v/>
      </c>
      <c r="H57" s="59" t="str">
        <f>IF(INDEX(Sheet1!$BA:$BA,ROWS($A$6:$A57)+1)&lt;&gt;"", "◯", "")</f>
        <v/>
      </c>
      <c r="I57" s="86"/>
    </row>
    <row r="58" spans="1:9" ht="20.100000000000001" customHeight="1" x14ac:dyDescent="0.15">
      <c r="A58" s="59" t="str">
        <f>IF(B58="","",SUBTOTAL(103, $B$6:B58))</f>
        <v/>
      </c>
      <c r="B58" s="59" t="str">
        <f>INDEX(Sheet1!$B:$B,ROWS($A$6:$A58)+1)&amp;""</f>
        <v/>
      </c>
      <c r="C58" s="66" t="str">
        <f>IF(INDEX(Sheet1!$N:$N,ROWS($A$6:$A58)+1)="","",INDEX(Sheet1!$N:$N,ROWS($A$6:$A58)+1))</f>
        <v/>
      </c>
      <c r="D58" s="63" t="str">
        <f>IF(INDEX(Sheet1!$T:$T,ROWS($A$6:$A58)+1)&lt;&gt;"", INDEX(Sheet1!$T:$T,ROWS($A$6:$A58)+1), IF(INDEX(Sheet1!$O:$O,ROWS($A$6:$A58)+1)&lt;&gt;"", INDEX(Sheet1!$O:$O,ROWS($A$6:$A58)+1), ""))</f>
        <v/>
      </c>
      <c r="E58" s="64" t="str">
        <f>INDEX(Sheet1!$Y:$Y,ROWS($A$6:$A58)+1)&amp;""</f>
        <v/>
      </c>
      <c r="F58" s="61" t="str">
        <f>INDEX(Sheet1!$AC:$AC,ROWS($A$6:$A58)+1)&amp;""</f>
        <v/>
      </c>
      <c r="G58" s="59" t="str">
        <f>IF(INDEX(Sheet1!$AM:$AM,ROWS($A$6:$A58)+1)&lt;&gt;"", "◯", "")</f>
        <v/>
      </c>
      <c r="H58" s="59" t="str">
        <f>IF(INDEX(Sheet1!$BA:$BA,ROWS($A$6:$A58)+1)&lt;&gt;"", "◯", "")</f>
        <v/>
      </c>
      <c r="I58" s="86"/>
    </row>
    <row r="59" spans="1:9" ht="20.100000000000001" customHeight="1" x14ac:dyDescent="0.15">
      <c r="A59" s="59" t="str">
        <f>IF(B59="","",SUBTOTAL(103, $B$6:B59))</f>
        <v/>
      </c>
      <c r="B59" s="59" t="str">
        <f>INDEX(Sheet1!$B:$B,ROWS($A$6:$A59)+1)&amp;""</f>
        <v/>
      </c>
      <c r="C59" s="66" t="str">
        <f>IF(INDEX(Sheet1!$N:$N,ROWS($A$6:$A59)+1)="","",INDEX(Sheet1!$N:$N,ROWS($A$6:$A59)+1))</f>
        <v/>
      </c>
      <c r="D59" s="63" t="str">
        <f>IF(INDEX(Sheet1!$T:$T,ROWS($A$6:$A59)+1)&lt;&gt;"", INDEX(Sheet1!$T:$T,ROWS($A$6:$A59)+1), IF(INDEX(Sheet1!$O:$O,ROWS($A$6:$A59)+1)&lt;&gt;"", INDEX(Sheet1!$O:$O,ROWS($A$6:$A59)+1), ""))</f>
        <v/>
      </c>
      <c r="E59" s="64" t="str">
        <f>INDEX(Sheet1!$Y:$Y,ROWS($A$6:$A59)+1)&amp;""</f>
        <v/>
      </c>
      <c r="F59" s="61" t="str">
        <f>INDEX(Sheet1!$AC:$AC,ROWS($A$6:$A59)+1)&amp;""</f>
        <v/>
      </c>
      <c r="G59" s="59" t="str">
        <f>IF(INDEX(Sheet1!$AM:$AM,ROWS($A$6:$A59)+1)&lt;&gt;"", "◯", "")</f>
        <v/>
      </c>
      <c r="H59" s="59" t="str">
        <f>IF(INDEX(Sheet1!$BA:$BA,ROWS($A$6:$A59)+1)&lt;&gt;"", "◯", "")</f>
        <v/>
      </c>
      <c r="I59" s="86"/>
    </row>
    <row r="60" spans="1:9" ht="20.100000000000001" customHeight="1" x14ac:dyDescent="0.15">
      <c r="A60" s="59" t="str">
        <f>IF(B60="","",SUBTOTAL(103, $B$6:B60))</f>
        <v/>
      </c>
      <c r="B60" s="59" t="str">
        <f>INDEX(Sheet1!$B:$B,ROWS($A$6:$A60)+1)&amp;""</f>
        <v/>
      </c>
      <c r="C60" s="66" t="str">
        <f>IF(INDEX(Sheet1!$N:$N,ROWS($A$6:$A60)+1)="","",INDEX(Sheet1!$N:$N,ROWS($A$6:$A60)+1))</f>
        <v/>
      </c>
      <c r="D60" s="63" t="str">
        <f>IF(INDEX(Sheet1!$T:$T,ROWS($A$6:$A60)+1)&lt;&gt;"", INDEX(Sheet1!$T:$T,ROWS($A$6:$A60)+1), IF(INDEX(Sheet1!$O:$O,ROWS($A$6:$A60)+1)&lt;&gt;"", INDEX(Sheet1!$O:$O,ROWS($A$6:$A60)+1), ""))</f>
        <v/>
      </c>
      <c r="E60" s="64" t="str">
        <f>INDEX(Sheet1!$Y:$Y,ROWS($A$6:$A60)+1)&amp;""</f>
        <v/>
      </c>
      <c r="F60" s="61" t="str">
        <f>INDEX(Sheet1!$AC:$AC,ROWS($A$6:$A60)+1)&amp;""</f>
        <v/>
      </c>
      <c r="G60" s="59" t="str">
        <f>IF(INDEX(Sheet1!$AM:$AM,ROWS($A$6:$A60)+1)&lt;&gt;"", "◯", "")</f>
        <v/>
      </c>
      <c r="H60" s="59" t="str">
        <f>IF(INDEX(Sheet1!$BA:$BA,ROWS($A$6:$A60)+1)&lt;&gt;"", "◯", "")</f>
        <v/>
      </c>
      <c r="I60" s="86"/>
    </row>
    <row r="61" spans="1:9" ht="20.100000000000001" customHeight="1" x14ac:dyDescent="0.15">
      <c r="A61" s="59" t="str">
        <f>IF(B61="","",SUBTOTAL(103, $B$6:B61))</f>
        <v/>
      </c>
      <c r="B61" s="59" t="str">
        <f>INDEX(Sheet1!$B:$B,ROWS($A$6:$A61)+1)&amp;""</f>
        <v/>
      </c>
      <c r="C61" s="66" t="str">
        <f>IF(INDEX(Sheet1!$N:$N,ROWS($A$6:$A61)+1)="","",INDEX(Sheet1!$N:$N,ROWS($A$6:$A61)+1))</f>
        <v/>
      </c>
      <c r="D61" s="63" t="str">
        <f>IF(INDEX(Sheet1!$T:$T,ROWS($A$6:$A61)+1)&lt;&gt;"", INDEX(Sheet1!$T:$T,ROWS($A$6:$A61)+1), IF(INDEX(Sheet1!$O:$O,ROWS($A$6:$A61)+1)&lt;&gt;"", INDEX(Sheet1!$O:$O,ROWS($A$6:$A61)+1), ""))</f>
        <v/>
      </c>
      <c r="E61" s="64" t="str">
        <f>INDEX(Sheet1!$Y:$Y,ROWS($A$6:$A61)+1)&amp;""</f>
        <v/>
      </c>
      <c r="F61" s="61" t="str">
        <f>INDEX(Sheet1!$AC:$AC,ROWS($A$6:$A61)+1)&amp;""</f>
        <v/>
      </c>
      <c r="G61" s="59" t="str">
        <f>IF(INDEX(Sheet1!$AM:$AM,ROWS($A$6:$A61)+1)&lt;&gt;"", "◯", "")</f>
        <v/>
      </c>
      <c r="H61" s="59" t="str">
        <f>IF(INDEX(Sheet1!$BA:$BA,ROWS($A$6:$A61)+1)&lt;&gt;"", "◯", "")</f>
        <v/>
      </c>
      <c r="I61" s="86"/>
    </row>
    <row r="62" spans="1:9" ht="20.100000000000001" customHeight="1" x14ac:dyDescent="0.15">
      <c r="A62" s="59" t="str">
        <f>IF(B62="","",SUBTOTAL(103, $B$6:B62))</f>
        <v/>
      </c>
      <c r="B62" s="59" t="str">
        <f>INDEX(Sheet1!$B:$B,ROWS($A$6:$A62)+1)&amp;""</f>
        <v/>
      </c>
      <c r="C62" s="66" t="str">
        <f>IF(INDEX(Sheet1!$N:$N,ROWS($A$6:$A62)+1)="","",INDEX(Sheet1!$N:$N,ROWS($A$6:$A62)+1))</f>
        <v/>
      </c>
      <c r="D62" s="63" t="str">
        <f>IF(INDEX(Sheet1!$T:$T,ROWS($A$6:$A62)+1)&lt;&gt;"", INDEX(Sheet1!$T:$T,ROWS($A$6:$A62)+1), IF(INDEX(Sheet1!$O:$O,ROWS($A$6:$A62)+1)&lt;&gt;"", INDEX(Sheet1!$O:$O,ROWS($A$6:$A62)+1), ""))</f>
        <v/>
      </c>
      <c r="E62" s="64" t="str">
        <f>INDEX(Sheet1!$Y:$Y,ROWS($A$6:$A62)+1)&amp;""</f>
        <v/>
      </c>
      <c r="F62" s="61" t="str">
        <f>INDEX(Sheet1!$AC:$AC,ROWS($A$6:$A62)+1)&amp;""</f>
        <v/>
      </c>
      <c r="G62" s="59" t="str">
        <f>IF(INDEX(Sheet1!$AM:$AM,ROWS($A$6:$A62)+1)&lt;&gt;"", "◯", "")</f>
        <v/>
      </c>
      <c r="H62" s="59" t="str">
        <f>IF(INDEX(Sheet1!$BA:$BA,ROWS($A$6:$A62)+1)&lt;&gt;"", "◯", "")</f>
        <v/>
      </c>
      <c r="I62" s="86"/>
    </row>
    <row r="63" spans="1:9" ht="20.100000000000001" customHeight="1" x14ac:dyDescent="0.15">
      <c r="A63" s="59" t="str">
        <f>IF(B63="","",SUBTOTAL(103, $B$6:B63))</f>
        <v/>
      </c>
      <c r="B63" s="59" t="str">
        <f>INDEX(Sheet1!$B:$B,ROWS($A$6:$A63)+1)&amp;""</f>
        <v/>
      </c>
      <c r="C63" s="66" t="str">
        <f>IF(INDEX(Sheet1!$N:$N,ROWS($A$6:$A63)+1)="","",INDEX(Sheet1!$N:$N,ROWS($A$6:$A63)+1))</f>
        <v/>
      </c>
      <c r="D63" s="63" t="str">
        <f>IF(INDEX(Sheet1!$T:$T,ROWS($A$6:$A63)+1)&lt;&gt;"", INDEX(Sheet1!$T:$T,ROWS($A$6:$A63)+1), IF(INDEX(Sheet1!$O:$O,ROWS($A$6:$A63)+1)&lt;&gt;"", INDEX(Sheet1!$O:$O,ROWS($A$6:$A63)+1), ""))</f>
        <v/>
      </c>
      <c r="E63" s="64" t="str">
        <f>INDEX(Sheet1!$Y:$Y,ROWS($A$6:$A63)+1)&amp;""</f>
        <v/>
      </c>
      <c r="F63" s="61" t="str">
        <f>INDEX(Sheet1!$AC:$AC,ROWS($A$6:$A63)+1)&amp;""</f>
        <v/>
      </c>
      <c r="G63" s="59" t="str">
        <f>IF(INDEX(Sheet1!$AM:$AM,ROWS($A$6:$A63)+1)&lt;&gt;"", "◯", "")</f>
        <v/>
      </c>
      <c r="H63" s="59" t="str">
        <f>IF(INDEX(Sheet1!$BA:$BA,ROWS($A$6:$A63)+1)&lt;&gt;"", "◯", "")</f>
        <v/>
      </c>
      <c r="I63" s="86"/>
    </row>
    <row r="64" spans="1:9" ht="20.100000000000001" customHeight="1" x14ac:dyDescent="0.15">
      <c r="A64" s="59" t="str">
        <f>IF(B64="","",SUBTOTAL(103, $B$6:B64))</f>
        <v/>
      </c>
      <c r="B64" s="59" t="str">
        <f>INDEX(Sheet1!$B:$B,ROWS($A$6:$A64)+1)&amp;""</f>
        <v/>
      </c>
      <c r="C64" s="66" t="str">
        <f>IF(INDEX(Sheet1!$N:$N,ROWS($A$6:$A64)+1)="","",INDEX(Sheet1!$N:$N,ROWS($A$6:$A64)+1))</f>
        <v/>
      </c>
      <c r="D64" s="63" t="str">
        <f>IF(INDEX(Sheet1!$T:$T,ROWS($A$6:$A64)+1)&lt;&gt;"", INDEX(Sheet1!$T:$T,ROWS($A$6:$A64)+1), IF(INDEX(Sheet1!$O:$O,ROWS($A$6:$A64)+1)&lt;&gt;"", INDEX(Sheet1!$O:$O,ROWS($A$6:$A64)+1), ""))</f>
        <v/>
      </c>
      <c r="E64" s="64" t="str">
        <f>INDEX(Sheet1!$Y:$Y,ROWS($A$6:$A64)+1)&amp;""</f>
        <v/>
      </c>
      <c r="F64" s="61" t="str">
        <f>INDEX(Sheet1!$AC:$AC,ROWS($A$6:$A64)+1)&amp;""</f>
        <v/>
      </c>
      <c r="G64" s="59" t="str">
        <f>IF(INDEX(Sheet1!$AM:$AM,ROWS($A$6:$A64)+1)&lt;&gt;"", "◯", "")</f>
        <v/>
      </c>
      <c r="H64" s="59" t="str">
        <f>IF(INDEX(Sheet1!$BA:$BA,ROWS($A$6:$A64)+1)&lt;&gt;"", "◯", "")</f>
        <v/>
      </c>
      <c r="I64" s="86"/>
    </row>
    <row r="65" spans="1:9" ht="20.100000000000001" customHeight="1" x14ac:dyDescent="0.15">
      <c r="A65" s="59" t="str">
        <f>IF(B65="","",SUBTOTAL(103, $B$6:B65))</f>
        <v/>
      </c>
      <c r="B65" s="59" t="str">
        <f>INDEX(Sheet1!$B:$B,ROWS($A$6:$A65)+1)&amp;""</f>
        <v/>
      </c>
      <c r="C65" s="66" t="str">
        <f>IF(INDEX(Sheet1!$N:$N,ROWS($A$6:$A65)+1)="","",INDEX(Sheet1!$N:$N,ROWS($A$6:$A65)+1))</f>
        <v/>
      </c>
      <c r="D65" s="63" t="str">
        <f>IF(INDEX(Sheet1!$T:$T,ROWS($A$6:$A65)+1)&lt;&gt;"", INDEX(Sheet1!$T:$T,ROWS($A$6:$A65)+1), IF(INDEX(Sheet1!$O:$O,ROWS($A$6:$A65)+1)&lt;&gt;"", INDEX(Sheet1!$O:$O,ROWS($A$6:$A65)+1), ""))</f>
        <v/>
      </c>
      <c r="E65" s="64" t="str">
        <f>INDEX(Sheet1!$Y:$Y,ROWS($A$6:$A65)+1)&amp;""</f>
        <v/>
      </c>
      <c r="F65" s="61" t="str">
        <f>INDEX(Sheet1!$AC:$AC,ROWS($A$6:$A65)+1)&amp;""</f>
        <v/>
      </c>
      <c r="G65" s="59" t="str">
        <f>IF(INDEX(Sheet1!$AM:$AM,ROWS($A$6:$A65)+1)&lt;&gt;"", "◯", "")</f>
        <v/>
      </c>
      <c r="H65" s="59" t="str">
        <f>IF(INDEX(Sheet1!$BA:$BA,ROWS($A$6:$A65)+1)&lt;&gt;"", "◯", "")</f>
        <v/>
      </c>
      <c r="I65" s="86"/>
    </row>
    <row r="66" spans="1:9" ht="20.100000000000001" customHeight="1" x14ac:dyDescent="0.15">
      <c r="A66" s="59" t="str">
        <f>IF(B66="","",SUBTOTAL(103, $B$6:B66))</f>
        <v/>
      </c>
      <c r="B66" s="59" t="str">
        <f>INDEX(Sheet1!$B:$B,ROWS($A$6:$A66)+1)&amp;""</f>
        <v/>
      </c>
      <c r="C66" s="66" t="str">
        <f>IF(INDEX(Sheet1!$N:$N,ROWS($A$6:$A66)+1)="","",INDEX(Sheet1!$N:$N,ROWS($A$6:$A66)+1))</f>
        <v/>
      </c>
      <c r="D66" s="63" t="str">
        <f>IF(INDEX(Sheet1!$T:$T,ROWS($A$6:$A66)+1)&lt;&gt;"", INDEX(Sheet1!$T:$T,ROWS($A$6:$A66)+1), IF(INDEX(Sheet1!$O:$O,ROWS($A$6:$A66)+1)&lt;&gt;"", INDEX(Sheet1!$O:$O,ROWS($A$6:$A66)+1), ""))</f>
        <v/>
      </c>
      <c r="E66" s="64" t="str">
        <f>INDEX(Sheet1!$Y:$Y,ROWS($A$6:$A66)+1)&amp;""</f>
        <v/>
      </c>
      <c r="F66" s="61" t="str">
        <f>INDEX(Sheet1!$AC:$AC,ROWS($A$6:$A66)+1)&amp;""</f>
        <v/>
      </c>
      <c r="G66" s="59" t="str">
        <f>IF(INDEX(Sheet1!$AM:$AM,ROWS($A$6:$A66)+1)&lt;&gt;"", "◯", "")</f>
        <v/>
      </c>
      <c r="H66" s="59" t="str">
        <f>IF(INDEX(Sheet1!$BA:$BA,ROWS($A$6:$A66)+1)&lt;&gt;"", "◯", "")</f>
        <v/>
      </c>
      <c r="I66" s="86"/>
    </row>
    <row r="67" spans="1:9" ht="20.100000000000001" customHeight="1" x14ac:dyDescent="0.15">
      <c r="A67" s="59" t="str">
        <f>IF(B67="","",SUBTOTAL(103, $B$6:B67))</f>
        <v/>
      </c>
      <c r="B67" s="59" t="str">
        <f>INDEX(Sheet1!$B:$B,ROWS($A$6:$A67)+1)&amp;""</f>
        <v/>
      </c>
      <c r="C67" s="66" t="str">
        <f>IF(INDEX(Sheet1!$N:$N,ROWS($A$6:$A67)+1)="","",INDEX(Sheet1!$N:$N,ROWS($A$6:$A67)+1))</f>
        <v/>
      </c>
      <c r="D67" s="63" t="str">
        <f>IF(INDEX(Sheet1!$T:$T,ROWS($A$6:$A67)+1)&lt;&gt;"", INDEX(Sheet1!$T:$T,ROWS($A$6:$A67)+1), IF(INDEX(Sheet1!$O:$O,ROWS($A$6:$A67)+1)&lt;&gt;"", INDEX(Sheet1!$O:$O,ROWS($A$6:$A67)+1), ""))</f>
        <v/>
      </c>
      <c r="E67" s="64" t="str">
        <f>INDEX(Sheet1!$Y:$Y,ROWS($A$6:$A67)+1)&amp;""</f>
        <v/>
      </c>
      <c r="F67" s="61" t="str">
        <f>INDEX(Sheet1!$AC:$AC,ROWS($A$6:$A67)+1)&amp;""</f>
        <v/>
      </c>
      <c r="G67" s="59" t="str">
        <f>IF(INDEX(Sheet1!$AM:$AM,ROWS($A$6:$A67)+1)&lt;&gt;"", "◯", "")</f>
        <v/>
      </c>
      <c r="H67" s="59" t="str">
        <f>IF(INDEX(Sheet1!$BA:$BA,ROWS($A$6:$A67)+1)&lt;&gt;"", "◯", "")</f>
        <v/>
      </c>
      <c r="I67" s="86"/>
    </row>
    <row r="68" spans="1:9" ht="20.100000000000001" customHeight="1" x14ac:dyDescent="0.15">
      <c r="A68" s="59" t="str">
        <f>IF(B68="","",SUBTOTAL(103, $B$6:B68))</f>
        <v/>
      </c>
      <c r="B68" s="59" t="str">
        <f>INDEX(Sheet1!$B:$B,ROWS($A$6:$A68)+1)&amp;""</f>
        <v/>
      </c>
      <c r="C68" s="66" t="str">
        <f>IF(INDEX(Sheet1!$N:$N,ROWS($A$6:$A68)+1)="","",INDEX(Sheet1!$N:$N,ROWS($A$6:$A68)+1))</f>
        <v/>
      </c>
      <c r="D68" s="63" t="str">
        <f>IF(INDEX(Sheet1!$T:$T,ROWS($A$6:$A68)+1)&lt;&gt;"", INDEX(Sheet1!$T:$T,ROWS($A$6:$A68)+1), IF(INDEX(Sheet1!$O:$O,ROWS($A$6:$A68)+1)&lt;&gt;"", INDEX(Sheet1!$O:$O,ROWS($A$6:$A68)+1), ""))</f>
        <v/>
      </c>
      <c r="E68" s="64" t="str">
        <f>INDEX(Sheet1!$Y:$Y,ROWS($A$6:$A68)+1)&amp;""</f>
        <v/>
      </c>
      <c r="F68" s="61" t="str">
        <f>INDEX(Sheet1!$AC:$AC,ROWS($A$6:$A68)+1)&amp;""</f>
        <v/>
      </c>
      <c r="G68" s="59" t="str">
        <f>IF(INDEX(Sheet1!$AM:$AM,ROWS($A$6:$A68)+1)&lt;&gt;"", "◯", "")</f>
        <v/>
      </c>
      <c r="H68" s="59" t="str">
        <f>IF(INDEX(Sheet1!$BA:$BA,ROWS($A$6:$A68)+1)&lt;&gt;"", "◯", "")</f>
        <v/>
      </c>
      <c r="I68" s="86"/>
    </row>
    <row r="69" spans="1:9" ht="20.100000000000001" customHeight="1" x14ac:dyDescent="0.15">
      <c r="A69" s="59" t="str">
        <f>IF(B69="","",SUBTOTAL(103, $B$6:B69))</f>
        <v/>
      </c>
      <c r="B69" s="59" t="str">
        <f>INDEX(Sheet1!$B:$B,ROWS($A$6:$A69)+1)&amp;""</f>
        <v/>
      </c>
      <c r="C69" s="66" t="str">
        <f>IF(INDEX(Sheet1!$N:$N,ROWS($A$6:$A69)+1)="","",INDEX(Sheet1!$N:$N,ROWS($A$6:$A69)+1))</f>
        <v/>
      </c>
      <c r="D69" s="63" t="str">
        <f>IF(INDEX(Sheet1!$T:$T,ROWS($A$6:$A69)+1)&lt;&gt;"", INDEX(Sheet1!$T:$T,ROWS($A$6:$A69)+1), IF(INDEX(Sheet1!$O:$O,ROWS($A$6:$A69)+1)&lt;&gt;"", INDEX(Sheet1!$O:$O,ROWS($A$6:$A69)+1), ""))</f>
        <v/>
      </c>
      <c r="E69" s="64" t="str">
        <f>INDEX(Sheet1!$Y:$Y,ROWS($A$6:$A69)+1)&amp;""</f>
        <v/>
      </c>
      <c r="F69" s="61" t="str">
        <f>INDEX(Sheet1!$AC:$AC,ROWS($A$6:$A69)+1)&amp;""</f>
        <v/>
      </c>
      <c r="G69" s="59" t="str">
        <f>IF(INDEX(Sheet1!$AM:$AM,ROWS($A$6:$A69)+1)&lt;&gt;"", "◯", "")</f>
        <v/>
      </c>
      <c r="H69" s="59" t="str">
        <f>IF(INDEX(Sheet1!$BA:$BA,ROWS($A$6:$A69)+1)&lt;&gt;"", "◯", "")</f>
        <v/>
      </c>
      <c r="I69" s="86"/>
    </row>
    <row r="70" spans="1:9" ht="20.100000000000001" customHeight="1" x14ac:dyDescent="0.15">
      <c r="A70" s="59" t="str">
        <f>IF(B70="","",SUBTOTAL(103, $B$6:B70))</f>
        <v/>
      </c>
      <c r="B70" s="59" t="str">
        <f>INDEX(Sheet1!$B:$B,ROWS($A$6:$A70)+1)&amp;""</f>
        <v/>
      </c>
      <c r="C70" s="66" t="str">
        <f>IF(INDEX(Sheet1!$N:$N,ROWS($A$6:$A70)+1)="","",INDEX(Sheet1!$N:$N,ROWS($A$6:$A70)+1))</f>
        <v/>
      </c>
      <c r="D70" s="63" t="str">
        <f>IF(INDEX(Sheet1!$T:$T,ROWS($A$6:$A70)+1)&lt;&gt;"", INDEX(Sheet1!$T:$T,ROWS($A$6:$A70)+1), IF(INDEX(Sheet1!$O:$O,ROWS($A$6:$A70)+1)&lt;&gt;"", INDEX(Sheet1!$O:$O,ROWS($A$6:$A70)+1), ""))</f>
        <v/>
      </c>
      <c r="E70" s="64" t="str">
        <f>INDEX(Sheet1!$Y:$Y,ROWS($A$6:$A70)+1)&amp;""</f>
        <v/>
      </c>
      <c r="F70" s="61" t="str">
        <f>INDEX(Sheet1!$AC:$AC,ROWS($A$6:$A70)+1)&amp;""</f>
        <v/>
      </c>
      <c r="G70" s="59" t="str">
        <f>IF(INDEX(Sheet1!$AM:$AM,ROWS($A$6:$A70)+1)&lt;&gt;"", "◯", "")</f>
        <v/>
      </c>
      <c r="H70" s="59" t="str">
        <f>IF(INDEX(Sheet1!$BA:$BA,ROWS($A$6:$A70)+1)&lt;&gt;"", "◯", "")</f>
        <v/>
      </c>
      <c r="I70" s="86"/>
    </row>
    <row r="71" spans="1:9" ht="20.100000000000001" customHeight="1" x14ac:dyDescent="0.15">
      <c r="A71" s="59" t="str">
        <f>IF(B71="","",SUBTOTAL(103, $B$6:B71))</f>
        <v/>
      </c>
      <c r="B71" s="59" t="str">
        <f>INDEX(Sheet1!$B:$B,ROWS($A$6:$A71)+1)&amp;""</f>
        <v/>
      </c>
      <c r="C71" s="66" t="str">
        <f>IF(INDEX(Sheet1!$N:$N,ROWS($A$6:$A71)+1)="","",INDEX(Sheet1!$N:$N,ROWS($A$6:$A71)+1))</f>
        <v/>
      </c>
      <c r="D71" s="63" t="str">
        <f>IF(INDEX(Sheet1!$T:$T,ROWS($A$6:$A71)+1)&lt;&gt;"", INDEX(Sheet1!$T:$T,ROWS($A$6:$A71)+1), IF(INDEX(Sheet1!$O:$O,ROWS($A$6:$A71)+1)&lt;&gt;"", INDEX(Sheet1!$O:$O,ROWS($A$6:$A71)+1), ""))</f>
        <v/>
      </c>
      <c r="E71" s="64" t="str">
        <f>INDEX(Sheet1!$Y:$Y,ROWS($A$6:$A71)+1)&amp;""</f>
        <v/>
      </c>
      <c r="F71" s="61" t="str">
        <f>INDEX(Sheet1!$AC:$AC,ROWS($A$6:$A71)+1)&amp;""</f>
        <v/>
      </c>
      <c r="G71" s="59" t="str">
        <f>IF(INDEX(Sheet1!$AM:$AM,ROWS($A$6:$A71)+1)&lt;&gt;"", "◯", "")</f>
        <v/>
      </c>
      <c r="H71" s="59" t="str">
        <f>IF(INDEX(Sheet1!$BA:$BA,ROWS($A$6:$A71)+1)&lt;&gt;"", "◯", "")</f>
        <v/>
      </c>
      <c r="I71" s="86"/>
    </row>
    <row r="72" spans="1:9" ht="20.100000000000001" customHeight="1" x14ac:dyDescent="0.15">
      <c r="A72" s="59" t="str">
        <f>IF(B72="","",SUBTOTAL(103, $B$6:B72))</f>
        <v/>
      </c>
      <c r="B72" s="59" t="str">
        <f>INDEX(Sheet1!$B:$B,ROWS($A$6:$A72)+1)&amp;""</f>
        <v/>
      </c>
      <c r="C72" s="66" t="str">
        <f>IF(INDEX(Sheet1!$N:$N,ROWS($A$6:$A72)+1)="","",INDEX(Sheet1!$N:$N,ROWS($A$6:$A72)+1))</f>
        <v/>
      </c>
      <c r="D72" s="63" t="str">
        <f>IF(INDEX(Sheet1!$T:$T,ROWS($A$6:$A72)+1)&lt;&gt;"", INDEX(Sheet1!$T:$T,ROWS($A$6:$A72)+1), IF(INDEX(Sheet1!$O:$O,ROWS($A$6:$A72)+1)&lt;&gt;"", INDEX(Sheet1!$O:$O,ROWS($A$6:$A72)+1), ""))</f>
        <v/>
      </c>
      <c r="E72" s="64" t="str">
        <f>INDEX(Sheet1!$Y:$Y,ROWS($A$6:$A72)+1)&amp;""</f>
        <v/>
      </c>
      <c r="F72" s="61" t="str">
        <f>INDEX(Sheet1!$AC:$AC,ROWS($A$6:$A72)+1)&amp;""</f>
        <v/>
      </c>
      <c r="G72" s="59" t="str">
        <f>IF(INDEX(Sheet1!$AM:$AM,ROWS($A$6:$A72)+1)&lt;&gt;"", "◯", "")</f>
        <v/>
      </c>
      <c r="H72" s="59" t="str">
        <f>IF(INDEX(Sheet1!$BA:$BA,ROWS($A$6:$A72)+1)&lt;&gt;"", "◯", "")</f>
        <v/>
      </c>
      <c r="I72" s="86"/>
    </row>
    <row r="73" spans="1:9" ht="20.100000000000001" customHeight="1" x14ac:dyDescent="0.15">
      <c r="A73" s="59" t="str">
        <f>IF(B73="","",SUBTOTAL(103, $B$6:B73))</f>
        <v/>
      </c>
      <c r="B73" s="59" t="str">
        <f>INDEX(Sheet1!$B:$B,ROWS($A$6:$A73)+1)&amp;""</f>
        <v/>
      </c>
      <c r="C73" s="66" t="str">
        <f>IF(INDEX(Sheet1!$N:$N,ROWS($A$6:$A73)+1)="","",INDEX(Sheet1!$N:$N,ROWS($A$6:$A73)+1))</f>
        <v/>
      </c>
      <c r="D73" s="63" t="str">
        <f>IF(INDEX(Sheet1!$T:$T,ROWS($A$6:$A73)+1)&lt;&gt;"", INDEX(Sheet1!$T:$T,ROWS($A$6:$A73)+1), IF(INDEX(Sheet1!$O:$O,ROWS($A$6:$A73)+1)&lt;&gt;"", INDEX(Sheet1!$O:$O,ROWS($A$6:$A73)+1), ""))</f>
        <v/>
      </c>
      <c r="E73" s="64" t="str">
        <f>INDEX(Sheet1!$Y:$Y,ROWS($A$6:$A73)+1)&amp;""</f>
        <v/>
      </c>
      <c r="F73" s="61" t="str">
        <f>INDEX(Sheet1!$AC:$AC,ROWS($A$6:$A73)+1)&amp;""</f>
        <v/>
      </c>
      <c r="G73" s="59" t="str">
        <f>IF(INDEX(Sheet1!$AM:$AM,ROWS($A$6:$A73)+1)&lt;&gt;"", "◯", "")</f>
        <v/>
      </c>
      <c r="H73" s="59" t="str">
        <f>IF(INDEX(Sheet1!$BA:$BA,ROWS($A$6:$A73)+1)&lt;&gt;"", "◯", "")</f>
        <v/>
      </c>
      <c r="I73" s="86"/>
    </row>
    <row r="74" spans="1:9" ht="20.100000000000001" customHeight="1" x14ac:dyDescent="0.15">
      <c r="A74" s="59" t="str">
        <f>IF(B74="","",SUBTOTAL(103, $B$6:B74))</f>
        <v/>
      </c>
      <c r="B74" s="59" t="str">
        <f>INDEX(Sheet1!$B:$B,ROWS($A$6:$A74)+1)&amp;""</f>
        <v/>
      </c>
      <c r="C74" s="66" t="str">
        <f>IF(INDEX(Sheet1!$N:$N,ROWS($A$6:$A74)+1)="","",INDEX(Sheet1!$N:$N,ROWS($A$6:$A74)+1))</f>
        <v/>
      </c>
      <c r="D74" s="63" t="str">
        <f>IF(INDEX(Sheet1!$T:$T,ROWS($A$6:$A74)+1)&lt;&gt;"", INDEX(Sheet1!$T:$T,ROWS($A$6:$A74)+1), IF(INDEX(Sheet1!$O:$O,ROWS($A$6:$A74)+1)&lt;&gt;"", INDEX(Sheet1!$O:$O,ROWS($A$6:$A74)+1), ""))</f>
        <v/>
      </c>
      <c r="E74" s="64" t="str">
        <f>INDEX(Sheet1!$Y:$Y,ROWS($A$6:$A74)+1)&amp;""</f>
        <v/>
      </c>
      <c r="F74" s="61" t="str">
        <f>INDEX(Sheet1!$AC:$AC,ROWS($A$6:$A74)+1)&amp;""</f>
        <v/>
      </c>
      <c r="G74" s="59" t="str">
        <f>IF(INDEX(Sheet1!$AM:$AM,ROWS($A$6:$A74)+1)&lt;&gt;"", "◯", "")</f>
        <v/>
      </c>
      <c r="H74" s="59" t="str">
        <f>IF(INDEX(Sheet1!$BA:$BA,ROWS($A$6:$A74)+1)&lt;&gt;"", "◯", "")</f>
        <v/>
      </c>
      <c r="I74" s="86"/>
    </row>
    <row r="75" spans="1:9" ht="20.100000000000001" customHeight="1" x14ac:dyDescent="0.15">
      <c r="A75" s="59" t="str">
        <f>IF(B75="","",SUBTOTAL(103, $B$6:B75))</f>
        <v/>
      </c>
      <c r="B75" s="59" t="str">
        <f>INDEX(Sheet1!$B:$B,ROWS($A$6:$A75)+1)&amp;""</f>
        <v/>
      </c>
      <c r="C75" s="66" t="str">
        <f>IF(INDEX(Sheet1!$N:$N,ROWS($A$6:$A75)+1)="","",INDEX(Sheet1!$N:$N,ROWS($A$6:$A75)+1))</f>
        <v/>
      </c>
      <c r="D75" s="63" t="str">
        <f>IF(INDEX(Sheet1!$T:$T,ROWS($A$6:$A75)+1)&lt;&gt;"", INDEX(Sheet1!$T:$T,ROWS($A$6:$A75)+1), IF(INDEX(Sheet1!$O:$O,ROWS($A$6:$A75)+1)&lt;&gt;"", INDEX(Sheet1!$O:$O,ROWS($A$6:$A75)+1), ""))</f>
        <v/>
      </c>
      <c r="E75" s="64" t="str">
        <f>INDEX(Sheet1!$Y:$Y,ROWS($A$6:$A75)+1)&amp;""</f>
        <v/>
      </c>
      <c r="F75" s="61" t="str">
        <f>INDEX(Sheet1!$AC:$AC,ROWS($A$6:$A75)+1)&amp;""</f>
        <v/>
      </c>
      <c r="G75" s="59" t="str">
        <f>IF(INDEX(Sheet1!$AM:$AM,ROWS($A$6:$A75)+1)&lt;&gt;"", "◯", "")</f>
        <v/>
      </c>
      <c r="H75" s="59" t="str">
        <f>IF(INDEX(Sheet1!$BA:$BA,ROWS($A$6:$A75)+1)&lt;&gt;"", "◯", "")</f>
        <v/>
      </c>
      <c r="I75" s="86"/>
    </row>
    <row r="76" spans="1:9" ht="20.100000000000001" customHeight="1" x14ac:dyDescent="0.15">
      <c r="A76" s="59" t="str">
        <f>IF(B76="","",SUBTOTAL(103, $B$6:B76))</f>
        <v/>
      </c>
      <c r="B76" s="59" t="str">
        <f>INDEX(Sheet1!$B:$B,ROWS($A$6:$A76)+1)&amp;""</f>
        <v/>
      </c>
      <c r="C76" s="66" t="str">
        <f>IF(INDEX(Sheet1!$N:$N,ROWS($A$6:$A76)+1)="","",INDEX(Sheet1!$N:$N,ROWS($A$6:$A76)+1))</f>
        <v/>
      </c>
      <c r="D76" s="63" t="str">
        <f>IF(INDEX(Sheet1!$T:$T,ROWS($A$6:$A76)+1)&lt;&gt;"", INDEX(Sheet1!$T:$T,ROWS($A$6:$A76)+1), IF(INDEX(Sheet1!$O:$O,ROWS($A$6:$A76)+1)&lt;&gt;"", INDEX(Sheet1!$O:$O,ROWS($A$6:$A76)+1), ""))</f>
        <v/>
      </c>
      <c r="E76" s="64" t="str">
        <f>INDEX(Sheet1!$Y:$Y,ROWS($A$6:$A76)+1)&amp;""</f>
        <v/>
      </c>
      <c r="F76" s="61" t="str">
        <f>INDEX(Sheet1!$AC:$AC,ROWS($A$6:$A76)+1)&amp;""</f>
        <v/>
      </c>
      <c r="G76" s="59" t="str">
        <f>IF(INDEX(Sheet1!$AM:$AM,ROWS($A$6:$A76)+1)&lt;&gt;"", "◯", "")</f>
        <v/>
      </c>
      <c r="H76" s="59" t="str">
        <f>IF(INDEX(Sheet1!$BA:$BA,ROWS($A$6:$A76)+1)&lt;&gt;"", "◯", "")</f>
        <v/>
      </c>
      <c r="I76" s="86"/>
    </row>
    <row r="77" spans="1:9" ht="20.100000000000001" customHeight="1" x14ac:dyDescent="0.15">
      <c r="A77" s="59" t="str">
        <f>IF(B77="","",SUBTOTAL(103, $B$6:B77))</f>
        <v/>
      </c>
      <c r="B77" s="59" t="str">
        <f>INDEX(Sheet1!$B:$B,ROWS($A$6:$A77)+1)&amp;""</f>
        <v/>
      </c>
      <c r="C77" s="66" t="str">
        <f>IF(INDEX(Sheet1!$N:$N,ROWS($A$6:$A77)+1)="","",INDEX(Sheet1!$N:$N,ROWS($A$6:$A77)+1))</f>
        <v/>
      </c>
      <c r="D77" s="63" t="str">
        <f>IF(INDEX(Sheet1!$T:$T,ROWS($A$6:$A77)+1)&lt;&gt;"", INDEX(Sheet1!$T:$T,ROWS($A$6:$A77)+1), IF(INDEX(Sheet1!$O:$O,ROWS($A$6:$A77)+1)&lt;&gt;"", INDEX(Sheet1!$O:$O,ROWS($A$6:$A77)+1), ""))</f>
        <v/>
      </c>
      <c r="E77" s="64" t="str">
        <f>INDEX(Sheet1!$Y:$Y,ROWS($A$6:$A77)+1)&amp;""</f>
        <v/>
      </c>
      <c r="F77" s="61" t="str">
        <f>INDEX(Sheet1!$AC:$AC,ROWS($A$6:$A77)+1)&amp;""</f>
        <v/>
      </c>
      <c r="G77" s="59" t="str">
        <f>IF(INDEX(Sheet1!$AM:$AM,ROWS($A$6:$A77)+1)&lt;&gt;"", "◯", "")</f>
        <v/>
      </c>
      <c r="H77" s="59" t="str">
        <f>IF(INDEX(Sheet1!$BA:$BA,ROWS($A$6:$A77)+1)&lt;&gt;"", "◯", "")</f>
        <v/>
      </c>
      <c r="I77" s="86"/>
    </row>
    <row r="78" spans="1:9" ht="20.100000000000001" customHeight="1" x14ac:dyDescent="0.15">
      <c r="A78" s="59" t="str">
        <f>IF(B78="","",SUBTOTAL(103, $B$6:B78))</f>
        <v/>
      </c>
      <c r="B78" s="59" t="str">
        <f>INDEX(Sheet1!$B:$B,ROWS($A$6:$A78)+1)&amp;""</f>
        <v/>
      </c>
      <c r="C78" s="66" t="str">
        <f>IF(INDEX(Sheet1!$N:$N,ROWS($A$6:$A78)+1)="","",INDEX(Sheet1!$N:$N,ROWS($A$6:$A78)+1))</f>
        <v/>
      </c>
      <c r="D78" s="63" t="str">
        <f>IF(INDEX(Sheet1!$T:$T,ROWS($A$6:$A78)+1)&lt;&gt;"", INDEX(Sheet1!$T:$T,ROWS($A$6:$A78)+1), IF(INDEX(Sheet1!$O:$O,ROWS($A$6:$A78)+1)&lt;&gt;"", INDEX(Sheet1!$O:$O,ROWS($A$6:$A78)+1), ""))</f>
        <v/>
      </c>
      <c r="E78" s="64" t="str">
        <f>INDEX(Sheet1!$Y:$Y,ROWS($A$6:$A78)+1)&amp;""</f>
        <v/>
      </c>
      <c r="F78" s="61" t="str">
        <f>INDEX(Sheet1!$AC:$AC,ROWS($A$6:$A78)+1)&amp;""</f>
        <v/>
      </c>
      <c r="G78" s="59" t="str">
        <f>IF(INDEX(Sheet1!$AM:$AM,ROWS($A$6:$A78)+1)&lt;&gt;"", "◯", "")</f>
        <v/>
      </c>
      <c r="H78" s="59" t="str">
        <f>IF(INDEX(Sheet1!$BA:$BA,ROWS($A$6:$A78)+1)&lt;&gt;"", "◯", "")</f>
        <v/>
      </c>
      <c r="I78" s="86"/>
    </row>
    <row r="79" spans="1:9" ht="20.100000000000001" customHeight="1" x14ac:dyDescent="0.15">
      <c r="A79" s="59" t="str">
        <f>IF(B79="","",SUBTOTAL(103, $B$6:B79))</f>
        <v/>
      </c>
      <c r="B79" s="59" t="str">
        <f>INDEX(Sheet1!$B:$B,ROWS($A$6:$A79)+1)&amp;""</f>
        <v/>
      </c>
      <c r="C79" s="66" t="str">
        <f>IF(INDEX(Sheet1!$N:$N,ROWS($A$6:$A79)+1)="","",INDEX(Sheet1!$N:$N,ROWS($A$6:$A79)+1))</f>
        <v/>
      </c>
      <c r="D79" s="63" t="str">
        <f>IF(INDEX(Sheet1!$T:$T,ROWS($A$6:$A79)+1)&lt;&gt;"", INDEX(Sheet1!$T:$T,ROWS($A$6:$A79)+1), IF(INDEX(Sheet1!$O:$O,ROWS($A$6:$A79)+1)&lt;&gt;"", INDEX(Sheet1!$O:$O,ROWS($A$6:$A79)+1), ""))</f>
        <v/>
      </c>
      <c r="E79" s="64" t="str">
        <f>INDEX(Sheet1!$Y:$Y,ROWS($A$6:$A79)+1)&amp;""</f>
        <v/>
      </c>
      <c r="F79" s="61" t="str">
        <f>INDEX(Sheet1!$AC:$AC,ROWS($A$6:$A79)+1)&amp;""</f>
        <v/>
      </c>
      <c r="G79" s="59" t="str">
        <f>IF(INDEX(Sheet1!$AM:$AM,ROWS($A$6:$A79)+1)&lt;&gt;"", "◯", "")</f>
        <v/>
      </c>
      <c r="H79" s="59" t="str">
        <f>IF(INDEX(Sheet1!$BA:$BA,ROWS($A$6:$A79)+1)&lt;&gt;"", "◯", "")</f>
        <v/>
      </c>
      <c r="I79" s="86"/>
    </row>
    <row r="80" spans="1:9" ht="20.100000000000001" customHeight="1" x14ac:dyDescent="0.15">
      <c r="A80" s="59" t="str">
        <f>IF(B80="","",SUBTOTAL(103, $B$6:B80))</f>
        <v/>
      </c>
      <c r="B80" s="59" t="str">
        <f>INDEX(Sheet1!$B:$B,ROWS($A$6:$A80)+1)&amp;""</f>
        <v/>
      </c>
      <c r="C80" s="66" t="str">
        <f>IF(INDEX(Sheet1!$N:$N,ROWS($A$6:$A80)+1)="","",INDEX(Sheet1!$N:$N,ROWS($A$6:$A80)+1))</f>
        <v/>
      </c>
      <c r="D80" s="63" t="str">
        <f>IF(INDEX(Sheet1!$T:$T,ROWS($A$6:$A80)+1)&lt;&gt;"", INDEX(Sheet1!$T:$T,ROWS($A$6:$A80)+1), IF(INDEX(Sheet1!$O:$O,ROWS($A$6:$A80)+1)&lt;&gt;"", INDEX(Sheet1!$O:$O,ROWS($A$6:$A80)+1), ""))</f>
        <v/>
      </c>
      <c r="E80" s="64" t="str">
        <f>INDEX(Sheet1!$Y:$Y,ROWS($A$6:$A80)+1)&amp;""</f>
        <v/>
      </c>
      <c r="F80" s="61" t="str">
        <f>INDEX(Sheet1!$AC:$AC,ROWS($A$6:$A80)+1)&amp;""</f>
        <v/>
      </c>
      <c r="G80" s="59" t="str">
        <f>IF(INDEX(Sheet1!$AM:$AM,ROWS($A$6:$A80)+1)&lt;&gt;"", "◯", "")</f>
        <v/>
      </c>
      <c r="H80" s="59" t="str">
        <f>IF(INDEX(Sheet1!$BA:$BA,ROWS($A$6:$A80)+1)&lt;&gt;"", "◯", "")</f>
        <v/>
      </c>
      <c r="I80" s="86"/>
    </row>
    <row r="81" spans="1:9" ht="20.100000000000001" customHeight="1" x14ac:dyDescent="0.15">
      <c r="A81" s="59" t="str">
        <f>IF(B81="","",SUBTOTAL(103, $B$6:B81))</f>
        <v/>
      </c>
      <c r="B81" s="59" t="str">
        <f>INDEX(Sheet1!$B:$B,ROWS($A$6:$A81)+1)&amp;""</f>
        <v/>
      </c>
      <c r="C81" s="66" t="str">
        <f>IF(INDEX(Sheet1!$N:$N,ROWS($A$6:$A81)+1)="","",INDEX(Sheet1!$N:$N,ROWS($A$6:$A81)+1))</f>
        <v/>
      </c>
      <c r="D81" s="63" t="str">
        <f>IF(INDEX(Sheet1!$T:$T,ROWS($A$6:$A81)+1)&lt;&gt;"", INDEX(Sheet1!$T:$T,ROWS($A$6:$A81)+1), IF(INDEX(Sheet1!$O:$O,ROWS($A$6:$A81)+1)&lt;&gt;"", INDEX(Sheet1!$O:$O,ROWS($A$6:$A81)+1), ""))</f>
        <v/>
      </c>
      <c r="E81" s="64" t="str">
        <f>INDEX(Sheet1!$Y:$Y,ROWS($A$6:$A81)+1)&amp;""</f>
        <v/>
      </c>
      <c r="F81" s="61" t="str">
        <f>INDEX(Sheet1!$AC:$AC,ROWS($A$6:$A81)+1)&amp;""</f>
        <v/>
      </c>
      <c r="G81" s="59" t="str">
        <f>IF(INDEX(Sheet1!$AM:$AM,ROWS($A$6:$A81)+1)&lt;&gt;"", "◯", "")</f>
        <v/>
      </c>
      <c r="H81" s="59" t="str">
        <f>IF(INDEX(Sheet1!$BA:$BA,ROWS($A$6:$A81)+1)&lt;&gt;"", "◯", "")</f>
        <v/>
      </c>
      <c r="I81" s="86"/>
    </row>
    <row r="82" spans="1:9" ht="20.100000000000001" customHeight="1" x14ac:dyDescent="0.15">
      <c r="A82" s="59" t="str">
        <f>IF(B82="","",SUBTOTAL(103, $B$6:B82))</f>
        <v/>
      </c>
      <c r="B82" s="59" t="str">
        <f>INDEX(Sheet1!$B:$B,ROWS($A$6:$A82)+1)&amp;""</f>
        <v/>
      </c>
      <c r="C82" s="66" t="str">
        <f>IF(INDEX(Sheet1!$N:$N,ROWS($A$6:$A82)+1)="","",INDEX(Sheet1!$N:$N,ROWS($A$6:$A82)+1))</f>
        <v/>
      </c>
      <c r="D82" s="63" t="str">
        <f>IF(INDEX(Sheet1!$T:$T,ROWS($A$6:$A82)+1)&lt;&gt;"", INDEX(Sheet1!$T:$T,ROWS($A$6:$A82)+1), IF(INDEX(Sheet1!$O:$O,ROWS($A$6:$A82)+1)&lt;&gt;"", INDEX(Sheet1!$O:$O,ROWS($A$6:$A82)+1), ""))</f>
        <v/>
      </c>
      <c r="E82" s="64" t="str">
        <f>INDEX(Sheet1!$Y:$Y,ROWS($A$6:$A82)+1)&amp;""</f>
        <v/>
      </c>
      <c r="F82" s="61" t="str">
        <f>INDEX(Sheet1!$AC:$AC,ROWS($A$6:$A82)+1)&amp;""</f>
        <v/>
      </c>
      <c r="G82" s="59" t="str">
        <f>IF(INDEX(Sheet1!$AM:$AM,ROWS($A$6:$A82)+1)&lt;&gt;"", "◯", "")</f>
        <v/>
      </c>
      <c r="H82" s="59" t="str">
        <f>IF(INDEX(Sheet1!$BA:$BA,ROWS($A$6:$A82)+1)&lt;&gt;"", "◯", "")</f>
        <v/>
      </c>
      <c r="I82" s="86"/>
    </row>
    <row r="83" spans="1:9" ht="20.100000000000001" customHeight="1" x14ac:dyDescent="0.15">
      <c r="A83" s="59" t="str">
        <f>IF(B83="","",SUBTOTAL(103, $B$6:B83))</f>
        <v/>
      </c>
      <c r="B83" s="59" t="str">
        <f>INDEX(Sheet1!$B:$B,ROWS($A$6:$A83)+1)&amp;""</f>
        <v/>
      </c>
      <c r="C83" s="66" t="str">
        <f>IF(INDEX(Sheet1!$N:$N,ROWS($A$6:$A83)+1)="","",INDEX(Sheet1!$N:$N,ROWS($A$6:$A83)+1))</f>
        <v/>
      </c>
      <c r="D83" s="63" t="str">
        <f>IF(INDEX(Sheet1!$T:$T,ROWS($A$6:$A83)+1)&lt;&gt;"", INDEX(Sheet1!$T:$T,ROWS($A$6:$A83)+1), IF(INDEX(Sheet1!$O:$O,ROWS($A$6:$A83)+1)&lt;&gt;"", INDEX(Sheet1!$O:$O,ROWS($A$6:$A83)+1), ""))</f>
        <v/>
      </c>
      <c r="E83" s="64" t="str">
        <f>INDEX(Sheet1!$Y:$Y,ROWS($A$6:$A83)+1)&amp;""</f>
        <v/>
      </c>
      <c r="F83" s="61" t="str">
        <f>INDEX(Sheet1!$AC:$AC,ROWS($A$6:$A83)+1)&amp;""</f>
        <v/>
      </c>
      <c r="G83" s="59" t="str">
        <f>IF(INDEX(Sheet1!$AM:$AM,ROWS($A$6:$A83)+1)&lt;&gt;"", "◯", "")</f>
        <v/>
      </c>
      <c r="H83" s="59" t="str">
        <f>IF(INDEX(Sheet1!$BA:$BA,ROWS($A$6:$A83)+1)&lt;&gt;"", "◯", "")</f>
        <v/>
      </c>
      <c r="I83" s="86"/>
    </row>
    <row r="84" spans="1:9" ht="20.100000000000001" customHeight="1" x14ac:dyDescent="0.15">
      <c r="A84" s="59" t="str">
        <f>IF(B84="","",SUBTOTAL(103, $B$6:B84))</f>
        <v/>
      </c>
      <c r="B84" s="59" t="str">
        <f>INDEX(Sheet1!$B:$B,ROWS($A$6:$A84)+1)&amp;""</f>
        <v/>
      </c>
      <c r="C84" s="66" t="str">
        <f>IF(INDEX(Sheet1!$N:$N,ROWS($A$6:$A84)+1)="","",INDEX(Sheet1!$N:$N,ROWS($A$6:$A84)+1))</f>
        <v/>
      </c>
      <c r="D84" s="63" t="str">
        <f>IF(INDEX(Sheet1!$T:$T,ROWS($A$6:$A84)+1)&lt;&gt;"", INDEX(Sheet1!$T:$T,ROWS($A$6:$A84)+1), IF(INDEX(Sheet1!$O:$O,ROWS($A$6:$A84)+1)&lt;&gt;"", INDEX(Sheet1!$O:$O,ROWS($A$6:$A84)+1), ""))</f>
        <v/>
      </c>
      <c r="E84" s="64" t="str">
        <f>INDEX(Sheet1!$Y:$Y,ROWS($A$6:$A84)+1)&amp;""</f>
        <v/>
      </c>
      <c r="F84" s="61" t="str">
        <f>INDEX(Sheet1!$AC:$AC,ROWS($A$6:$A84)+1)&amp;""</f>
        <v/>
      </c>
      <c r="G84" s="59" t="str">
        <f>IF(INDEX(Sheet1!$AM:$AM,ROWS($A$6:$A84)+1)&lt;&gt;"", "◯", "")</f>
        <v/>
      </c>
      <c r="H84" s="59" t="str">
        <f>IF(INDEX(Sheet1!$BA:$BA,ROWS($A$6:$A84)+1)&lt;&gt;"", "◯", "")</f>
        <v/>
      </c>
      <c r="I84" s="86"/>
    </row>
    <row r="85" spans="1:9" ht="20.100000000000001" customHeight="1" x14ac:dyDescent="0.15">
      <c r="A85" s="59" t="str">
        <f>IF(B85="","",SUBTOTAL(103, $B$6:B85))</f>
        <v/>
      </c>
      <c r="B85" s="59" t="str">
        <f>INDEX(Sheet1!$B:$B,ROWS($A$6:$A85)+1)&amp;""</f>
        <v/>
      </c>
      <c r="C85" s="66" t="str">
        <f>IF(INDEX(Sheet1!$N:$N,ROWS($A$6:$A85)+1)="","",INDEX(Sheet1!$N:$N,ROWS($A$6:$A85)+1))</f>
        <v/>
      </c>
      <c r="D85" s="63" t="str">
        <f>IF(INDEX(Sheet1!$T:$T,ROWS($A$6:$A85)+1)&lt;&gt;"", INDEX(Sheet1!$T:$T,ROWS($A$6:$A85)+1), IF(INDEX(Sheet1!$O:$O,ROWS($A$6:$A85)+1)&lt;&gt;"", INDEX(Sheet1!$O:$O,ROWS($A$6:$A85)+1), ""))</f>
        <v/>
      </c>
      <c r="E85" s="64" t="str">
        <f>INDEX(Sheet1!$Y:$Y,ROWS($A$6:$A85)+1)&amp;""</f>
        <v/>
      </c>
      <c r="F85" s="61" t="str">
        <f>INDEX(Sheet1!$AC:$AC,ROWS($A$6:$A85)+1)&amp;""</f>
        <v/>
      </c>
      <c r="G85" s="59" t="str">
        <f>IF(INDEX(Sheet1!$AM:$AM,ROWS($A$6:$A85)+1)&lt;&gt;"", "◯", "")</f>
        <v/>
      </c>
      <c r="H85" s="59" t="str">
        <f>IF(INDEX(Sheet1!$BA:$BA,ROWS($A$6:$A85)+1)&lt;&gt;"", "◯", "")</f>
        <v/>
      </c>
      <c r="I85" s="86"/>
    </row>
    <row r="86" spans="1:9" ht="20.100000000000001" customHeight="1" x14ac:dyDescent="0.15">
      <c r="A86" s="59" t="str">
        <f>IF(B86="","",SUBTOTAL(103, $B$6:B86))</f>
        <v/>
      </c>
      <c r="B86" s="59" t="str">
        <f>INDEX(Sheet1!$B:$B,ROWS($A$6:$A86)+1)&amp;""</f>
        <v/>
      </c>
      <c r="C86" s="66" t="str">
        <f>IF(INDEX(Sheet1!$N:$N,ROWS($A$6:$A86)+1)="","",INDEX(Sheet1!$N:$N,ROWS($A$6:$A86)+1))</f>
        <v/>
      </c>
      <c r="D86" s="63" t="str">
        <f>IF(INDEX(Sheet1!$T:$T,ROWS($A$6:$A86)+1)&lt;&gt;"", INDEX(Sheet1!$T:$T,ROWS($A$6:$A86)+1), IF(INDEX(Sheet1!$O:$O,ROWS($A$6:$A86)+1)&lt;&gt;"", INDEX(Sheet1!$O:$O,ROWS($A$6:$A86)+1), ""))</f>
        <v/>
      </c>
      <c r="E86" s="64" t="str">
        <f>INDEX(Sheet1!$Y:$Y,ROWS($A$6:$A86)+1)&amp;""</f>
        <v/>
      </c>
      <c r="F86" s="61" t="str">
        <f>INDEX(Sheet1!$AC:$AC,ROWS($A$6:$A86)+1)&amp;""</f>
        <v/>
      </c>
      <c r="G86" s="59" t="str">
        <f>IF(INDEX(Sheet1!$AM:$AM,ROWS($A$6:$A86)+1)&lt;&gt;"", "◯", "")</f>
        <v/>
      </c>
      <c r="H86" s="59" t="str">
        <f>IF(INDEX(Sheet1!$BA:$BA,ROWS($A$6:$A86)+1)&lt;&gt;"", "◯", "")</f>
        <v/>
      </c>
      <c r="I86" s="86"/>
    </row>
    <row r="87" spans="1:9" ht="20.100000000000001" customHeight="1" x14ac:dyDescent="0.15">
      <c r="A87" s="59" t="str">
        <f>IF(B87="","",SUBTOTAL(103, $B$6:B87))</f>
        <v/>
      </c>
      <c r="B87" s="59" t="str">
        <f>INDEX(Sheet1!$B:$B,ROWS($A$6:$A87)+1)&amp;""</f>
        <v/>
      </c>
      <c r="C87" s="66" t="str">
        <f>IF(INDEX(Sheet1!$N:$N,ROWS($A$6:$A87)+1)="","",INDEX(Sheet1!$N:$N,ROWS($A$6:$A87)+1))</f>
        <v/>
      </c>
      <c r="D87" s="63" t="str">
        <f>IF(INDEX(Sheet1!$T:$T,ROWS($A$6:$A87)+1)&lt;&gt;"", INDEX(Sheet1!$T:$T,ROWS($A$6:$A87)+1), IF(INDEX(Sheet1!$O:$O,ROWS($A$6:$A87)+1)&lt;&gt;"", INDEX(Sheet1!$O:$O,ROWS($A$6:$A87)+1), ""))</f>
        <v/>
      </c>
      <c r="E87" s="64" t="str">
        <f>INDEX(Sheet1!$Y:$Y,ROWS($A$6:$A87)+1)&amp;""</f>
        <v/>
      </c>
      <c r="F87" s="61" t="str">
        <f>INDEX(Sheet1!$AC:$AC,ROWS($A$6:$A87)+1)&amp;""</f>
        <v/>
      </c>
      <c r="G87" s="59" t="str">
        <f>IF(INDEX(Sheet1!$AM:$AM,ROWS($A$6:$A87)+1)&lt;&gt;"", "◯", "")</f>
        <v/>
      </c>
      <c r="H87" s="59" t="str">
        <f>IF(INDEX(Sheet1!$BA:$BA,ROWS($A$6:$A87)+1)&lt;&gt;"", "◯", "")</f>
        <v/>
      </c>
      <c r="I87" s="86"/>
    </row>
    <row r="88" spans="1:9" ht="20.100000000000001" customHeight="1" x14ac:dyDescent="0.15">
      <c r="A88" s="59" t="str">
        <f>IF(B88="","",SUBTOTAL(103, $B$6:B88))</f>
        <v/>
      </c>
      <c r="B88" s="59" t="str">
        <f>INDEX(Sheet1!$B:$B,ROWS($A$6:$A88)+1)&amp;""</f>
        <v/>
      </c>
      <c r="C88" s="66" t="str">
        <f>IF(INDEX(Sheet1!$N:$N,ROWS($A$6:$A88)+1)="","",INDEX(Sheet1!$N:$N,ROWS($A$6:$A88)+1))</f>
        <v/>
      </c>
      <c r="D88" s="63" t="str">
        <f>IF(INDEX(Sheet1!$T:$T,ROWS($A$6:$A88)+1)&lt;&gt;"", INDEX(Sheet1!$T:$T,ROWS($A$6:$A88)+1), IF(INDEX(Sheet1!$O:$O,ROWS($A$6:$A88)+1)&lt;&gt;"", INDEX(Sheet1!$O:$O,ROWS($A$6:$A88)+1), ""))</f>
        <v/>
      </c>
      <c r="E88" s="64" t="str">
        <f>INDEX(Sheet1!$Y:$Y,ROWS($A$6:$A88)+1)&amp;""</f>
        <v/>
      </c>
      <c r="F88" s="61" t="str">
        <f>INDEX(Sheet1!$AC:$AC,ROWS($A$6:$A88)+1)&amp;""</f>
        <v/>
      </c>
      <c r="G88" s="59" t="str">
        <f>IF(INDEX(Sheet1!$AM:$AM,ROWS($A$6:$A88)+1)&lt;&gt;"", "◯", "")</f>
        <v/>
      </c>
      <c r="H88" s="59" t="str">
        <f>IF(INDEX(Sheet1!$BA:$BA,ROWS($A$6:$A88)+1)&lt;&gt;"", "◯", "")</f>
        <v/>
      </c>
      <c r="I88" s="86"/>
    </row>
    <row r="89" spans="1:9" ht="20.100000000000001" customHeight="1" x14ac:dyDescent="0.15">
      <c r="A89" s="59" t="str">
        <f>IF(B89="","",SUBTOTAL(103, $B$6:B89))</f>
        <v/>
      </c>
      <c r="B89" s="59" t="str">
        <f>INDEX(Sheet1!$B:$B,ROWS($A$6:$A89)+1)&amp;""</f>
        <v/>
      </c>
      <c r="C89" s="66" t="str">
        <f>IF(INDEX(Sheet1!$N:$N,ROWS($A$6:$A89)+1)="","",INDEX(Sheet1!$N:$N,ROWS($A$6:$A89)+1))</f>
        <v/>
      </c>
      <c r="D89" s="63" t="str">
        <f>IF(INDEX(Sheet1!$T:$T,ROWS($A$6:$A89)+1)&lt;&gt;"", INDEX(Sheet1!$T:$T,ROWS($A$6:$A89)+1), IF(INDEX(Sheet1!$O:$O,ROWS($A$6:$A89)+1)&lt;&gt;"", INDEX(Sheet1!$O:$O,ROWS($A$6:$A89)+1), ""))</f>
        <v/>
      </c>
      <c r="E89" s="64" t="str">
        <f>INDEX(Sheet1!$Y:$Y,ROWS($A$6:$A89)+1)&amp;""</f>
        <v/>
      </c>
      <c r="F89" s="61" t="str">
        <f>INDEX(Sheet1!$AC:$AC,ROWS($A$6:$A89)+1)&amp;""</f>
        <v/>
      </c>
      <c r="G89" s="59" t="str">
        <f>IF(INDEX(Sheet1!$AM:$AM,ROWS($A$6:$A89)+1)&lt;&gt;"", "◯", "")</f>
        <v/>
      </c>
      <c r="H89" s="59" t="str">
        <f>IF(INDEX(Sheet1!$BA:$BA,ROWS($A$6:$A89)+1)&lt;&gt;"", "◯", "")</f>
        <v/>
      </c>
      <c r="I89" s="86"/>
    </row>
    <row r="90" spans="1:9" ht="20.100000000000001" customHeight="1" x14ac:dyDescent="0.15">
      <c r="A90" s="59" t="str">
        <f>IF(B90="","",SUBTOTAL(103, $B$6:B90))</f>
        <v/>
      </c>
      <c r="B90" s="59" t="str">
        <f>INDEX(Sheet1!$B:$B,ROWS($A$6:$A90)+1)&amp;""</f>
        <v/>
      </c>
      <c r="C90" s="66" t="str">
        <f>IF(INDEX(Sheet1!$N:$N,ROWS($A$6:$A90)+1)="","",INDEX(Sheet1!$N:$N,ROWS($A$6:$A90)+1))</f>
        <v/>
      </c>
      <c r="D90" s="63" t="str">
        <f>IF(INDEX(Sheet1!$T:$T,ROWS($A$6:$A90)+1)&lt;&gt;"", INDEX(Sheet1!$T:$T,ROWS($A$6:$A90)+1), IF(INDEX(Sheet1!$O:$O,ROWS($A$6:$A90)+1)&lt;&gt;"", INDEX(Sheet1!$O:$O,ROWS($A$6:$A90)+1), ""))</f>
        <v/>
      </c>
      <c r="E90" s="64" t="str">
        <f>INDEX(Sheet1!$Y:$Y,ROWS($A$6:$A90)+1)&amp;""</f>
        <v/>
      </c>
      <c r="F90" s="61" t="str">
        <f>INDEX(Sheet1!$AC:$AC,ROWS($A$6:$A90)+1)&amp;""</f>
        <v/>
      </c>
      <c r="G90" s="59" t="str">
        <f>IF(INDEX(Sheet1!$AM:$AM,ROWS($A$6:$A90)+1)&lt;&gt;"", "◯", "")</f>
        <v/>
      </c>
      <c r="H90" s="59" t="str">
        <f>IF(INDEX(Sheet1!$BA:$BA,ROWS($A$6:$A90)+1)&lt;&gt;"", "◯", "")</f>
        <v/>
      </c>
      <c r="I90" s="86"/>
    </row>
    <row r="91" spans="1:9" ht="20.100000000000001" customHeight="1" x14ac:dyDescent="0.15">
      <c r="A91" s="59" t="str">
        <f>IF(B91="","",SUBTOTAL(103, $B$6:B91))</f>
        <v/>
      </c>
      <c r="B91" s="59" t="str">
        <f>INDEX(Sheet1!$B:$B,ROWS($A$6:$A91)+1)&amp;""</f>
        <v/>
      </c>
      <c r="C91" s="66" t="str">
        <f>IF(INDEX(Sheet1!$N:$N,ROWS($A$6:$A91)+1)="","",INDEX(Sheet1!$N:$N,ROWS($A$6:$A91)+1))</f>
        <v/>
      </c>
      <c r="D91" s="63" t="str">
        <f>IF(INDEX(Sheet1!$T:$T,ROWS($A$6:$A91)+1)&lt;&gt;"", INDEX(Sheet1!$T:$T,ROWS($A$6:$A91)+1), IF(INDEX(Sheet1!$O:$O,ROWS($A$6:$A91)+1)&lt;&gt;"", INDEX(Sheet1!$O:$O,ROWS($A$6:$A91)+1), ""))</f>
        <v/>
      </c>
      <c r="E91" s="64" t="str">
        <f>INDEX(Sheet1!$Y:$Y,ROWS($A$6:$A91)+1)&amp;""</f>
        <v/>
      </c>
      <c r="F91" s="61" t="str">
        <f>INDEX(Sheet1!$AC:$AC,ROWS($A$6:$A91)+1)&amp;""</f>
        <v/>
      </c>
      <c r="G91" s="59" t="str">
        <f>IF(INDEX(Sheet1!$AM:$AM,ROWS($A$6:$A91)+1)&lt;&gt;"", "◯", "")</f>
        <v/>
      </c>
      <c r="H91" s="59" t="str">
        <f>IF(INDEX(Sheet1!$BA:$BA,ROWS($A$6:$A91)+1)&lt;&gt;"", "◯", "")</f>
        <v/>
      </c>
      <c r="I91" s="86"/>
    </row>
    <row r="92" spans="1:9" ht="20.100000000000001" customHeight="1" x14ac:dyDescent="0.15">
      <c r="A92" s="59" t="str">
        <f>IF(B92="","",SUBTOTAL(103, $B$6:B92))</f>
        <v/>
      </c>
      <c r="B92" s="59" t="str">
        <f>INDEX(Sheet1!$B:$B,ROWS($A$6:$A92)+1)&amp;""</f>
        <v/>
      </c>
      <c r="C92" s="66" t="str">
        <f>IF(INDEX(Sheet1!$N:$N,ROWS($A$6:$A92)+1)="","",INDEX(Sheet1!$N:$N,ROWS($A$6:$A92)+1))</f>
        <v/>
      </c>
      <c r="D92" s="63" t="str">
        <f>IF(INDEX(Sheet1!$T:$T,ROWS($A$6:$A92)+1)&lt;&gt;"", INDEX(Sheet1!$T:$T,ROWS($A$6:$A92)+1), IF(INDEX(Sheet1!$O:$O,ROWS($A$6:$A92)+1)&lt;&gt;"", INDEX(Sheet1!$O:$O,ROWS($A$6:$A92)+1), ""))</f>
        <v/>
      </c>
      <c r="E92" s="64" t="str">
        <f>INDEX(Sheet1!$Y:$Y,ROWS($A$6:$A92)+1)&amp;""</f>
        <v/>
      </c>
      <c r="F92" s="61" t="str">
        <f>INDEX(Sheet1!$AC:$AC,ROWS($A$6:$A92)+1)&amp;""</f>
        <v/>
      </c>
      <c r="G92" s="59" t="str">
        <f>IF(INDEX(Sheet1!$AM:$AM,ROWS($A$6:$A92)+1)&lt;&gt;"", "◯", "")</f>
        <v/>
      </c>
      <c r="H92" s="59" t="str">
        <f>IF(INDEX(Sheet1!$BA:$BA,ROWS($A$6:$A92)+1)&lt;&gt;"", "◯", "")</f>
        <v/>
      </c>
      <c r="I92" s="86"/>
    </row>
    <row r="93" spans="1:9" ht="20.100000000000001" customHeight="1" x14ac:dyDescent="0.15">
      <c r="A93" s="59" t="str">
        <f>IF(B93="","",SUBTOTAL(103, $B$6:B93))</f>
        <v/>
      </c>
      <c r="B93" s="59" t="str">
        <f>INDEX(Sheet1!$B:$B,ROWS($A$6:$A93)+1)&amp;""</f>
        <v/>
      </c>
      <c r="C93" s="66" t="str">
        <f>IF(INDEX(Sheet1!$N:$N,ROWS($A$6:$A93)+1)="","",INDEX(Sheet1!$N:$N,ROWS($A$6:$A93)+1))</f>
        <v/>
      </c>
      <c r="D93" s="63" t="str">
        <f>IF(INDEX(Sheet1!$T:$T,ROWS($A$6:$A93)+1)&lt;&gt;"", INDEX(Sheet1!$T:$T,ROWS($A$6:$A93)+1), IF(INDEX(Sheet1!$O:$O,ROWS($A$6:$A93)+1)&lt;&gt;"", INDEX(Sheet1!$O:$O,ROWS($A$6:$A93)+1), ""))</f>
        <v/>
      </c>
      <c r="E93" s="64" t="str">
        <f>INDEX(Sheet1!$Y:$Y,ROWS($A$6:$A93)+1)&amp;""</f>
        <v/>
      </c>
      <c r="F93" s="61" t="str">
        <f>INDEX(Sheet1!$AC:$AC,ROWS($A$6:$A93)+1)&amp;""</f>
        <v/>
      </c>
      <c r="G93" s="59" t="str">
        <f>IF(INDEX(Sheet1!$AM:$AM,ROWS($A$6:$A93)+1)&lt;&gt;"", "◯", "")</f>
        <v/>
      </c>
      <c r="H93" s="59" t="str">
        <f>IF(INDEX(Sheet1!$BA:$BA,ROWS($A$6:$A93)+1)&lt;&gt;"", "◯", "")</f>
        <v/>
      </c>
      <c r="I93" s="86"/>
    </row>
    <row r="94" spans="1:9" ht="20.100000000000001" customHeight="1" x14ac:dyDescent="0.15">
      <c r="A94" s="59" t="str">
        <f>IF(B94="","",SUBTOTAL(103, $B$6:B94))</f>
        <v/>
      </c>
      <c r="B94" s="59" t="str">
        <f>INDEX(Sheet1!$B:$B,ROWS($A$6:$A94)+1)&amp;""</f>
        <v/>
      </c>
      <c r="C94" s="66" t="str">
        <f>IF(INDEX(Sheet1!$N:$N,ROWS($A$6:$A94)+1)="","",INDEX(Sheet1!$N:$N,ROWS($A$6:$A94)+1))</f>
        <v/>
      </c>
      <c r="D94" s="63" t="str">
        <f>IF(INDEX(Sheet1!$T:$T,ROWS($A$6:$A94)+1)&lt;&gt;"", INDEX(Sheet1!$T:$T,ROWS($A$6:$A94)+1), IF(INDEX(Sheet1!$O:$O,ROWS($A$6:$A94)+1)&lt;&gt;"", INDEX(Sheet1!$O:$O,ROWS($A$6:$A94)+1), ""))</f>
        <v/>
      </c>
      <c r="E94" s="64" t="str">
        <f>INDEX(Sheet1!$Y:$Y,ROWS($A$6:$A94)+1)&amp;""</f>
        <v/>
      </c>
      <c r="F94" s="61" t="str">
        <f>INDEX(Sheet1!$AC:$AC,ROWS($A$6:$A94)+1)&amp;""</f>
        <v/>
      </c>
      <c r="G94" s="59" t="str">
        <f>IF(INDEX(Sheet1!$AM:$AM,ROWS($A$6:$A94)+1)&lt;&gt;"", "◯", "")</f>
        <v/>
      </c>
      <c r="H94" s="59" t="str">
        <f>IF(INDEX(Sheet1!$BA:$BA,ROWS($A$6:$A94)+1)&lt;&gt;"", "◯", "")</f>
        <v/>
      </c>
      <c r="I94" s="86"/>
    </row>
    <row r="95" spans="1:9" ht="20.100000000000001" customHeight="1" x14ac:dyDescent="0.15">
      <c r="A95" s="59" t="str">
        <f>IF(B95="","",SUBTOTAL(103, $B$6:B95))</f>
        <v/>
      </c>
      <c r="B95" s="59" t="str">
        <f>INDEX(Sheet1!$B:$B,ROWS($A$6:$A95)+1)&amp;""</f>
        <v/>
      </c>
      <c r="C95" s="66" t="str">
        <f>IF(INDEX(Sheet1!$N:$N,ROWS($A$6:$A95)+1)="","",INDEX(Sheet1!$N:$N,ROWS($A$6:$A95)+1))</f>
        <v/>
      </c>
      <c r="D95" s="63" t="str">
        <f>IF(INDEX(Sheet1!$T:$T,ROWS($A$6:$A95)+1)&lt;&gt;"", INDEX(Sheet1!$T:$T,ROWS($A$6:$A95)+1), IF(INDEX(Sheet1!$O:$O,ROWS($A$6:$A95)+1)&lt;&gt;"", INDEX(Sheet1!$O:$O,ROWS($A$6:$A95)+1), ""))</f>
        <v/>
      </c>
      <c r="E95" s="64" t="str">
        <f>INDEX(Sheet1!$Y:$Y,ROWS($A$6:$A95)+1)&amp;""</f>
        <v/>
      </c>
      <c r="F95" s="61" t="str">
        <f>INDEX(Sheet1!$AC:$AC,ROWS($A$6:$A95)+1)&amp;""</f>
        <v/>
      </c>
      <c r="G95" s="59" t="str">
        <f>IF(INDEX(Sheet1!$AM:$AM,ROWS($A$6:$A95)+1)&lt;&gt;"", "◯", "")</f>
        <v/>
      </c>
      <c r="H95" s="59" t="str">
        <f>IF(INDEX(Sheet1!$BA:$BA,ROWS($A$6:$A95)+1)&lt;&gt;"", "◯", "")</f>
        <v/>
      </c>
      <c r="I95" s="86"/>
    </row>
    <row r="96" spans="1:9" ht="20.100000000000001" customHeight="1" x14ac:dyDescent="0.15">
      <c r="A96" s="59" t="str">
        <f>IF(B96="","",SUBTOTAL(103, $B$6:B96))</f>
        <v/>
      </c>
      <c r="B96" s="59" t="str">
        <f>INDEX(Sheet1!$B:$B,ROWS($A$6:$A96)+1)&amp;""</f>
        <v/>
      </c>
      <c r="C96" s="66" t="str">
        <f>IF(INDEX(Sheet1!$N:$N,ROWS($A$6:$A96)+1)="","",INDEX(Sheet1!$N:$N,ROWS($A$6:$A96)+1))</f>
        <v/>
      </c>
      <c r="D96" s="63" t="str">
        <f>IF(INDEX(Sheet1!$T:$T,ROWS($A$6:$A96)+1)&lt;&gt;"", INDEX(Sheet1!$T:$T,ROWS($A$6:$A96)+1), IF(INDEX(Sheet1!$O:$O,ROWS($A$6:$A96)+1)&lt;&gt;"", INDEX(Sheet1!$O:$O,ROWS($A$6:$A96)+1), ""))</f>
        <v/>
      </c>
      <c r="E96" s="64" t="str">
        <f>INDEX(Sheet1!$Y:$Y,ROWS($A$6:$A96)+1)&amp;""</f>
        <v/>
      </c>
      <c r="F96" s="61" t="str">
        <f>INDEX(Sheet1!$AC:$AC,ROWS($A$6:$A96)+1)&amp;""</f>
        <v/>
      </c>
      <c r="G96" s="59" t="str">
        <f>IF(INDEX(Sheet1!$AM:$AM,ROWS($A$6:$A96)+1)&lt;&gt;"", "◯", "")</f>
        <v/>
      </c>
      <c r="H96" s="59" t="str">
        <f>IF(INDEX(Sheet1!$BA:$BA,ROWS($A$6:$A96)+1)&lt;&gt;"", "◯", "")</f>
        <v/>
      </c>
      <c r="I96" s="86"/>
    </row>
    <row r="97" spans="1:9" ht="20.100000000000001" customHeight="1" x14ac:dyDescent="0.15">
      <c r="A97" s="59" t="str">
        <f>IF(B97="","",SUBTOTAL(103, $B$6:B97))</f>
        <v/>
      </c>
      <c r="B97" s="59" t="str">
        <f>INDEX(Sheet1!$B:$B,ROWS($A$6:$A97)+1)&amp;""</f>
        <v/>
      </c>
      <c r="C97" s="66" t="str">
        <f>IF(INDEX(Sheet1!$N:$N,ROWS($A$6:$A97)+1)="","",INDEX(Sheet1!$N:$N,ROWS($A$6:$A97)+1))</f>
        <v/>
      </c>
      <c r="D97" s="63" t="str">
        <f>IF(INDEX(Sheet1!$T:$T,ROWS($A$6:$A97)+1)&lt;&gt;"", INDEX(Sheet1!$T:$T,ROWS($A$6:$A97)+1), IF(INDEX(Sheet1!$O:$O,ROWS($A$6:$A97)+1)&lt;&gt;"", INDEX(Sheet1!$O:$O,ROWS($A$6:$A97)+1), ""))</f>
        <v/>
      </c>
      <c r="E97" s="64" t="str">
        <f>INDEX(Sheet1!$Y:$Y,ROWS($A$6:$A97)+1)&amp;""</f>
        <v/>
      </c>
      <c r="F97" s="61" t="str">
        <f>INDEX(Sheet1!$AC:$AC,ROWS($A$6:$A97)+1)&amp;""</f>
        <v/>
      </c>
      <c r="G97" s="59" t="str">
        <f>IF(INDEX(Sheet1!$AM:$AM,ROWS($A$6:$A97)+1)&lt;&gt;"", "◯", "")</f>
        <v/>
      </c>
      <c r="H97" s="59" t="str">
        <f>IF(INDEX(Sheet1!$BA:$BA,ROWS($A$6:$A97)+1)&lt;&gt;"", "◯", "")</f>
        <v/>
      </c>
      <c r="I97" s="86"/>
    </row>
    <row r="98" spans="1:9" ht="20.100000000000001" customHeight="1" x14ac:dyDescent="0.15">
      <c r="A98" s="59" t="str">
        <f>IF(B98="","",SUBTOTAL(103, $B$6:B98))</f>
        <v/>
      </c>
      <c r="B98" s="59" t="str">
        <f>INDEX(Sheet1!$B:$B,ROWS($A$6:$A98)+1)&amp;""</f>
        <v/>
      </c>
      <c r="C98" s="66" t="str">
        <f>IF(INDEX(Sheet1!$N:$N,ROWS($A$6:$A98)+1)="","",INDEX(Sheet1!$N:$N,ROWS($A$6:$A98)+1))</f>
        <v/>
      </c>
      <c r="D98" s="63" t="str">
        <f>IF(INDEX(Sheet1!$T:$T,ROWS($A$6:$A98)+1)&lt;&gt;"", INDEX(Sheet1!$T:$T,ROWS($A$6:$A98)+1), IF(INDEX(Sheet1!$O:$O,ROWS($A$6:$A98)+1)&lt;&gt;"", INDEX(Sheet1!$O:$O,ROWS($A$6:$A98)+1), ""))</f>
        <v/>
      </c>
      <c r="E98" s="64" t="str">
        <f>INDEX(Sheet1!$Y:$Y,ROWS($A$6:$A98)+1)&amp;""</f>
        <v/>
      </c>
      <c r="F98" s="61" t="str">
        <f>INDEX(Sheet1!$AC:$AC,ROWS($A$6:$A98)+1)&amp;""</f>
        <v/>
      </c>
      <c r="G98" s="59" t="str">
        <f>IF(INDEX(Sheet1!$AM:$AM,ROWS($A$6:$A98)+1)&lt;&gt;"", "◯", "")</f>
        <v/>
      </c>
      <c r="H98" s="59" t="str">
        <f>IF(INDEX(Sheet1!$BA:$BA,ROWS($A$6:$A98)+1)&lt;&gt;"", "◯", "")</f>
        <v/>
      </c>
      <c r="I98" s="86"/>
    </row>
    <row r="99" spans="1:9" ht="20.100000000000001" customHeight="1" x14ac:dyDescent="0.15">
      <c r="A99" s="59" t="str">
        <f>IF(B99="","",SUBTOTAL(103, $B$6:B99))</f>
        <v/>
      </c>
      <c r="B99" s="59" t="str">
        <f>INDEX(Sheet1!$B:$B,ROWS($A$6:$A99)+1)&amp;""</f>
        <v/>
      </c>
      <c r="C99" s="66" t="str">
        <f>IF(INDEX(Sheet1!$N:$N,ROWS($A$6:$A99)+1)="","",INDEX(Sheet1!$N:$N,ROWS($A$6:$A99)+1))</f>
        <v/>
      </c>
      <c r="D99" s="63" t="str">
        <f>IF(INDEX(Sheet1!$T:$T,ROWS($A$6:$A99)+1)&lt;&gt;"", INDEX(Sheet1!$T:$T,ROWS($A$6:$A99)+1), IF(INDEX(Sheet1!$O:$O,ROWS($A$6:$A99)+1)&lt;&gt;"", INDEX(Sheet1!$O:$O,ROWS($A$6:$A99)+1), ""))</f>
        <v/>
      </c>
      <c r="E99" s="64" t="str">
        <f>INDEX(Sheet1!$Y:$Y,ROWS($A$6:$A99)+1)&amp;""</f>
        <v/>
      </c>
      <c r="F99" s="61" t="str">
        <f>INDEX(Sheet1!$AC:$AC,ROWS($A$6:$A99)+1)&amp;""</f>
        <v/>
      </c>
      <c r="G99" s="59" t="str">
        <f>IF(INDEX(Sheet1!$AM:$AM,ROWS($A$6:$A99)+1)&lt;&gt;"", "◯", "")</f>
        <v/>
      </c>
      <c r="H99" s="59" t="str">
        <f>IF(INDEX(Sheet1!$BA:$BA,ROWS($A$6:$A99)+1)&lt;&gt;"", "◯", "")</f>
        <v/>
      </c>
      <c r="I99" s="86"/>
    </row>
    <row r="100" spans="1:9" ht="20.100000000000001" customHeight="1" x14ac:dyDescent="0.15">
      <c r="A100" s="59" t="str">
        <f>IF(B100="","",SUBTOTAL(103, $B$6:B100))</f>
        <v/>
      </c>
      <c r="B100" s="59" t="str">
        <f>INDEX(Sheet1!$B:$B,ROWS($A$6:$A100)+1)&amp;""</f>
        <v/>
      </c>
      <c r="C100" s="66" t="str">
        <f>IF(INDEX(Sheet1!$N:$N,ROWS($A$6:$A100)+1)="","",INDEX(Sheet1!$N:$N,ROWS($A$6:$A100)+1))</f>
        <v/>
      </c>
      <c r="D100" s="63" t="str">
        <f>IF(INDEX(Sheet1!$T:$T,ROWS($A$6:$A100)+1)&lt;&gt;"", INDEX(Sheet1!$T:$T,ROWS($A$6:$A100)+1), IF(INDEX(Sheet1!$O:$O,ROWS($A$6:$A100)+1)&lt;&gt;"", INDEX(Sheet1!$O:$O,ROWS($A$6:$A100)+1), ""))</f>
        <v/>
      </c>
      <c r="E100" s="64" t="str">
        <f>INDEX(Sheet1!$Y:$Y,ROWS($A$6:$A100)+1)&amp;""</f>
        <v/>
      </c>
      <c r="F100" s="61" t="str">
        <f>INDEX(Sheet1!$AC:$AC,ROWS($A$6:$A100)+1)&amp;""</f>
        <v/>
      </c>
      <c r="G100" s="59" t="str">
        <f>IF(INDEX(Sheet1!$AM:$AM,ROWS($A$6:$A100)+1)&lt;&gt;"", "◯", "")</f>
        <v/>
      </c>
      <c r="H100" s="59" t="str">
        <f>IF(INDEX(Sheet1!$BA:$BA,ROWS($A$6:$A100)+1)&lt;&gt;"", "◯", "")</f>
        <v/>
      </c>
      <c r="I100" s="86"/>
    </row>
    <row r="101" spans="1:9" ht="20.100000000000001" customHeight="1" x14ac:dyDescent="0.15">
      <c r="A101" s="59" t="str">
        <f>IF(B101="","",SUBTOTAL(103, $B$6:B101))</f>
        <v/>
      </c>
      <c r="B101" s="59" t="str">
        <f>INDEX(Sheet1!$B:$B,ROWS($A$6:$A101)+1)&amp;""</f>
        <v/>
      </c>
      <c r="C101" s="66" t="str">
        <f>IF(INDEX(Sheet1!$N:$N,ROWS($A$6:$A101)+1)="","",INDEX(Sheet1!$N:$N,ROWS($A$6:$A101)+1))</f>
        <v/>
      </c>
      <c r="D101" s="63" t="str">
        <f>IF(INDEX(Sheet1!$T:$T,ROWS($A$6:$A101)+1)&lt;&gt;"", INDEX(Sheet1!$T:$T,ROWS($A$6:$A101)+1), IF(INDEX(Sheet1!$O:$O,ROWS($A$6:$A101)+1)&lt;&gt;"", INDEX(Sheet1!$O:$O,ROWS($A$6:$A101)+1), ""))</f>
        <v/>
      </c>
      <c r="E101" s="64" t="str">
        <f>INDEX(Sheet1!$Y:$Y,ROWS($A$6:$A101)+1)&amp;""</f>
        <v/>
      </c>
      <c r="F101" s="61" t="str">
        <f>INDEX(Sheet1!$AC:$AC,ROWS($A$6:$A101)+1)&amp;""</f>
        <v/>
      </c>
      <c r="G101" s="59" t="str">
        <f>IF(INDEX(Sheet1!$AM:$AM,ROWS($A$6:$A101)+1)&lt;&gt;"", "◯", "")</f>
        <v/>
      </c>
      <c r="H101" s="59" t="str">
        <f>IF(INDEX(Sheet1!$BA:$BA,ROWS($A$6:$A101)+1)&lt;&gt;"", "◯", "")</f>
        <v/>
      </c>
      <c r="I101" s="86"/>
    </row>
    <row r="102" spans="1:9" ht="20.100000000000001" customHeight="1" x14ac:dyDescent="0.15">
      <c r="A102" s="59" t="str">
        <f>IF(B102="","",SUBTOTAL(103, $B$6:B102))</f>
        <v/>
      </c>
      <c r="B102" s="59" t="str">
        <f>INDEX(Sheet1!$B:$B,ROWS($A$6:$A102)+1)&amp;""</f>
        <v/>
      </c>
      <c r="C102" s="66" t="str">
        <f>IF(INDEX(Sheet1!$N:$N,ROWS($A$6:$A102)+1)="","",INDEX(Sheet1!$N:$N,ROWS($A$6:$A102)+1))</f>
        <v/>
      </c>
      <c r="D102" s="63" t="str">
        <f>IF(INDEX(Sheet1!$T:$T,ROWS($A$6:$A102)+1)&lt;&gt;"", INDEX(Sheet1!$T:$T,ROWS($A$6:$A102)+1), IF(INDEX(Sheet1!$O:$O,ROWS($A$6:$A102)+1)&lt;&gt;"", INDEX(Sheet1!$O:$O,ROWS($A$6:$A102)+1), ""))</f>
        <v/>
      </c>
      <c r="E102" s="64" t="str">
        <f>INDEX(Sheet1!$Y:$Y,ROWS($A$6:$A102)+1)&amp;""</f>
        <v/>
      </c>
      <c r="F102" s="61" t="str">
        <f>INDEX(Sheet1!$AC:$AC,ROWS($A$6:$A102)+1)&amp;""</f>
        <v/>
      </c>
      <c r="G102" s="59" t="str">
        <f>IF(INDEX(Sheet1!$AM:$AM,ROWS($A$6:$A102)+1)&lt;&gt;"", "◯", "")</f>
        <v/>
      </c>
      <c r="H102" s="59" t="str">
        <f>IF(INDEX(Sheet1!$BA:$BA,ROWS($A$6:$A102)+1)&lt;&gt;"", "◯", "")</f>
        <v/>
      </c>
      <c r="I102" s="86"/>
    </row>
    <row r="103" spans="1:9" ht="20.100000000000001" customHeight="1" x14ac:dyDescent="0.15">
      <c r="A103" s="59" t="str">
        <f>IF(B103="","",SUBTOTAL(103, $B$6:B103))</f>
        <v/>
      </c>
      <c r="B103" s="59" t="str">
        <f>INDEX(Sheet1!$B:$B,ROWS($A$6:$A103)+1)&amp;""</f>
        <v/>
      </c>
      <c r="C103" s="66" t="str">
        <f>IF(INDEX(Sheet1!$N:$N,ROWS($A$6:$A103)+1)="","",INDEX(Sheet1!$N:$N,ROWS($A$6:$A103)+1))</f>
        <v/>
      </c>
      <c r="D103" s="63" t="str">
        <f>IF(INDEX(Sheet1!$T:$T,ROWS($A$6:$A103)+1)&lt;&gt;"", INDEX(Sheet1!$T:$T,ROWS($A$6:$A103)+1), IF(INDEX(Sheet1!$O:$O,ROWS($A$6:$A103)+1)&lt;&gt;"", INDEX(Sheet1!$O:$O,ROWS($A$6:$A103)+1), ""))</f>
        <v/>
      </c>
      <c r="E103" s="64" t="str">
        <f>INDEX(Sheet1!$Y:$Y,ROWS($A$6:$A103)+1)&amp;""</f>
        <v/>
      </c>
      <c r="F103" s="61" t="str">
        <f>INDEX(Sheet1!$AC:$AC,ROWS($A$6:$A103)+1)&amp;""</f>
        <v/>
      </c>
      <c r="G103" s="59" t="str">
        <f>IF(INDEX(Sheet1!$AM:$AM,ROWS($A$6:$A103)+1)&lt;&gt;"", "◯", "")</f>
        <v/>
      </c>
      <c r="H103" s="59" t="str">
        <f>IF(INDEX(Sheet1!$BA:$BA,ROWS($A$6:$A103)+1)&lt;&gt;"", "◯", "")</f>
        <v/>
      </c>
      <c r="I103" s="86"/>
    </row>
    <row r="104" spans="1:9" ht="20.100000000000001" customHeight="1" x14ac:dyDescent="0.15">
      <c r="A104" s="59" t="str">
        <f>IF(B104="","",SUBTOTAL(103, $B$6:B104))</f>
        <v/>
      </c>
      <c r="B104" s="59" t="str">
        <f>INDEX(Sheet1!$B:$B,ROWS($A$6:$A104)+1)&amp;""</f>
        <v/>
      </c>
      <c r="C104" s="66" t="str">
        <f>IF(INDEX(Sheet1!$N:$N,ROWS($A$6:$A104)+1)="","",INDEX(Sheet1!$N:$N,ROWS($A$6:$A104)+1))</f>
        <v/>
      </c>
      <c r="D104" s="63" t="str">
        <f>IF(INDEX(Sheet1!$T:$T,ROWS($A$6:$A104)+1)&lt;&gt;"", INDEX(Sheet1!$T:$T,ROWS($A$6:$A104)+1), IF(INDEX(Sheet1!$O:$O,ROWS($A$6:$A104)+1)&lt;&gt;"", INDEX(Sheet1!$O:$O,ROWS($A$6:$A104)+1), ""))</f>
        <v/>
      </c>
      <c r="E104" s="64" t="str">
        <f>INDEX(Sheet1!$Y:$Y,ROWS($A$6:$A104)+1)&amp;""</f>
        <v/>
      </c>
      <c r="F104" s="61" t="str">
        <f>INDEX(Sheet1!$AC:$AC,ROWS($A$6:$A104)+1)&amp;""</f>
        <v/>
      </c>
      <c r="G104" s="59" t="str">
        <f>IF(INDEX(Sheet1!$AM:$AM,ROWS($A$6:$A104)+1)&lt;&gt;"", "◯", "")</f>
        <v/>
      </c>
      <c r="H104" s="59" t="str">
        <f>IF(INDEX(Sheet1!$BA:$BA,ROWS($A$6:$A104)+1)&lt;&gt;"", "◯", "")</f>
        <v/>
      </c>
      <c r="I104" s="86"/>
    </row>
    <row r="105" spans="1:9" ht="20.100000000000001" customHeight="1" x14ac:dyDescent="0.15">
      <c r="A105" s="59" t="str">
        <f>IF(B105="","",SUBTOTAL(103, $B$6:B105))</f>
        <v/>
      </c>
      <c r="B105" s="59" t="str">
        <f>INDEX(Sheet1!$B:$B,ROWS($A$6:$A105)+1)&amp;""</f>
        <v/>
      </c>
      <c r="C105" s="66" t="str">
        <f>IF(INDEX(Sheet1!$N:$N,ROWS($A$6:$A105)+1)="","",INDEX(Sheet1!$N:$N,ROWS($A$6:$A105)+1))</f>
        <v/>
      </c>
      <c r="D105" s="63" t="str">
        <f>IF(INDEX(Sheet1!$T:$T,ROWS($A$6:$A105)+1)&lt;&gt;"", INDEX(Sheet1!$T:$T,ROWS($A$6:$A105)+1), IF(INDEX(Sheet1!$O:$O,ROWS($A$6:$A105)+1)&lt;&gt;"", INDEX(Sheet1!$O:$O,ROWS($A$6:$A105)+1), ""))</f>
        <v/>
      </c>
      <c r="E105" s="64" t="str">
        <f>INDEX(Sheet1!$Y:$Y,ROWS($A$6:$A105)+1)&amp;""</f>
        <v/>
      </c>
      <c r="F105" s="61" t="str">
        <f>INDEX(Sheet1!$AC:$AC,ROWS($A$6:$A105)+1)&amp;""</f>
        <v/>
      </c>
      <c r="G105" s="59" t="str">
        <f>IF(INDEX(Sheet1!$AM:$AM,ROWS($A$6:$A105)+1)&lt;&gt;"", "◯", "")</f>
        <v/>
      </c>
      <c r="H105" s="59" t="str">
        <f>IF(INDEX(Sheet1!$BA:$BA,ROWS($A$6:$A105)+1)&lt;&gt;"", "◯", "")</f>
        <v/>
      </c>
      <c r="I105" s="86"/>
    </row>
    <row r="106" spans="1:9" ht="20.100000000000001" customHeight="1" x14ac:dyDescent="0.15">
      <c r="A106" s="59" t="str">
        <f>IF(B106="","",SUBTOTAL(103, $B$6:B106))</f>
        <v/>
      </c>
      <c r="B106" s="59" t="str">
        <f>INDEX(Sheet1!$B:$B,ROWS($A$6:$A106)+1)&amp;""</f>
        <v/>
      </c>
      <c r="C106" s="66" t="str">
        <f>IF(INDEX(Sheet1!$N:$N,ROWS($A$6:$A106)+1)="","",INDEX(Sheet1!$N:$N,ROWS($A$6:$A106)+1))</f>
        <v/>
      </c>
      <c r="D106" s="63" t="str">
        <f>IF(INDEX(Sheet1!$T:$T,ROWS($A$6:$A106)+1)&lt;&gt;"", INDEX(Sheet1!$T:$T,ROWS($A$6:$A106)+1), IF(INDEX(Sheet1!$O:$O,ROWS($A$6:$A106)+1)&lt;&gt;"", INDEX(Sheet1!$O:$O,ROWS($A$6:$A106)+1), ""))</f>
        <v/>
      </c>
      <c r="E106" s="64" t="str">
        <f>INDEX(Sheet1!$Y:$Y,ROWS($A$6:$A106)+1)&amp;""</f>
        <v/>
      </c>
      <c r="F106" s="61" t="str">
        <f>INDEX(Sheet1!$AC:$AC,ROWS($A$6:$A106)+1)&amp;""</f>
        <v/>
      </c>
      <c r="G106" s="59" t="str">
        <f>IF(INDEX(Sheet1!$AM:$AM,ROWS($A$6:$A106)+1)&lt;&gt;"", "◯", "")</f>
        <v/>
      </c>
      <c r="H106" s="59" t="str">
        <f>IF(INDEX(Sheet1!$BA:$BA,ROWS($A$6:$A106)+1)&lt;&gt;"", "◯", "")</f>
        <v/>
      </c>
      <c r="I106" s="86"/>
    </row>
    <row r="107" spans="1:9" ht="20.100000000000001" customHeight="1" x14ac:dyDescent="0.15">
      <c r="A107" s="59" t="str">
        <f>IF(B107="","",SUBTOTAL(103, $B$6:B107))</f>
        <v/>
      </c>
      <c r="B107" s="59" t="str">
        <f>INDEX(Sheet1!$B:$B,ROWS($A$6:$A107)+1)&amp;""</f>
        <v/>
      </c>
      <c r="C107" s="66" t="str">
        <f>IF(INDEX(Sheet1!$N:$N,ROWS($A$6:$A107)+1)="","",INDEX(Sheet1!$N:$N,ROWS($A$6:$A107)+1))</f>
        <v/>
      </c>
      <c r="D107" s="63" t="str">
        <f>IF(INDEX(Sheet1!$T:$T,ROWS($A$6:$A107)+1)&lt;&gt;"", INDEX(Sheet1!$T:$T,ROWS($A$6:$A107)+1), IF(INDEX(Sheet1!$O:$O,ROWS($A$6:$A107)+1)&lt;&gt;"", INDEX(Sheet1!$O:$O,ROWS($A$6:$A107)+1), ""))</f>
        <v/>
      </c>
      <c r="E107" s="64" t="str">
        <f>INDEX(Sheet1!$Y:$Y,ROWS($A$6:$A107)+1)&amp;""</f>
        <v/>
      </c>
      <c r="F107" s="61" t="str">
        <f>INDEX(Sheet1!$AC:$AC,ROWS($A$6:$A107)+1)&amp;""</f>
        <v/>
      </c>
      <c r="G107" s="59" t="str">
        <f>IF(INDEX(Sheet1!$AM:$AM,ROWS($A$6:$A107)+1)&lt;&gt;"", "◯", "")</f>
        <v/>
      </c>
      <c r="H107" s="59" t="str">
        <f>IF(INDEX(Sheet1!$BA:$BA,ROWS($A$6:$A107)+1)&lt;&gt;"", "◯", "")</f>
        <v/>
      </c>
      <c r="I107" s="86"/>
    </row>
    <row r="108" spans="1:9" ht="20.100000000000001" customHeight="1" x14ac:dyDescent="0.15">
      <c r="A108" s="59" t="str">
        <f>IF(B108="","",SUBTOTAL(103, $B$6:B108))</f>
        <v/>
      </c>
      <c r="B108" s="59" t="str">
        <f>INDEX(Sheet1!$B:$B,ROWS($A$6:$A108)+1)&amp;""</f>
        <v/>
      </c>
      <c r="C108" s="66" t="str">
        <f>IF(INDEX(Sheet1!$N:$N,ROWS($A$6:$A108)+1)="","",INDEX(Sheet1!$N:$N,ROWS($A$6:$A108)+1))</f>
        <v/>
      </c>
      <c r="D108" s="63" t="str">
        <f>IF(INDEX(Sheet1!$T:$T,ROWS($A$6:$A108)+1)&lt;&gt;"", INDEX(Sheet1!$T:$T,ROWS($A$6:$A108)+1), IF(INDEX(Sheet1!$O:$O,ROWS($A$6:$A108)+1)&lt;&gt;"", INDEX(Sheet1!$O:$O,ROWS($A$6:$A108)+1), ""))</f>
        <v/>
      </c>
      <c r="E108" s="64" t="str">
        <f>INDEX(Sheet1!$Y:$Y,ROWS($A$6:$A108)+1)&amp;""</f>
        <v/>
      </c>
      <c r="F108" s="61" t="str">
        <f>INDEX(Sheet1!$AC:$AC,ROWS($A$6:$A108)+1)&amp;""</f>
        <v/>
      </c>
      <c r="G108" s="59" t="str">
        <f>IF(INDEX(Sheet1!$AM:$AM,ROWS($A$6:$A108)+1)&lt;&gt;"", "◯", "")</f>
        <v/>
      </c>
      <c r="H108" s="59" t="str">
        <f>IF(INDEX(Sheet1!$BA:$BA,ROWS($A$6:$A108)+1)&lt;&gt;"", "◯", "")</f>
        <v/>
      </c>
      <c r="I108" s="86"/>
    </row>
    <row r="109" spans="1:9" ht="20.100000000000001" customHeight="1" x14ac:dyDescent="0.15">
      <c r="A109" s="59" t="str">
        <f>IF(B109="","",SUBTOTAL(103, $B$6:B109))</f>
        <v/>
      </c>
      <c r="B109" s="59" t="str">
        <f>INDEX(Sheet1!$B:$B,ROWS($A$6:$A109)+1)&amp;""</f>
        <v/>
      </c>
      <c r="C109" s="66" t="str">
        <f>IF(INDEX(Sheet1!$N:$N,ROWS($A$6:$A109)+1)="","",INDEX(Sheet1!$N:$N,ROWS($A$6:$A109)+1))</f>
        <v/>
      </c>
      <c r="D109" s="63" t="str">
        <f>IF(INDEX(Sheet1!$T:$T,ROWS($A$6:$A109)+1)&lt;&gt;"", INDEX(Sheet1!$T:$T,ROWS($A$6:$A109)+1), IF(INDEX(Sheet1!$O:$O,ROWS($A$6:$A109)+1)&lt;&gt;"", INDEX(Sheet1!$O:$O,ROWS($A$6:$A109)+1), ""))</f>
        <v/>
      </c>
      <c r="E109" s="64" t="str">
        <f>INDEX(Sheet1!$Y:$Y,ROWS($A$6:$A109)+1)&amp;""</f>
        <v/>
      </c>
      <c r="F109" s="61" t="str">
        <f>INDEX(Sheet1!$AC:$AC,ROWS($A$6:$A109)+1)&amp;""</f>
        <v/>
      </c>
      <c r="G109" s="59" t="str">
        <f>IF(INDEX(Sheet1!$AM:$AM,ROWS($A$6:$A109)+1)&lt;&gt;"", "◯", "")</f>
        <v/>
      </c>
      <c r="H109" s="59" t="str">
        <f>IF(INDEX(Sheet1!$BA:$BA,ROWS($A$6:$A109)+1)&lt;&gt;"", "◯", "")</f>
        <v/>
      </c>
      <c r="I109" s="86"/>
    </row>
    <row r="110" spans="1:9" ht="20.100000000000001" customHeight="1" x14ac:dyDescent="0.15">
      <c r="A110" s="59" t="str">
        <f>IF(B110="","",SUBTOTAL(103, $B$6:B110))</f>
        <v/>
      </c>
      <c r="B110" s="59" t="str">
        <f>INDEX(Sheet1!$B:$B,ROWS($A$6:$A110)+1)&amp;""</f>
        <v/>
      </c>
      <c r="C110" s="66" t="str">
        <f>IF(INDEX(Sheet1!$N:$N,ROWS($A$6:$A110)+1)="","",INDEX(Sheet1!$N:$N,ROWS($A$6:$A110)+1))</f>
        <v/>
      </c>
      <c r="D110" s="63" t="str">
        <f>IF(INDEX(Sheet1!$T:$T,ROWS($A$6:$A110)+1)&lt;&gt;"", INDEX(Sheet1!$T:$T,ROWS($A$6:$A110)+1), IF(INDEX(Sheet1!$O:$O,ROWS($A$6:$A110)+1)&lt;&gt;"", INDEX(Sheet1!$O:$O,ROWS($A$6:$A110)+1), ""))</f>
        <v/>
      </c>
      <c r="E110" s="64" t="str">
        <f>INDEX(Sheet1!$Y:$Y,ROWS($A$6:$A110)+1)&amp;""</f>
        <v/>
      </c>
      <c r="F110" s="61" t="str">
        <f>INDEX(Sheet1!$AC:$AC,ROWS($A$6:$A110)+1)&amp;""</f>
        <v/>
      </c>
      <c r="G110" s="59" t="str">
        <f>IF(INDEX(Sheet1!$AM:$AM,ROWS($A$6:$A110)+1)&lt;&gt;"", "◯", "")</f>
        <v/>
      </c>
      <c r="H110" s="59" t="str">
        <f>IF(INDEX(Sheet1!$BA:$BA,ROWS($A$6:$A110)+1)&lt;&gt;"", "◯", "")</f>
        <v/>
      </c>
      <c r="I110" s="86"/>
    </row>
    <row r="111" spans="1:9" ht="20.100000000000001" customHeight="1" x14ac:dyDescent="0.15">
      <c r="A111" s="59" t="str">
        <f>IF(B111="","",SUBTOTAL(103, $B$6:B111))</f>
        <v/>
      </c>
      <c r="B111" s="59" t="str">
        <f>INDEX(Sheet1!$B:$B,ROWS($A$6:$A111)+1)&amp;""</f>
        <v/>
      </c>
      <c r="C111" s="66" t="str">
        <f>IF(INDEX(Sheet1!$N:$N,ROWS($A$6:$A111)+1)="","",INDEX(Sheet1!$N:$N,ROWS($A$6:$A111)+1))</f>
        <v/>
      </c>
      <c r="D111" s="63" t="str">
        <f>IF(INDEX(Sheet1!$T:$T,ROWS($A$6:$A111)+1)&lt;&gt;"", INDEX(Sheet1!$T:$T,ROWS($A$6:$A111)+1), IF(INDEX(Sheet1!$O:$O,ROWS($A$6:$A111)+1)&lt;&gt;"", INDEX(Sheet1!$O:$O,ROWS($A$6:$A111)+1), ""))</f>
        <v/>
      </c>
      <c r="E111" s="64" t="str">
        <f>INDEX(Sheet1!$Y:$Y,ROWS($A$6:$A111)+1)&amp;""</f>
        <v/>
      </c>
      <c r="F111" s="61" t="str">
        <f>INDEX(Sheet1!$AC:$AC,ROWS($A$6:$A111)+1)&amp;""</f>
        <v/>
      </c>
      <c r="G111" s="59" t="str">
        <f>IF(INDEX(Sheet1!$AM:$AM,ROWS($A$6:$A111)+1)&lt;&gt;"", "◯", "")</f>
        <v/>
      </c>
      <c r="H111" s="59" t="str">
        <f>IF(INDEX(Sheet1!$BA:$BA,ROWS($A$6:$A111)+1)&lt;&gt;"", "◯", "")</f>
        <v/>
      </c>
      <c r="I111" s="86"/>
    </row>
    <row r="112" spans="1:9" ht="20.100000000000001" customHeight="1" x14ac:dyDescent="0.15">
      <c r="A112" s="59" t="str">
        <f>IF(B112="","",SUBTOTAL(103, $B$6:B112))</f>
        <v/>
      </c>
      <c r="B112" s="59" t="str">
        <f>INDEX(Sheet1!$B:$B,ROWS($A$6:$A112)+1)&amp;""</f>
        <v/>
      </c>
      <c r="C112" s="66" t="str">
        <f>IF(INDEX(Sheet1!$N:$N,ROWS($A$6:$A112)+1)="","",INDEX(Sheet1!$N:$N,ROWS($A$6:$A112)+1))</f>
        <v/>
      </c>
      <c r="D112" s="63" t="str">
        <f>IF(INDEX(Sheet1!$T:$T,ROWS($A$6:$A112)+1)&lt;&gt;"", INDEX(Sheet1!$T:$T,ROWS($A$6:$A112)+1), IF(INDEX(Sheet1!$O:$O,ROWS($A$6:$A112)+1)&lt;&gt;"", INDEX(Sheet1!$O:$O,ROWS($A$6:$A112)+1), ""))</f>
        <v/>
      </c>
      <c r="E112" s="64" t="str">
        <f>INDEX(Sheet1!$Y:$Y,ROWS($A$6:$A112)+1)&amp;""</f>
        <v/>
      </c>
      <c r="F112" s="61" t="str">
        <f>INDEX(Sheet1!$AC:$AC,ROWS($A$6:$A112)+1)&amp;""</f>
        <v/>
      </c>
      <c r="G112" s="59" t="str">
        <f>IF(INDEX(Sheet1!$AM:$AM,ROWS($A$6:$A112)+1)&lt;&gt;"", "◯", "")</f>
        <v/>
      </c>
      <c r="H112" s="59" t="str">
        <f>IF(INDEX(Sheet1!$BA:$BA,ROWS($A$6:$A112)+1)&lt;&gt;"", "◯", "")</f>
        <v/>
      </c>
      <c r="I112" s="86"/>
    </row>
    <row r="113" spans="1:9" ht="20.100000000000001" customHeight="1" x14ac:dyDescent="0.15">
      <c r="A113" s="59" t="str">
        <f>IF(B113="","",SUBTOTAL(103, $B$6:B113))</f>
        <v/>
      </c>
      <c r="B113" s="59" t="str">
        <f>INDEX(Sheet1!$B:$B,ROWS($A$6:$A113)+1)&amp;""</f>
        <v/>
      </c>
      <c r="C113" s="66" t="str">
        <f>IF(INDEX(Sheet1!$N:$N,ROWS($A$6:$A113)+1)="","",INDEX(Sheet1!$N:$N,ROWS($A$6:$A113)+1))</f>
        <v/>
      </c>
      <c r="D113" s="63" t="str">
        <f>IF(INDEX(Sheet1!$T:$T,ROWS($A$6:$A113)+1)&lt;&gt;"", INDEX(Sheet1!$T:$T,ROWS($A$6:$A113)+1), IF(INDEX(Sheet1!$O:$O,ROWS($A$6:$A113)+1)&lt;&gt;"", INDEX(Sheet1!$O:$O,ROWS($A$6:$A113)+1), ""))</f>
        <v/>
      </c>
      <c r="E113" s="64" t="str">
        <f>INDEX(Sheet1!$Y:$Y,ROWS($A$6:$A113)+1)&amp;""</f>
        <v/>
      </c>
      <c r="F113" s="61" t="str">
        <f>INDEX(Sheet1!$AC:$AC,ROWS($A$6:$A113)+1)&amp;""</f>
        <v/>
      </c>
      <c r="G113" s="59" t="str">
        <f>IF(INDEX(Sheet1!$AM:$AM,ROWS($A$6:$A113)+1)&lt;&gt;"", "◯", "")</f>
        <v/>
      </c>
      <c r="H113" s="59" t="str">
        <f>IF(INDEX(Sheet1!$BA:$BA,ROWS($A$6:$A113)+1)&lt;&gt;"", "◯", "")</f>
        <v/>
      </c>
      <c r="I113" s="86"/>
    </row>
    <row r="114" spans="1:9" ht="20.100000000000001" customHeight="1" x14ac:dyDescent="0.15">
      <c r="A114" s="59" t="str">
        <f>IF(B114="","",SUBTOTAL(103, $B$6:B114))</f>
        <v/>
      </c>
      <c r="B114" s="59" t="str">
        <f>INDEX(Sheet1!$B:$B,ROWS($A$6:$A114)+1)&amp;""</f>
        <v/>
      </c>
      <c r="C114" s="66" t="str">
        <f>IF(INDEX(Sheet1!$N:$N,ROWS($A$6:$A114)+1)="","",INDEX(Sheet1!$N:$N,ROWS($A$6:$A114)+1))</f>
        <v/>
      </c>
      <c r="D114" s="63" t="str">
        <f>IF(INDEX(Sheet1!$T:$T,ROWS($A$6:$A114)+1)&lt;&gt;"", INDEX(Sheet1!$T:$T,ROWS($A$6:$A114)+1), IF(INDEX(Sheet1!$O:$O,ROWS($A$6:$A114)+1)&lt;&gt;"", INDEX(Sheet1!$O:$O,ROWS($A$6:$A114)+1), ""))</f>
        <v/>
      </c>
      <c r="E114" s="64" t="str">
        <f>INDEX(Sheet1!$Y:$Y,ROWS($A$6:$A114)+1)&amp;""</f>
        <v/>
      </c>
      <c r="F114" s="61" t="str">
        <f>INDEX(Sheet1!$AC:$AC,ROWS($A$6:$A114)+1)&amp;""</f>
        <v/>
      </c>
      <c r="G114" s="59" t="str">
        <f>IF(INDEX(Sheet1!$AM:$AM,ROWS($A$6:$A114)+1)&lt;&gt;"", "◯", "")</f>
        <v/>
      </c>
      <c r="H114" s="59" t="str">
        <f>IF(INDEX(Sheet1!$BA:$BA,ROWS($A$6:$A114)+1)&lt;&gt;"", "◯", "")</f>
        <v/>
      </c>
      <c r="I114" s="86"/>
    </row>
    <row r="115" spans="1:9" ht="20.100000000000001" customHeight="1" x14ac:dyDescent="0.15">
      <c r="A115" s="59" t="str">
        <f>IF(B115="","",SUBTOTAL(103, $B$6:B115))</f>
        <v/>
      </c>
      <c r="B115" s="59" t="str">
        <f>INDEX(Sheet1!$B:$B,ROWS($A$6:$A115)+1)&amp;""</f>
        <v/>
      </c>
      <c r="C115" s="66" t="str">
        <f>IF(INDEX(Sheet1!$N:$N,ROWS($A$6:$A115)+1)="","",INDEX(Sheet1!$N:$N,ROWS($A$6:$A115)+1))</f>
        <v/>
      </c>
      <c r="D115" s="63" t="str">
        <f>IF(INDEX(Sheet1!$T:$T,ROWS($A$6:$A115)+1)&lt;&gt;"", INDEX(Sheet1!$T:$T,ROWS($A$6:$A115)+1), IF(INDEX(Sheet1!$O:$O,ROWS($A$6:$A115)+1)&lt;&gt;"", INDEX(Sheet1!$O:$O,ROWS($A$6:$A115)+1), ""))</f>
        <v/>
      </c>
      <c r="E115" s="64" t="str">
        <f>INDEX(Sheet1!$Y:$Y,ROWS($A$6:$A115)+1)&amp;""</f>
        <v/>
      </c>
      <c r="F115" s="61" t="str">
        <f>INDEX(Sheet1!$AC:$AC,ROWS($A$6:$A115)+1)&amp;""</f>
        <v/>
      </c>
      <c r="G115" s="59" t="str">
        <f>IF(INDEX(Sheet1!$AM:$AM,ROWS($A$6:$A115)+1)&lt;&gt;"", "◯", "")</f>
        <v/>
      </c>
      <c r="H115" s="59" t="str">
        <f>IF(INDEX(Sheet1!$BA:$BA,ROWS($A$6:$A115)+1)&lt;&gt;"", "◯", "")</f>
        <v/>
      </c>
      <c r="I115" s="86"/>
    </row>
    <row r="116" spans="1:9" ht="20.100000000000001" customHeight="1" x14ac:dyDescent="0.15">
      <c r="A116" s="59" t="str">
        <f>IF(B116="","",SUBTOTAL(103, $B$6:B116))</f>
        <v/>
      </c>
      <c r="B116" s="59" t="str">
        <f>INDEX(Sheet1!$B:$B,ROWS($A$6:$A116)+1)&amp;""</f>
        <v/>
      </c>
      <c r="C116" s="66" t="str">
        <f>IF(INDEX(Sheet1!$N:$N,ROWS($A$6:$A116)+1)="","",INDEX(Sheet1!$N:$N,ROWS($A$6:$A116)+1))</f>
        <v/>
      </c>
      <c r="D116" s="63" t="str">
        <f>IF(INDEX(Sheet1!$T:$T,ROWS($A$6:$A116)+1)&lt;&gt;"", INDEX(Sheet1!$T:$T,ROWS($A$6:$A116)+1), IF(INDEX(Sheet1!$O:$O,ROWS($A$6:$A116)+1)&lt;&gt;"", INDEX(Sheet1!$O:$O,ROWS($A$6:$A116)+1), ""))</f>
        <v/>
      </c>
      <c r="E116" s="64" t="str">
        <f>INDEX(Sheet1!$Y:$Y,ROWS($A$6:$A116)+1)&amp;""</f>
        <v/>
      </c>
      <c r="F116" s="61" t="str">
        <f>INDEX(Sheet1!$AC:$AC,ROWS($A$6:$A116)+1)&amp;""</f>
        <v/>
      </c>
      <c r="G116" s="59" t="str">
        <f>IF(INDEX(Sheet1!$AM:$AM,ROWS($A$6:$A116)+1)&lt;&gt;"", "◯", "")</f>
        <v/>
      </c>
      <c r="H116" s="59" t="str">
        <f>IF(INDEX(Sheet1!$BA:$BA,ROWS($A$6:$A116)+1)&lt;&gt;"", "◯", "")</f>
        <v/>
      </c>
      <c r="I116" s="86"/>
    </row>
    <row r="117" spans="1:9" ht="20.100000000000001" customHeight="1" x14ac:dyDescent="0.15">
      <c r="A117" s="59" t="str">
        <f>IF(B117="","",SUBTOTAL(103, $B$6:B117))</f>
        <v/>
      </c>
      <c r="B117" s="59" t="str">
        <f>INDEX(Sheet1!$B:$B,ROWS($A$6:$A117)+1)&amp;""</f>
        <v/>
      </c>
      <c r="C117" s="66" t="str">
        <f>IF(INDEX(Sheet1!$N:$N,ROWS($A$6:$A117)+1)="","",INDEX(Sheet1!$N:$N,ROWS($A$6:$A117)+1))</f>
        <v/>
      </c>
      <c r="D117" s="63" t="str">
        <f>IF(INDEX(Sheet1!$T:$T,ROWS($A$6:$A117)+1)&lt;&gt;"", INDEX(Sheet1!$T:$T,ROWS($A$6:$A117)+1), IF(INDEX(Sheet1!$O:$O,ROWS($A$6:$A117)+1)&lt;&gt;"", INDEX(Sheet1!$O:$O,ROWS($A$6:$A117)+1), ""))</f>
        <v/>
      </c>
      <c r="E117" s="64" t="str">
        <f>INDEX(Sheet1!$Y:$Y,ROWS($A$6:$A117)+1)&amp;""</f>
        <v/>
      </c>
      <c r="F117" s="61" t="str">
        <f>INDEX(Sheet1!$AC:$AC,ROWS($A$6:$A117)+1)&amp;""</f>
        <v/>
      </c>
      <c r="G117" s="59" t="str">
        <f>IF(INDEX(Sheet1!$AM:$AM,ROWS($A$6:$A117)+1)&lt;&gt;"", "◯", "")</f>
        <v/>
      </c>
      <c r="H117" s="59" t="str">
        <f>IF(INDEX(Sheet1!$BA:$BA,ROWS($A$6:$A117)+1)&lt;&gt;"", "◯", "")</f>
        <v/>
      </c>
      <c r="I117" s="86"/>
    </row>
    <row r="118" spans="1:9" ht="20.100000000000001" customHeight="1" x14ac:dyDescent="0.15">
      <c r="A118" s="59" t="str">
        <f>IF(B118="","",SUBTOTAL(103, $B$6:B118))</f>
        <v/>
      </c>
      <c r="B118" s="59" t="str">
        <f>INDEX(Sheet1!$B:$B,ROWS($A$6:$A118)+1)&amp;""</f>
        <v/>
      </c>
      <c r="C118" s="66" t="str">
        <f>IF(INDEX(Sheet1!$N:$N,ROWS($A$6:$A118)+1)="","",INDEX(Sheet1!$N:$N,ROWS($A$6:$A118)+1))</f>
        <v/>
      </c>
      <c r="D118" s="63" t="str">
        <f>IF(INDEX(Sheet1!$T:$T,ROWS($A$6:$A118)+1)&lt;&gt;"", INDEX(Sheet1!$T:$T,ROWS($A$6:$A118)+1), IF(INDEX(Sheet1!$O:$O,ROWS($A$6:$A118)+1)&lt;&gt;"", INDEX(Sheet1!$O:$O,ROWS($A$6:$A118)+1), ""))</f>
        <v/>
      </c>
      <c r="E118" s="64" t="str">
        <f>INDEX(Sheet1!$Y:$Y,ROWS($A$6:$A118)+1)&amp;""</f>
        <v/>
      </c>
      <c r="F118" s="61" t="str">
        <f>INDEX(Sheet1!$AC:$AC,ROWS($A$6:$A118)+1)&amp;""</f>
        <v/>
      </c>
      <c r="G118" s="59" t="str">
        <f>IF(INDEX(Sheet1!$AM:$AM,ROWS($A$6:$A118)+1)&lt;&gt;"", "◯", "")</f>
        <v/>
      </c>
      <c r="H118" s="59" t="str">
        <f>IF(INDEX(Sheet1!$BA:$BA,ROWS($A$6:$A118)+1)&lt;&gt;"", "◯", "")</f>
        <v/>
      </c>
      <c r="I118" s="86"/>
    </row>
    <row r="119" spans="1:9" ht="20.100000000000001" customHeight="1" x14ac:dyDescent="0.15">
      <c r="A119" s="59" t="str">
        <f>IF(B119="","",SUBTOTAL(103, $B$6:B119))</f>
        <v/>
      </c>
      <c r="B119" s="59" t="str">
        <f>INDEX(Sheet1!$B:$B,ROWS($A$6:$A119)+1)&amp;""</f>
        <v/>
      </c>
      <c r="C119" s="66" t="str">
        <f>IF(INDEX(Sheet1!$N:$N,ROWS($A$6:$A119)+1)="","",INDEX(Sheet1!$N:$N,ROWS($A$6:$A119)+1))</f>
        <v/>
      </c>
      <c r="D119" s="63" t="str">
        <f>IF(INDEX(Sheet1!$T:$T,ROWS($A$6:$A119)+1)&lt;&gt;"", INDEX(Sheet1!$T:$T,ROWS($A$6:$A119)+1), IF(INDEX(Sheet1!$O:$O,ROWS($A$6:$A119)+1)&lt;&gt;"", INDEX(Sheet1!$O:$O,ROWS($A$6:$A119)+1), ""))</f>
        <v/>
      </c>
      <c r="E119" s="64" t="str">
        <f>INDEX(Sheet1!$Y:$Y,ROWS($A$6:$A119)+1)&amp;""</f>
        <v/>
      </c>
      <c r="F119" s="61" t="str">
        <f>INDEX(Sheet1!$AC:$AC,ROWS($A$6:$A119)+1)&amp;""</f>
        <v/>
      </c>
      <c r="G119" s="59" t="str">
        <f>IF(INDEX(Sheet1!$AM:$AM,ROWS($A$6:$A119)+1)&lt;&gt;"", "◯", "")</f>
        <v/>
      </c>
      <c r="H119" s="59" t="str">
        <f>IF(INDEX(Sheet1!$BA:$BA,ROWS($A$6:$A119)+1)&lt;&gt;"", "◯", "")</f>
        <v/>
      </c>
      <c r="I119" s="86"/>
    </row>
    <row r="120" spans="1:9" ht="20.100000000000001" customHeight="1" x14ac:dyDescent="0.15">
      <c r="A120" s="59" t="str">
        <f>IF(B120="","",SUBTOTAL(103, $B$6:B120))</f>
        <v/>
      </c>
      <c r="B120" s="59" t="str">
        <f>INDEX(Sheet1!$B:$B,ROWS($A$6:$A120)+1)&amp;""</f>
        <v/>
      </c>
      <c r="C120" s="66" t="str">
        <f>IF(INDEX(Sheet1!$N:$N,ROWS($A$6:$A120)+1)="","",INDEX(Sheet1!$N:$N,ROWS($A$6:$A120)+1))</f>
        <v/>
      </c>
      <c r="D120" s="63" t="str">
        <f>IF(INDEX(Sheet1!$T:$T,ROWS($A$6:$A120)+1)&lt;&gt;"", INDEX(Sheet1!$T:$T,ROWS($A$6:$A120)+1), IF(INDEX(Sheet1!$O:$O,ROWS($A$6:$A120)+1)&lt;&gt;"", INDEX(Sheet1!$O:$O,ROWS($A$6:$A120)+1), ""))</f>
        <v/>
      </c>
      <c r="E120" s="64" t="str">
        <f>INDEX(Sheet1!$Y:$Y,ROWS($A$6:$A120)+1)&amp;""</f>
        <v/>
      </c>
      <c r="F120" s="61" t="str">
        <f>INDEX(Sheet1!$AC:$AC,ROWS($A$6:$A120)+1)&amp;""</f>
        <v/>
      </c>
      <c r="G120" s="59" t="str">
        <f>IF(INDEX(Sheet1!$AM:$AM,ROWS($A$6:$A120)+1)&lt;&gt;"", "◯", "")</f>
        <v/>
      </c>
      <c r="H120" s="59" t="str">
        <f>IF(INDEX(Sheet1!$BA:$BA,ROWS($A$6:$A120)+1)&lt;&gt;"", "◯", "")</f>
        <v/>
      </c>
      <c r="I120" s="86"/>
    </row>
    <row r="121" spans="1:9" ht="20.100000000000001" customHeight="1" x14ac:dyDescent="0.15">
      <c r="A121" s="59" t="str">
        <f>IF(B121="","",SUBTOTAL(103, $B$6:B121))</f>
        <v/>
      </c>
      <c r="B121" s="59" t="str">
        <f>INDEX(Sheet1!$B:$B,ROWS($A$6:$A121)+1)&amp;""</f>
        <v/>
      </c>
      <c r="C121" s="66" t="str">
        <f>IF(INDEX(Sheet1!$N:$N,ROWS($A$6:$A121)+1)="","",INDEX(Sheet1!$N:$N,ROWS($A$6:$A121)+1))</f>
        <v/>
      </c>
      <c r="D121" s="63" t="str">
        <f>IF(INDEX(Sheet1!$T:$T,ROWS($A$6:$A121)+1)&lt;&gt;"", INDEX(Sheet1!$T:$T,ROWS($A$6:$A121)+1), IF(INDEX(Sheet1!$O:$O,ROWS($A$6:$A121)+1)&lt;&gt;"", INDEX(Sheet1!$O:$O,ROWS($A$6:$A121)+1), ""))</f>
        <v/>
      </c>
      <c r="E121" s="64" t="str">
        <f>INDEX(Sheet1!$Y:$Y,ROWS($A$6:$A121)+1)&amp;""</f>
        <v/>
      </c>
      <c r="F121" s="61" t="str">
        <f>INDEX(Sheet1!$AC:$AC,ROWS($A$6:$A121)+1)&amp;""</f>
        <v/>
      </c>
      <c r="G121" s="59" t="str">
        <f>IF(INDEX(Sheet1!$AM:$AM,ROWS($A$6:$A121)+1)&lt;&gt;"", "◯", "")</f>
        <v/>
      </c>
      <c r="H121" s="59" t="str">
        <f>IF(INDEX(Sheet1!$BA:$BA,ROWS($A$6:$A121)+1)&lt;&gt;"", "◯", "")</f>
        <v/>
      </c>
      <c r="I121" s="86"/>
    </row>
    <row r="122" spans="1:9" ht="20.100000000000001" customHeight="1" x14ac:dyDescent="0.15">
      <c r="A122" s="59" t="str">
        <f>IF(B122="","",SUBTOTAL(103, $B$6:B122))</f>
        <v/>
      </c>
      <c r="B122" s="59" t="str">
        <f>INDEX(Sheet1!$B:$B,ROWS($A$6:$A122)+1)&amp;""</f>
        <v/>
      </c>
      <c r="C122" s="66" t="str">
        <f>IF(INDEX(Sheet1!$N:$N,ROWS($A$6:$A122)+1)="","",INDEX(Sheet1!$N:$N,ROWS($A$6:$A122)+1))</f>
        <v/>
      </c>
      <c r="D122" s="63" t="str">
        <f>IF(INDEX(Sheet1!$T:$T,ROWS($A$6:$A122)+1)&lt;&gt;"", INDEX(Sheet1!$T:$T,ROWS($A$6:$A122)+1), IF(INDEX(Sheet1!$O:$O,ROWS($A$6:$A122)+1)&lt;&gt;"", INDEX(Sheet1!$O:$O,ROWS($A$6:$A122)+1), ""))</f>
        <v/>
      </c>
      <c r="E122" s="64" t="str">
        <f>INDEX(Sheet1!$Y:$Y,ROWS($A$6:$A122)+1)&amp;""</f>
        <v/>
      </c>
      <c r="F122" s="61" t="str">
        <f>INDEX(Sheet1!$AC:$AC,ROWS($A$6:$A122)+1)&amp;""</f>
        <v/>
      </c>
      <c r="G122" s="59" t="str">
        <f>IF(INDEX(Sheet1!$AM:$AM,ROWS($A$6:$A122)+1)&lt;&gt;"", "◯", "")</f>
        <v/>
      </c>
      <c r="H122" s="59" t="str">
        <f>IF(INDEX(Sheet1!$BA:$BA,ROWS($A$6:$A122)+1)&lt;&gt;"", "◯", "")</f>
        <v/>
      </c>
      <c r="I122" s="86"/>
    </row>
    <row r="123" spans="1:9" ht="20.100000000000001" customHeight="1" x14ac:dyDescent="0.15">
      <c r="A123" s="59" t="str">
        <f>IF(B123="","",SUBTOTAL(103, $B$6:B123))</f>
        <v/>
      </c>
      <c r="B123" s="59" t="str">
        <f>INDEX(Sheet1!$B:$B,ROWS($A$6:$A123)+1)&amp;""</f>
        <v/>
      </c>
      <c r="C123" s="66" t="str">
        <f>IF(INDEX(Sheet1!$N:$N,ROWS($A$6:$A123)+1)="","",INDEX(Sheet1!$N:$N,ROWS($A$6:$A123)+1))</f>
        <v/>
      </c>
      <c r="D123" s="63" t="str">
        <f>IF(INDEX(Sheet1!$T:$T,ROWS($A$6:$A123)+1)&lt;&gt;"", INDEX(Sheet1!$T:$T,ROWS($A$6:$A123)+1), IF(INDEX(Sheet1!$O:$O,ROWS($A$6:$A123)+1)&lt;&gt;"", INDEX(Sheet1!$O:$O,ROWS($A$6:$A123)+1), ""))</f>
        <v/>
      </c>
      <c r="E123" s="64" t="str">
        <f>INDEX(Sheet1!$Y:$Y,ROWS($A$6:$A123)+1)&amp;""</f>
        <v/>
      </c>
      <c r="F123" s="61" t="str">
        <f>INDEX(Sheet1!$AC:$AC,ROWS($A$6:$A123)+1)&amp;""</f>
        <v/>
      </c>
      <c r="G123" s="59" t="str">
        <f>IF(INDEX(Sheet1!$AM:$AM,ROWS($A$6:$A123)+1)&lt;&gt;"", "◯", "")</f>
        <v/>
      </c>
      <c r="H123" s="59" t="str">
        <f>IF(INDEX(Sheet1!$BA:$BA,ROWS($A$6:$A123)+1)&lt;&gt;"", "◯", "")</f>
        <v/>
      </c>
      <c r="I123" s="86"/>
    </row>
    <row r="124" spans="1:9" ht="20.100000000000001" customHeight="1" x14ac:dyDescent="0.15">
      <c r="A124" s="59" t="str">
        <f>IF(B124="","",SUBTOTAL(103, $B$6:B124))</f>
        <v/>
      </c>
      <c r="B124" s="59" t="str">
        <f>INDEX(Sheet1!$B:$B,ROWS($A$6:$A124)+1)&amp;""</f>
        <v/>
      </c>
      <c r="C124" s="66" t="str">
        <f>IF(INDEX(Sheet1!$N:$N,ROWS($A$6:$A124)+1)="","",INDEX(Sheet1!$N:$N,ROWS($A$6:$A124)+1))</f>
        <v/>
      </c>
      <c r="D124" s="63" t="str">
        <f>IF(INDEX(Sheet1!$T:$T,ROWS($A$6:$A124)+1)&lt;&gt;"", INDEX(Sheet1!$T:$T,ROWS($A$6:$A124)+1), IF(INDEX(Sheet1!$O:$O,ROWS($A$6:$A124)+1)&lt;&gt;"", INDEX(Sheet1!$O:$O,ROWS($A$6:$A124)+1), ""))</f>
        <v/>
      </c>
      <c r="E124" s="64" t="str">
        <f>INDEX(Sheet1!$Y:$Y,ROWS($A$6:$A124)+1)&amp;""</f>
        <v/>
      </c>
      <c r="F124" s="61" t="str">
        <f>INDEX(Sheet1!$AC:$AC,ROWS($A$6:$A124)+1)&amp;""</f>
        <v/>
      </c>
      <c r="G124" s="59" t="str">
        <f>IF(INDEX(Sheet1!$AM:$AM,ROWS($A$6:$A124)+1)&lt;&gt;"", "◯", "")</f>
        <v/>
      </c>
      <c r="H124" s="59" t="str">
        <f>IF(INDEX(Sheet1!$BA:$BA,ROWS($A$6:$A124)+1)&lt;&gt;"", "◯", "")</f>
        <v/>
      </c>
      <c r="I124" s="86"/>
    </row>
    <row r="125" spans="1:9" ht="20.100000000000001" customHeight="1" x14ac:dyDescent="0.15">
      <c r="A125" s="59" t="str">
        <f>IF(B125="","",SUBTOTAL(103, $B$6:B125))</f>
        <v/>
      </c>
      <c r="B125" s="59" t="str">
        <f>INDEX(Sheet1!$B:$B,ROWS($A$6:$A125)+1)&amp;""</f>
        <v/>
      </c>
      <c r="C125" s="66" t="str">
        <f>IF(INDEX(Sheet1!$N:$N,ROWS($A$6:$A125)+1)="","",INDEX(Sheet1!$N:$N,ROWS($A$6:$A125)+1))</f>
        <v/>
      </c>
      <c r="D125" s="63" t="str">
        <f>IF(INDEX(Sheet1!$T:$T,ROWS($A$6:$A125)+1)&lt;&gt;"", INDEX(Sheet1!$T:$T,ROWS($A$6:$A125)+1), IF(INDEX(Sheet1!$O:$O,ROWS($A$6:$A125)+1)&lt;&gt;"", INDEX(Sheet1!$O:$O,ROWS($A$6:$A125)+1), ""))</f>
        <v/>
      </c>
      <c r="E125" s="64" t="str">
        <f>INDEX(Sheet1!$Y:$Y,ROWS($A$6:$A125)+1)&amp;""</f>
        <v/>
      </c>
      <c r="F125" s="61" t="str">
        <f>INDEX(Sheet1!$AC:$AC,ROWS($A$6:$A125)+1)&amp;""</f>
        <v/>
      </c>
      <c r="G125" s="59" t="str">
        <f>IF(INDEX(Sheet1!$AM:$AM,ROWS($A$6:$A125)+1)&lt;&gt;"", "◯", "")</f>
        <v/>
      </c>
      <c r="H125" s="59" t="str">
        <f>IF(INDEX(Sheet1!$BA:$BA,ROWS($A$6:$A125)+1)&lt;&gt;"", "◯", "")</f>
        <v/>
      </c>
      <c r="I125" s="86"/>
    </row>
    <row r="126" spans="1:9" ht="20.100000000000001" customHeight="1" x14ac:dyDescent="0.15">
      <c r="A126" s="59" t="str">
        <f>IF(B126="","",SUBTOTAL(103, $B$6:B126))</f>
        <v/>
      </c>
      <c r="B126" s="59" t="str">
        <f>INDEX(Sheet1!$B:$B,ROWS($A$6:$A126)+1)&amp;""</f>
        <v/>
      </c>
      <c r="C126" s="66" t="str">
        <f>IF(INDEX(Sheet1!$N:$N,ROWS($A$6:$A126)+1)="","",INDEX(Sheet1!$N:$N,ROWS($A$6:$A126)+1))</f>
        <v/>
      </c>
      <c r="D126" s="63" t="str">
        <f>IF(INDEX(Sheet1!$T:$T,ROWS($A$6:$A126)+1)&lt;&gt;"", INDEX(Sheet1!$T:$T,ROWS($A$6:$A126)+1), IF(INDEX(Sheet1!$O:$O,ROWS($A$6:$A126)+1)&lt;&gt;"", INDEX(Sheet1!$O:$O,ROWS($A$6:$A126)+1), ""))</f>
        <v/>
      </c>
      <c r="E126" s="64" t="str">
        <f>INDEX(Sheet1!$Y:$Y,ROWS($A$6:$A126)+1)&amp;""</f>
        <v/>
      </c>
      <c r="F126" s="61" t="str">
        <f>INDEX(Sheet1!$AC:$AC,ROWS($A$6:$A126)+1)&amp;""</f>
        <v/>
      </c>
      <c r="G126" s="59" t="str">
        <f>IF(INDEX(Sheet1!$AM:$AM,ROWS($A$6:$A126)+1)&lt;&gt;"", "◯", "")</f>
        <v/>
      </c>
      <c r="H126" s="59" t="str">
        <f>IF(INDEX(Sheet1!$BA:$BA,ROWS($A$6:$A126)+1)&lt;&gt;"", "◯", "")</f>
        <v/>
      </c>
      <c r="I126" s="86"/>
    </row>
    <row r="127" spans="1:9" ht="20.100000000000001" customHeight="1" x14ac:dyDescent="0.15">
      <c r="A127" s="59" t="str">
        <f>IF(B127="","",SUBTOTAL(103, $B$6:B127))</f>
        <v/>
      </c>
      <c r="B127" s="59" t="str">
        <f>INDEX(Sheet1!$B:$B,ROWS($A$6:$A127)+1)&amp;""</f>
        <v/>
      </c>
      <c r="C127" s="66" t="str">
        <f>IF(INDEX(Sheet1!$N:$N,ROWS($A$6:$A127)+1)="","",INDEX(Sheet1!$N:$N,ROWS($A$6:$A127)+1))</f>
        <v/>
      </c>
      <c r="D127" s="63" t="str">
        <f>IF(INDEX(Sheet1!$T:$T,ROWS($A$6:$A127)+1)&lt;&gt;"", INDEX(Sheet1!$T:$T,ROWS($A$6:$A127)+1), IF(INDEX(Sheet1!$O:$O,ROWS($A$6:$A127)+1)&lt;&gt;"", INDEX(Sheet1!$O:$O,ROWS($A$6:$A127)+1), ""))</f>
        <v/>
      </c>
      <c r="E127" s="64" t="str">
        <f>INDEX(Sheet1!$Y:$Y,ROWS($A$6:$A127)+1)&amp;""</f>
        <v/>
      </c>
      <c r="F127" s="61" t="str">
        <f>INDEX(Sheet1!$AC:$AC,ROWS($A$6:$A127)+1)&amp;""</f>
        <v/>
      </c>
      <c r="G127" s="59" t="str">
        <f>IF(INDEX(Sheet1!$AM:$AM,ROWS($A$6:$A127)+1)&lt;&gt;"", "◯", "")</f>
        <v/>
      </c>
      <c r="H127" s="59" t="str">
        <f>IF(INDEX(Sheet1!$BA:$BA,ROWS($A$6:$A127)+1)&lt;&gt;"", "◯", "")</f>
        <v/>
      </c>
      <c r="I127" s="86"/>
    </row>
    <row r="128" spans="1:9" ht="20.100000000000001" customHeight="1" x14ac:dyDescent="0.15">
      <c r="A128" s="59" t="str">
        <f>IF(B128="","",SUBTOTAL(103, $B$6:B128))</f>
        <v/>
      </c>
      <c r="B128" s="59" t="str">
        <f>INDEX(Sheet1!$B:$B,ROWS($A$6:$A128)+1)&amp;""</f>
        <v/>
      </c>
      <c r="C128" s="66" t="str">
        <f>IF(INDEX(Sheet1!$N:$N,ROWS($A$6:$A128)+1)="","",INDEX(Sheet1!$N:$N,ROWS($A$6:$A128)+1))</f>
        <v/>
      </c>
      <c r="D128" s="63" t="str">
        <f>IF(INDEX(Sheet1!$T:$T,ROWS($A$6:$A128)+1)&lt;&gt;"", INDEX(Sheet1!$T:$T,ROWS($A$6:$A128)+1), IF(INDEX(Sheet1!$O:$O,ROWS($A$6:$A128)+1)&lt;&gt;"", INDEX(Sheet1!$O:$O,ROWS($A$6:$A128)+1), ""))</f>
        <v/>
      </c>
      <c r="E128" s="64" t="str">
        <f>INDEX(Sheet1!$Y:$Y,ROWS($A$6:$A128)+1)&amp;""</f>
        <v/>
      </c>
      <c r="F128" s="61" t="str">
        <f>INDEX(Sheet1!$AC:$AC,ROWS($A$6:$A128)+1)&amp;""</f>
        <v/>
      </c>
      <c r="G128" s="59" t="str">
        <f>IF(INDEX(Sheet1!$AM:$AM,ROWS($A$6:$A128)+1)&lt;&gt;"", "◯", "")</f>
        <v/>
      </c>
      <c r="H128" s="59" t="str">
        <f>IF(INDEX(Sheet1!$BA:$BA,ROWS($A$6:$A128)+1)&lt;&gt;"", "◯", "")</f>
        <v/>
      </c>
      <c r="I128" s="86"/>
    </row>
    <row r="129" spans="1:9" ht="20.100000000000001" customHeight="1" x14ac:dyDescent="0.15">
      <c r="A129" s="59" t="str">
        <f>IF(B129="","",SUBTOTAL(103, $B$6:B129))</f>
        <v/>
      </c>
      <c r="B129" s="59" t="str">
        <f>INDEX(Sheet1!$B:$B,ROWS($A$6:$A129)+1)&amp;""</f>
        <v/>
      </c>
      <c r="C129" s="66" t="str">
        <f>IF(INDEX(Sheet1!$N:$N,ROWS($A$6:$A129)+1)="","",INDEX(Sheet1!$N:$N,ROWS($A$6:$A129)+1))</f>
        <v/>
      </c>
      <c r="D129" s="63" t="str">
        <f>IF(INDEX(Sheet1!$T:$T,ROWS($A$6:$A129)+1)&lt;&gt;"", INDEX(Sheet1!$T:$T,ROWS($A$6:$A129)+1), IF(INDEX(Sheet1!$O:$O,ROWS($A$6:$A129)+1)&lt;&gt;"", INDEX(Sheet1!$O:$O,ROWS($A$6:$A129)+1), ""))</f>
        <v/>
      </c>
      <c r="E129" s="64" t="str">
        <f>INDEX(Sheet1!$Y:$Y,ROWS($A$6:$A129)+1)&amp;""</f>
        <v/>
      </c>
      <c r="F129" s="61" t="str">
        <f>INDEX(Sheet1!$AC:$AC,ROWS($A$6:$A129)+1)&amp;""</f>
        <v/>
      </c>
      <c r="G129" s="59" t="str">
        <f>IF(INDEX(Sheet1!$AM:$AM,ROWS($A$6:$A129)+1)&lt;&gt;"", "◯", "")</f>
        <v/>
      </c>
      <c r="H129" s="59" t="str">
        <f>IF(INDEX(Sheet1!$BA:$BA,ROWS($A$6:$A129)+1)&lt;&gt;"", "◯", "")</f>
        <v/>
      </c>
      <c r="I129" s="86"/>
    </row>
    <row r="130" spans="1:9" ht="20.100000000000001" customHeight="1" x14ac:dyDescent="0.15">
      <c r="A130" s="59" t="str">
        <f>IF(B130="","",SUBTOTAL(103, $B$6:B130))</f>
        <v/>
      </c>
      <c r="B130" s="59" t="str">
        <f>INDEX(Sheet1!$B:$B,ROWS($A$6:$A130)+1)&amp;""</f>
        <v/>
      </c>
      <c r="C130" s="66" t="str">
        <f>IF(INDEX(Sheet1!$N:$N,ROWS($A$6:$A130)+1)="","",INDEX(Sheet1!$N:$N,ROWS($A$6:$A130)+1))</f>
        <v/>
      </c>
      <c r="D130" s="63" t="str">
        <f>IF(INDEX(Sheet1!$T:$T,ROWS($A$6:$A130)+1)&lt;&gt;"", INDEX(Sheet1!$T:$T,ROWS($A$6:$A130)+1), IF(INDEX(Sheet1!$O:$O,ROWS($A$6:$A130)+1)&lt;&gt;"", INDEX(Sheet1!$O:$O,ROWS($A$6:$A130)+1), ""))</f>
        <v/>
      </c>
      <c r="E130" s="64" t="str">
        <f>INDEX(Sheet1!$Y:$Y,ROWS($A$6:$A130)+1)&amp;""</f>
        <v/>
      </c>
      <c r="F130" s="61" t="str">
        <f>INDEX(Sheet1!$AC:$AC,ROWS($A$6:$A130)+1)&amp;""</f>
        <v/>
      </c>
      <c r="G130" s="59" t="str">
        <f>IF(INDEX(Sheet1!$AM:$AM,ROWS($A$6:$A130)+1)&lt;&gt;"", "◯", "")</f>
        <v/>
      </c>
      <c r="H130" s="59" t="str">
        <f>IF(INDEX(Sheet1!$BA:$BA,ROWS($A$6:$A130)+1)&lt;&gt;"", "◯", "")</f>
        <v/>
      </c>
      <c r="I130" s="86"/>
    </row>
    <row r="131" spans="1:9" ht="20.100000000000001" customHeight="1" x14ac:dyDescent="0.15">
      <c r="A131" s="59" t="str">
        <f>IF(B131="","",SUBTOTAL(103, $B$6:B131))</f>
        <v/>
      </c>
      <c r="B131" s="59" t="str">
        <f>INDEX(Sheet1!$B:$B,ROWS($A$6:$A131)+1)&amp;""</f>
        <v/>
      </c>
      <c r="C131" s="66" t="str">
        <f>IF(INDEX(Sheet1!$N:$N,ROWS($A$6:$A131)+1)="","",INDEX(Sheet1!$N:$N,ROWS($A$6:$A131)+1))</f>
        <v/>
      </c>
      <c r="D131" s="63" t="str">
        <f>IF(INDEX(Sheet1!$T:$T,ROWS($A$6:$A131)+1)&lt;&gt;"", INDEX(Sheet1!$T:$T,ROWS($A$6:$A131)+1), IF(INDEX(Sheet1!$O:$O,ROWS($A$6:$A131)+1)&lt;&gt;"", INDEX(Sheet1!$O:$O,ROWS($A$6:$A131)+1), ""))</f>
        <v/>
      </c>
      <c r="E131" s="64" t="str">
        <f>INDEX(Sheet1!$Y:$Y,ROWS($A$6:$A131)+1)&amp;""</f>
        <v/>
      </c>
      <c r="F131" s="61" t="str">
        <f>INDEX(Sheet1!$AC:$AC,ROWS($A$6:$A131)+1)&amp;""</f>
        <v/>
      </c>
      <c r="G131" s="59" t="str">
        <f>IF(INDEX(Sheet1!$AM:$AM,ROWS($A$6:$A131)+1)&lt;&gt;"", "◯", "")</f>
        <v/>
      </c>
      <c r="H131" s="59" t="str">
        <f>IF(INDEX(Sheet1!$BA:$BA,ROWS($A$6:$A131)+1)&lt;&gt;"", "◯", "")</f>
        <v/>
      </c>
      <c r="I131" s="86"/>
    </row>
    <row r="132" spans="1:9" ht="20.100000000000001" customHeight="1" x14ac:dyDescent="0.15">
      <c r="A132" s="59" t="str">
        <f>IF(B132="","",SUBTOTAL(103, $B$6:B132))</f>
        <v/>
      </c>
      <c r="B132" s="59" t="str">
        <f>INDEX(Sheet1!$B:$B,ROWS($A$6:$A132)+1)&amp;""</f>
        <v/>
      </c>
      <c r="C132" s="66" t="str">
        <f>IF(INDEX(Sheet1!$N:$N,ROWS($A$6:$A132)+1)="","",INDEX(Sheet1!$N:$N,ROWS($A$6:$A132)+1))</f>
        <v/>
      </c>
      <c r="D132" s="63" t="str">
        <f>IF(INDEX(Sheet1!$T:$T,ROWS($A$6:$A132)+1)&lt;&gt;"", INDEX(Sheet1!$T:$T,ROWS($A$6:$A132)+1), IF(INDEX(Sheet1!$O:$O,ROWS($A$6:$A132)+1)&lt;&gt;"", INDEX(Sheet1!$O:$O,ROWS($A$6:$A132)+1), ""))</f>
        <v/>
      </c>
      <c r="E132" s="64" t="str">
        <f>INDEX(Sheet1!$Y:$Y,ROWS($A$6:$A132)+1)&amp;""</f>
        <v/>
      </c>
      <c r="F132" s="61" t="str">
        <f>INDEX(Sheet1!$AC:$AC,ROWS($A$6:$A132)+1)&amp;""</f>
        <v/>
      </c>
      <c r="G132" s="59" t="str">
        <f>IF(INDEX(Sheet1!$AM:$AM,ROWS($A$6:$A132)+1)&lt;&gt;"", "◯", "")</f>
        <v/>
      </c>
      <c r="H132" s="59" t="str">
        <f>IF(INDEX(Sheet1!$BA:$BA,ROWS($A$6:$A132)+1)&lt;&gt;"", "◯", "")</f>
        <v/>
      </c>
      <c r="I132" s="86"/>
    </row>
    <row r="133" spans="1:9" ht="20.100000000000001" customHeight="1" x14ac:dyDescent="0.15">
      <c r="A133" s="59" t="str">
        <f>IF(B133="","",SUBTOTAL(103, $B$6:B133))</f>
        <v/>
      </c>
      <c r="B133" s="59" t="str">
        <f>INDEX(Sheet1!$B:$B,ROWS($A$6:$A133)+1)&amp;""</f>
        <v/>
      </c>
      <c r="C133" s="66" t="str">
        <f>IF(INDEX(Sheet1!$N:$N,ROWS($A$6:$A133)+1)="","",INDEX(Sheet1!$N:$N,ROWS($A$6:$A133)+1))</f>
        <v/>
      </c>
      <c r="D133" s="63" t="str">
        <f>IF(INDEX(Sheet1!$T:$T,ROWS($A$6:$A133)+1)&lt;&gt;"", INDEX(Sheet1!$T:$T,ROWS($A$6:$A133)+1), IF(INDEX(Sheet1!$O:$O,ROWS($A$6:$A133)+1)&lt;&gt;"", INDEX(Sheet1!$O:$O,ROWS($A$6:$A133)+1), ""))</f>
        <v/>
      </c>
      <c r="E133" s="64" t="str">
        <f>INDEX(Sheet1!$Y:$Y,ROWS($A$6:$A133)+1)&amp;""</f>
        <v/>
      </c>
      <c r="F133" s="61" t="str">
        <f>INDEX(Sheet1!$AC:$AC,ROWS($A$6:$A133)+1)&amp;""</f>
        <v/>
      </c>
      <c r="G133" s="59" t="str">
        <f>IF(INDEX(Sheet1!$AM:$AM,ROWS($A$6:$A133)+1)&lt;&gt;"", "◯", "")</f>
        <v/>
      </c>
      <c r="H133" s="59" t="str">
        <f>IF(INDEX(Sheet1!$BA:$BA,ROWS($A$6:$A133)+1)&lt;&gt;"", "◯", "")</f>
        <v/>
      </c>
      <c r="I133" s="86"/>
    </row>
    <row r="134" spans="1:9" ht="20.100000000000001" customHeight="1" x14ac:dyDescent="0.15">
      <c r="A134" s="59" t="str">
        <f>IF(B134="","",SUBTOTAL(103, $B$6:B134))</f>
        <v/>
      </c>
      <c r="B134" s="59" t="str">
        <f>INDEX(Sheet1!$B:$B,ROWS($A$6:$A134)+1)&amp;""</f>
        <v/>
      </c>
      <c r="C134" s="66" t="str">
        <f>IF(INDEX(Sheet1!$N:$N,ROWS($A$6:$A134)+1)="","",INDEX(Sheet1!$N:$N,ROWS($A$6:$A134)+1))</f>
        <v/>
      </c>
      <c r="D134" s="63" t="str">
        <f>IF(INDEX(Sheet1!$T:$T,ROWS($A$6:$A134)+1)&lt;&gt;"", INDEX(Sheet1!$T:$T,ROWS($A$6:$A134)+1), IF(INDEX(Sheet1!$O:$O,ROWS($A$6:$A134)+1)&lt;&gt;"", INDEX(Sheet1!$O:$O,ROWS($A$6:$A134)+1), ""))</f>
        <v/>
      </c>
      <c r="E134" s="64" t="str">
        <f>INDEX(Sheet1!$Y:$Y,ROWS($A$6:$A134)+1)&amp;""</f>
        <v/>
      </c>
      <c r="F134" s="61" t="str">
        <f>INDEX(Sheet1!$AC:$AC,ROWS($A$6:$A134)+1)&amp;""</f>
        <v/>
      </c>
      <c r="G134" s="59" t="str">
        <f>IF(INDEX(Sheet1!$AM:$AM,ROWS($A$6:$A134)+1)&lt;&gt;"", "◯", "")</f>
        <v/>
      </c>
      <c r="H134" s="59" t="str">
        <f>IF(INDEX(Sheet1!$BA:$BA,ROWS($A$6:$A134)+1)&lt;&gt;"", "◯", "")</f>
        <v/>
      </c>
      <c r="I134" s="86"/>
    </row>
    <row r="135" spans="1:9" ht="20.100000000000001" customHeight="1" x14ac:dyDescent="0.15">
      <c r="A135" s="59" t="str">
        <f>IF(B135="","",SUBTOTAL(103, $B$6:B135))</f>
        <v/>
      </c>
      <c r="B135" s="59" t="str">
        <f>INDEX(Sheet1!$B:$B,ROWS($A$6:$A135)+1)&amp;""</f>
        <v/>
      </c>
      <c r="C135" s="66" t="str">
        <f>IF(INDEX(Sheet1!$N:$N,ROWS($A$6:$A135)+1)="","",INDEX(Sheet1!$N:$N,ROWS($A$6:$A135)+1))</f>
        <v/>
      </c>
      <c r="D135" s="63" t="str">
        <f>IF(INDEX(Sheet1!$T:$T,ROWS($A$6:$A135)+1)&lt;&gt;"", INDEX(Sheet1!$T:$T,ROWS($A$6:$A135)+1), IF(INDEX(Sheet1!$O:$O,ROWS($A$6:$A135)+1)&lt;&gt;"", INDEX(Sheet1!$O:$O,ROWS($A$6:$A135)+1), ""))</f>
        <v/>
      </c>
      <c r="E135" s="64" t="str">
        <f>INDEX(Sheet1!$Y:$Y,ROWS($A$6:$A135)+1)&amp;""</f>
        <v/>
      </c>
      <c r="F135" s="61" t="str">
        <f>INDEX(Sheet1!$AC:$AC,ROWS($A$6:$A135)+1)&amp;""</f>
        <v/>
      </c>
      <c r="G135" s="59" t="str">
        <f>IF(INDEX(Sheet1!$AM:$AM,ROWS($A$6:$A135)+1)&lt;&gt;"", "◯", "")</f>
        <v/>
      </c>
      <c r="H135" s="59" t="str">
        <f>IF(INDEX(Sheet1!$BA:$BA,ROWS($A$6:$A135)+1)&lt;&gt;"", "◯", "")</f>
        <v/>
      </c>
      <c r="I135" s="86"/>
    </row>
    <row r="136" spans="1:9" ht="20.100000000000001" customHeight="1" x14ac:dyDescent="0.15">
      <c r="A136" s="59" t="str">
        <f>IF(B136="","",SUBTOTAL(103, $B$6:B136))</f>
        <v/>
      </c>
      <c r="B136" s="59" t="str">
        <f>INDEX(Sheet1!$B:$B,ROWS($A$6:$A136)+1)&amp;""</f>
        <v/>
      </c>
      <c r="C136" s="66" t="str">
        <f>IF(INDEX(Sheet1!$N:$N,ROWS($A$6:$A136)+1)="","",INDEX(Sheet1!$N:$N,ROWS($A$6:$A136)+1))</f>
        <v/>
      </c>
      <c r="D136" s="63" t="str">
        <f>IF(INDEX(Sheet1!$T:$T,ROWS($A$6:$A136)+1)&lt;&gt;"", INDEX(Sheet1!$T:$T,ROWS($A$6:$A136)+1), IF(INDEX(Sheet1!$O:$O,ROWS($A$6:$A136)+1)&lt;&gt;"", INDEX(Sheet1!$O:$O,ROWS($A$6:$A136)+1), ""))</f>
        <v/>
      </c>
      <c r="E136" s="64" t="str">
        <f>INDEX(Sheet1!$Y:$Y,ROWS($A$6:$A136)+1)&amp;""</f>
        <v/>
      </c>
      <c r="F136" s="61" t="str">
        <f>INDEX(Sheet1!$AC:$AC,ROWS($A$6:$A136)+1)&amp;""</f>
        <v/>
      </c>
      <c r="G136" s="59" t="str">
        <f>IF(INDEX(Sheet1!$AM:$AM,ROWS($A$6:$A136)+1)&lt;&gt;"", "◯", "")</f>
        <v/>
      </c>
      <c r="H136" s="59" t="str">
        <f>IF(INDEX(Sheet1!$BA:$BA,ROWS($A$6:$A136)+1)&lt;&gt;"", "◯", "")</f>
        <v/>
      </c>
      <c r="I136" s="86"/>
    </row>
    <row r="137" spans="1:9" ht="20.100000000000001" customHeight="1" x14ac:dyDescent="0.15">
      <c r="A137" s="59" t="str">
        <f>IF(B137="","",SUBTOTAL(103, $B$6:B137))</f>
        <v/>
      </c>
      <c r="B137" s="59" t="str">
        <f>INDEX(Sheet1!$B:$B,ROWS($A$6:$A137)+1)&amp;""</f>
        <v/>
      </c>
      <c r="C137" s="66" t="str">
        <f>IF(INDEX(Sheet1!$N:$N,ROWS($A$6:$A137)+1)="","",INDEX(Sheet1!$N:$N,ROWS($A$6:$A137)+1))</f>
        <v/>
      </c>
      <c r="D137" s="63" t="str">
        <f>IF(INDEX(Sheet1!$T:$T,ROWS($A$6:$A137)+1)&lt;&gt;"", INDEX(Sheet1!$T:$T,ROWS($A$6:$A137)+1), IF(INDEX(Sheet1!$O:$O,ROWS($A$6:$A137)+1)&lt;&gt;"", INDEX(Sheet1!$O:$O,ROWS($A$6:$A137)+1), ""))</f>
        <v/>
      </c>
      <c r="E137" s="64" t="str">
        <f>INDEX(Sheet1!$Y:$Y,ROWS($A$6:$A137)+1)&amp;""</f>
        <v/>
      </c>
      <c r="F137" s="61" t="str">
        <f>INDEX(Sheet1!$AC:$AC,ROWS($A$6:$A137)+1)&amp;""</f>
        <v/>
      </c>
      <c r="G137" s="59" t="str">
        <f>IF(INDEX(Sheet1!$AM:$AM,ROWS($A$6:$A137)+1)&lt;&gt;"", "◯", "")</f>
        <v/>
      </c>
      <c r="H137" s="59" t="str">
        <f>IF(INDEX(Sheet1!$BA:$BA,ROWS($A$6:$A137)+1)&lt;&gt;"", "◯", "")</f>
        <v/>
      </c>
      <c r="I137" s="86"/>
    </row>
    <row r="138" spans="1:9" ht="20.100000000000001" customHeight="1" x14ac:dyDescent="0.15">
      <c r="A138" s="59" t="str">
        <f>IF(B138="","",SUBTOTAL(103, $B$6:B138))</f>
        <v/>
      </c>
      <c r="B138" s="59" t="str">
        <f>INDEX(Sheet1!$B:$B,ROWS($A$6:$A138)+1)&amp;""</f>
        <v/>
      </c>
      <c r="C138" s="66" t="str">
        <f>IF(INDEX(Sheet1!$N:$N,ROWS($A$6:$A138)+1)="","",INDEX(Sheet1!$N:$N,ROWS($A$6:$A138)+1))</f>
        <v/>
      </c>
      <c r="D138" s="63" t="str">
        <f>IF(INDEX(Sheet1!$T:$T,ROWS($A$6:$A138)+1)&lt;&gt;"", INDEX(Sheet1!$T:$T,ROWS($A$6:$A138)+1), IF(INDEX(Sheet1!$O:$O,ROWS($A$6:$A138)+1)&lt;&gt;"", INDEX(Sheet1!$O:$O,ROWS($A$6:$A138)+1), ""))</f>
        <v/>
      </c>
      <c r="E138" s="64" t="str">
        <f>INDEX(Sheet1!$Y:$Y,ROWS($A$6:$A138)+1)&amp;""</f>
        <v/>
      </c>
      <c r="F138" s="61" t="str">
        <f>INDEX(Sheet1!$AC:$AC,ROWS($A$6:$A138)+1)&amp;""</f>
        <v/>
      </c>
      <c r="G138" s="59" t="str">
        <f>IF(INDEX(Sheet1!$AM:$AM,ROWS($A$6:$A138)+1)&lt;&gt;"", "◯", "")</f>
        <v/>
      </c>
      <c r="H138" s="59" t="str">
        <f>IF(INDEX(Sheet1!$BA:$BA,ROWS($A$6:$A138)+1)&lt;&gt;"", "◯", "")</f>
        <v/>
      </c>
      <c r="I138" s="86"/>
    </row>
    <row r="139" spans="1:9" ht="20.100000000000001" customHeight="1" x14ac:dyDescent="0.15">
      <c r="A139" s="59" t="str">
        <f>IF(B139="","",SUBTOTAL(103, $B$6:B139))</f>
        <v/>
      </c>
      <c r="B139" s="59" t="str">
        <f>INDEX(Sheet1!$B:$B,ROWS($A$6:$A139)+1)&amp;""</f>
        <v/>
      </c>
      <c r="C139" s="66" t="str">
        <f>IF(INDEX(Sheet1!$N:$N,ROWS($A$6:$A139)+1)="","",INDEX(Sheet1!$N:$N,ROWS($A$6:$A139)+1))</f>
        <v/>
      </c>
      <c r="D139" s="63" t="str">
        <f>IF(INDEX(Sheet1!$T:$T,ROWS($A$6:$A139)+1)&lt;&gt;"", INDEX(Sheet1!$T:$T,ROWS($A$6:$A139)+1), IF(INDEX(Sheet1!$O:$O,ROWS($A$6:$A139)+1)&lt;&gt;"", INDEX(Sheet1!$O:$O,ROWS($A$6:$A139)+1), ""))</f>
        <v/>
      </c>
      <c r="E139" s="64" t="str">
        <f>INDEX(Sheet1!$Y:$Y,ROWS($A$6:$A139)+1)&amp;""</f>
        <v/>
      </c>
      <c r="F139" s="61" t="str">
        <f>INDEX(Sheet1!$AC:$AC,ROWS($A$6:$A139)+1)&amp;""</f>
        <v/>
      </c>
      <c r="G139" s="59" t="str">
        <f>IF(INDEX(Sheet1!$AM:$AM,ROWS($A$6:$A139)+1)&lt;&gt;"", "◯", "")</f>
        <v/>
      </c>
      <c r="H139" s="59" t="str">
        <f>IF(INDEX(Sheet1!$BA:$BA,ROWS($A$6:$A139)+1)&lt;&gt;"", "◯", "")</f>
        <v/>
      </c>
      <c r="I139" s="86"/>
    </row>
    <row r="140" spans="1:9" ht="20.100000000000001" customHeight="1" x14ac:dyDescent="0.15">
      <c r="A140" s="59" t="str">
        <f>IF(B140="","",SUBTOTAL(103, $B$6:B140))</f>
        <v/>
      </c>
      <c r="B140" s="59" t="str">
        <f>INDEX(Sheet1!$B:$B,ROWS($A$6:$A140)+1)&amp;""</f>
        <v/>
      </c>
      <c r="C140" s="66" t="str">
        <f>IF(INDEX(Sheet1!$N:$N,ROWS($A$6:$A140)+1)="","",INDEX(Sheet1!$N:$N,ROWS($A$6:$A140)+1))</f>
        <v/>
      </c>
      <c r="D140" s="63" t="str">
        <f>IF(INDEX(Sheet1!$T:$T,ROWS($A$6:$A140)+1)&lt;&gt;"", INDEX(Sheet1!$T:$T,ROWS($A$6:$A140)+1), IF(INDEX(Sheet1!$O:$O,ROWS($A$6:$A140)+1)&lt;&gt;"", INDEX(Sheet1!$O:$O,ROWS($A$6:$A140)+1), ""))</f>
        <v/>
      </c>
      <c r="E140" s="64" t="str">
        <f>INDEX(Sheet1!$Y:$Y,ROWS($A$6:$A140)+1)&amp;""</f>
        <v/>
      </c>
      <c r="F140" s="61" t="str">
        <f>INDEX(Sheet1!$AC:$AC,ROWS($A$6:$A140)+1)&amp;""</f>
        <v/>
      </c>
      <c r="G140" s="59" t="str">
        <f>IF(INDEX(Sheet1!$AM:$AM,ROWS($A$6:$A140)+1)&lt;&gt;"", "◯", "")</f>
        <v/>
      </c>
      <c r="H140" s="59" t="str">
        <f>IF(INDEX(Sheet1!$BA:$BA,ROWS($A$6:$A140)+1)&lt;&gt;"", "◯", "")</f>
        <v/>
      </c>
      <c r="I140" s="86"/>
    </row>
    <row r="141" spans="1:9" ht="20.100000000000001" customHeight="1" x14ac:dyDescent="0.15">
      <c r="A141" s="59" t="str">
        <f>IF(B141="","",SUBTOTAL(103, $B$6:B141))</f>
        <v/>
      </c>
      <c r="B141" s="59" t="str">
        <f>INDEX(Sheet1!$B:$B,ROWS($A$6:$A141)+1)&amp;""</f>
        <v/>
      </c>
      <c r="C141" s="66" t="str">
        <f>IF(INDEX(Sheet1!$N:$N,ROWS($A$6:$A141)+1)="","",INDEX(Sheet1!$N:$N,ROWS($A$6:$A141)+1))</f>
        <v/>
      </c>
      <c r="D141" s="63" t="str">
        <f>IF(INDEX(Sheet1!$T:$T,ROWS($A$6:$A141)+1)&lt;&gt;"", INDEX(Sheet1!$T:$T,ROWS($A$6:$A141)+1), IF(INDEX(Sheet1!$O:$O,ROWS($A$6:$A141)+1)&lt;&gt;"", INDEX(Sheet1!$O:$O,ROWS($A$6:$A141)+1), ""))</f>
        <v/>
      </c>
      <c r="E141" s="64" t="str">
        <f>INDEX(Sheet1!$Y:$Y,ROWS($A$6:$A141)+1)&amp;""</f>
        <v/>
      </c>
      <c r="F141" s="61" t="str">
        <f>INDEX(Sheet1!$AC:$AC,ROWS($A$6:$A141)+1)&amp;""</f>
        <v/>
      </c>
      <c r="G141" s="59" t="str">
        <f>IF(INDEX(Sheet1!$AM:$AM,ROWS($A$6:$A141)+1)&lt;&gt;"", "◯", "")</f>
        <v/>
      </c>
      <c r="H141" s="59" t="str">
        <f>IF(INDEX(Sheet1!$BA:$BA,ROWS($A$6:$A141)+1)&lt;&gt;"", "◯", "")</f>
        <v/>
      </c>
      <c r="I141" s="86"/>
    </row>
    <row r="142" spans="1:9" ht="20.100000000000001" customHeight="1" x14ac:dyDescent="0.15">
      <c r="A142" s="59" t="str">
        <f>IF(B142="","",SUBTOTAL(103, $B$6:B142))</f>
        <v/>
      </c>
      <c r="B142" s="59" t="str">
        <f>INDEX(Sheet1!$B:$B,ROWS($A$6:$A142)+1)&amp;""</f>
        <v/>
      </c>
      <c r="C142" s="66" t="str">
        <f>IF(INDEX(Sheet1!$N:$N,ROWS($A$6:$A142)+1)="","",INDEX(Sheet1!$N:$N,ROWS($A$6:$A142)+1))</f>
        <v/>
      </c>
      <c r="D142" s="63" t="str">
        <f>IF(INDEX(Sheet1!$T:$T,ROWS($A$6:$A142)+1)&lt;&gt;"", INDEX(Sheet1!$T:$T,ROWS($A$6:$A142)+1), IF(INDEX(Sheet1!$O:$O,ROWS($A$6:$A142)+1)&lt;&gt;"", INDEX(Sheet1!$O:$O,ROWS($A$6:$A142)+1), ""))</f>
        <v/>
      </c>
      <c r="E142" s="64" t="str">
        <f>INDEX(Sheet1!$Y:$Y,ROWS($A$6:$A142)+1)&amp;""</f>
        <v/>
      </c>
      <c r="F142" s="61" t="str">
        <f>INDEX(Sheet1!$AC:$AC,ROWS($A$6:$A142)+1)&amp;""</f>
        <v/>
      </c>
      <c r="G142" s="59" t="str">
        <f>IF(INDEX(Sheet1!$AM:$AM,ROWS($A$6:$A142)+1)&lt;&gt;"", "◯", "")</f>
        <v/>
      </c>
      <c r="H142" s="59" t="str">
        <f>IF(INDEX(Sheet1!$BA:$BA,ROWS($A$6:$A142)+1)&lt;&gt;"", "◯", "")</f>
        <v/>
      </c>
      <c r="I142" s="86"/>
    </row>
    <row r="143" spans="1:9" ht="20.100000000000001" customHeight="1" x14ac:dyDescent="0.15">
      <c r="A143" s="59" t="str">
        <f>IF(B143="","",SUBTOTAL(103, $B$6:B143))</f>
        <v/>
      </c>
      <c r="B143" s="59" t="str">
        <f>INDEX(Sheet1!$B:$B,ROWS($A$6:$A143)+1)&amp;""</f>
        <v/>
      </c>
      <c r="C143" s="66" t="str">
        <f>IF(INDEX(Sheet1!$N:$N,ROWS($A$6:$A143)+1)="","",INDEX(Sheet1!$N:$N,ROWS($A$6:$A143)+1))</f>
        <v/>
      </c>
      <c r="D143" s="63" t="str">
        <f>IF(INDEX(Sheet1!$T:$T,ROWS($A$6:$A143)+1)&lt;&gt;"", INDEX(Sheet1!$T:$T,ROWS($A$6:$A143)+1), IF(INDEX(Sheet1!$O:$O,ROWS($A$6:$A143)+1)&lt;&gt;"", INDEX(Sheet1!$O:$O,ROWS($A$6:$A143)+1), ""))</f>
        <v/>
      </c>
      <c r="E143" s="64" t="str">
        <f>INDEX(Sheet1!$Y:$Y,ROWS($A$6:$A143)+1)&amp;""</f>
        <v/>
      </c>
      <c r="F143" s="61" t="str">
        <f>INDEX(Sheet1!$AC:$AC,ROWS($A$6:$A143)+1)&amp;""</f>
        <v/>
      </c>
      <c r="G143" s="59" t="str">
        <f>IF(INDEX(Sheet1!$AM:$AM,ROWS($A$6:$A143)+1)&lt;&gt;"", "◯", "")</f>
        <v/>
      </c>
      <c r="H143" s="59" t="str">
        <f>IF(INDEX(Sheet1!$BA:$BA,ROWS($A$6:$A143)+1)&lt;&gt;"", "◯", "")</f>
        <v/>
      </c>
      <c r="I143" s="86"/>
    </row>
    <row r="144" spans="1:9" ht="20.100000000000001" customHeight="1" x14ac:dyDescent="0.15">
      <c r="A144" s="59" t="str">
        <f>IF(B144="","",SUBTOTAL(103, $B$6:B144))</f>
        <v/>
      </c>
      <c r="B144" s="59" t="str">
        <f>INDEX(Sheet1!$B:$B,ROWS($A$6:$A144)+1)&amp;""</f>
        <v/>
      </c>
      <c r="C144" s="66" t="str">
        <f>IF(INDEX(Sheet1!$N:$N,ROWS($A$6:$A144)+1)="","",INDEX(Sheet1!$N:$N,ROWS($A$6:$A144)+1))</f>
        <v/>
      </c>
      <c r="D144" s="63" t="str">
        <f>IF(INDEX(Sheet1!$T:$T,ROWS($A$6:$A144)+1)&lt;&gt;"", INDEX(Sheet1!$T:$T,ROWS($A$6:$A144)+1), IF(INDEX(Sheet1!$O:$O,ROWS($A$6:$A144)+1)&lt;&gt;"", INDEX(Sheet1!$O:$O,ROWS($A$6:$A144)+1), ""))</f>
        <v/>
      </c>
      <c r="E144" s="64" t="str">
        <f>INDEX(Sheet1!$Y:$Y,ROWS($A$6:$A144)+1)&amp;""</f>
        <v/>
      </c>
      <c r="F144" s="61" t="str">
        <f>INDEX(Sheet1!$AC:$AC,ROWS($A$6:$A144)+1)&amp;""</f>
        <v/>
      </c>
      <c r="G144" s="59" t="str">
        <f>IF(INDEX(Sheet1!$AM:$AM,ROWS($A$6:$A144)+1)&lt;&gt;"", "◯", "")</f>
        <v/>
      </c>
      <c r="H144" s="59" t="str">
        <f>IF(INDEX(Sheet1!$BA:$BA,ROWS($A$6:$A144)+1)&lt;&gt;"", "◯", "")</f>
        <v/>
      </c>
      <c r="I144" s="86"/>
    </row>
    <row r="145" spans="1:9" ht="20.100000000000001" customHeight="1" x14ac:dyDescent="0.15">
      <c r="A145" s="59" t="str">
        <f>IF(B145="","",SUBTOTAL(103, $B$6:B145))</f>
        <v/>
      </c>
      <c r="B145" s="59" t="str">
        <f>INDEX(Sheet1!$B:$B,ROWS($A$6:$A145)+1)&amp;""</f>
        <v/>
      </c>
      <c r="C145" s="66" t="str">
        <f>IF(INDEX(Sheet1!$N:$N,ROWS($A$6:$A145)+1)="","",INDEX(Sheet1!$N:$N,ROWS($A$6:$A145)+1))</f>
        <v/>
      </c>
      <c r="D145" s="63" t="str">
        <f>IF(INDEX(Sheet1!$T:$T,ROWS($A$6:$A145)+1)&lt;&gt;"", INDEX(Sheet1!$T:$T,ROWS($A$6:$A145)+1), IF(INDEX(Sheet1!$O:$O,ROWS($A$6:$A145)+1)&lt;&gt;"", INDEX(Sheet1!$O:$O,ROWS($A$6:$A145)+1), ""))</f>
        <v/>
      </c>
      <c r="E145" s="64" t="str">
        <f>INDEX(Sheet1!$Y:$Y,ROWS($A$6:$A145)+1)&amp;""</f>
        <v/>
      </c>
      <c r="F145" s="61" t="str">
        <f>INDEX(Sheet1!$AC:$AC,ROWS($A$6:$A145)+1)&amp;""</f>
        <v/>
      </c>
      <c r="G145" s="59" t="str">
        <f>IF(INDEX(Sheet1!$AM:$AM,ROWS($A$6:$A145)+1)&lt;&gt;"", "◯", "")</f>
        <v/>
      </c>
      <c r="H145" s="59" t="str">
        <f>IF(INDEX(Sheet1!$BA:$BA,ROWS($A$6:$A145)+1)&lt;&gt;"", "◯", "")</f>
        <v/>
      </c>
      <c r="I145" s="86"/>
    </row>
    <row r="146" spans="1:9" ht="20.100000000000001" customHeight="1" x14ac:dyDescent="0.15">
      <c r="A146" s="59" t="str">
        <f>IF(B146="","",SUBTOTAL(103, $B$6:B146))</f>
        <v/>
      </c>
      <c r="B146" s="59" t="str">
        <f>INDEX(Sheet1!$B:$B,ROWS($A$6:$A146)+1)&amp;""</f>
        <v/>
      </c>
      <c r="C146" s="66" t="str">
        <f>IF(INDEX(Sheet1!$N:$N,ROWS($A$6:$A146)+1)="","",INDEX(Sheet1!$N:$N,ROWS($A$6:$A146)+1))</f>
        <v/>
      </c>
      <c r="D146" s="63" t="str">
        <f>IF(INDEX(Sheet1!$T:$T,ROWS($A$6:$A146)+1)&lt;&gt;"", INDEX(Sheet1!$T:$T,ROWS($A$6:$A146)+1), IF(INDEX(Sheet1!$O:$O,ROWS($A$6:$A146)+1)&lt;&gt;"", INDEX(Sheet1!$O:$O,ROWS($A$6:$A146)+1), ""))</f>
        <v/>
      </c>
      <c r="E146" s="64" t="str">
        <f>INDEX(Sheet1!$Y:$Y,ROWS($A$6:$A146)+1)&amp;""</f>
        <v/>
      </c>
      <c r="F146" s="61" t="str">
        <f>INDEX(Sheet1!$AC:$AC,ROWS($A$6:$A146)+1)&amp;""</f>
        <v/>
      </c>
      <c r="G146" s="59" t="str">
        <f>IF(INDEX(Sheet1!$AM:$AM,ROWS($A$6:$A146)+1)&lt;&gt;"", "◯", "")</f>
        <v/>
      </c>
      <c r="H146" s="59" t="str">
        <f>IF(INDEX(Sheet1!$BA:$BA,ROWS($A$6:$A146)+1)&lt;&gt;"", "◯", "")</f>
        <v/>
      </c>
      <c r="I146" s="86"/>
    </row>
    <row r="147" spans="1:9" ht="20.100000000000001" customHeight="1" x14ac:dyDescent="0.15">
      <c r="A147" s="59" t="str">
        <f>IF(B147="","",SUBTOTAL(103, $B$6:B147))</f>
        <v/>
      </c>
      <c r="B147" s="59" t="str">
        <f>INDEX(Sheet1!$B:$B,ROWS($A$6:$A147)+1)&amp;""</f>
        <v/>
      </c>
      <c r="C147" s="66" t="str">
        <f>IF(INDEX(Sheet1!$N:$N,ROWS($A$6:$A147)+1)="","",INDEX(Sheet1!$N:$N,ROWS($A$6:$A147)+1))</f>
        <v/>
      </c>
      <c r="D147" s="63" t="str">
        <f>IF(INDEX(Sheet1!$T:$T,ROWS($A$6:$A147)+1)&lt;&gt;"", INDEX(Sheet1!$T:$T,ROWS($A$6:$A147)+1), IF(INDEX(Sheet1!$O:$O,ROWS($A$6:$A147)+1)&lt;&gt;"", INDEX(Sheet1!$O:$O,ROWS($A$6:$A147)+1), ""))</f>
        <v/>
      </c>
      <c r="E147" s="64" t="str">
        <f>INDEX(Sheet1!$Y:$Y,ROWS($A$6:$A147)+1)&amp;""</f>
        <v/>
      </c>
      <c r="F147" s="61" t="str">
        <f>INDEX(Sheet1!$AC:$AC,ROWS($A$6:$A147)+1)&amp;""</f>
        <v/>
      </c>
      <c r="G147" s="59" t="str">
        <f>IF(INDEX(Sheet1!$AM:$AM,ROWS($A$6:$A147)+1)&lt;&gt;"", "◯", "")</f>
        <v/>
      </c>
      <c r="H147" s="59" t="str">
        <f>IF(INDEX(Sheet1!$BA:$BA,ROWS($A$6:$A147)+1)&lt;&gt;"", "◯", "")</f>
        <v/>
      </c>
      <c r="I147" s="86"/>
    </row>
    <row r="148" spans="1:9" ht="20.100000000000001" customHeight="1" x14ac:dyDescent="0.15">
      <c r="A148" s="59" t="str">
        <f>IF(B148="","",SUBTOTAL(103, $B$6:B148))</f>
        <v/>
      </c>
      <c r="B148" s="59" t="str">
        <f>INDEX(Sheet1!$B:$B,ROWS($A$6:$A148)+1)&amp;""</f>
        <v/>
      </c>
      <c r="C148" s="66" t="str">
        <f>IF(INDEX(Sheet1!$N:$N,ROWS($A$6:$A148)+1)="","",INDEX(Sheet1!$N:$N,ROWS($A$6:$A148)+1))</f>
        <v/>
      </c>
      <c r="D148" s="63" t="str">
        <f>IF(INDEX(Sheet1!$T:$T,ROWS($A$6:$A148)+1)&lt;&gt;"", INDEX(Sheet1!$T:$T,ROWS($A$6:$A148)+1), IF(INDEX(Sheet1!$O:$O,ROWS($A$6:$A148)+1)&lt;&gt;"", INDEX(Sheet1!$O:$O,ROWS($A$6:$A148)+1), ""))</f>
        <v/>
      </c>
      <c r="E148" s="64" t="str">
        <f>INDEX(Sheet1!$Y:$Y,ROWS($A$6:$A148)+1)&amp;""</f>
        <v/>
      </c>
      <c r="F148" s="61" t="str">
        <f>INDEX(Sheet1!$AC:$AC,ROWS($A$6:$A148)+1)&amp;""</f>
        <v/>
      </c>
      <c r="G148" s="59" t="str">
        <f>IF(INDEX(Sheet1!$AM:$AM,ROWS($A$6:$A148)+1)&lt;&gt;"", "◯", "")</f>
        <v/>
      </c>
      <c r="H148" s="59" t="str">
        <f>IF(INDEX(Sheet1!$BA:$BA,ROWS($A$6:$A148)+1)&lt;&gt;"", "◯", "")</f>
        <v/>
      </c>
      <c r="I148" s="86"/>
    </row>
    <row r="149" spans="1:9" ht="20.100000000000001" customHeight="1" x14ac:dyDescent="0.15">
      <c r="A149" s="59" t="str">
        <f>IF(B149="","",SUBTOTAL(103, $B$6:B149))</f>
        <v/>
      </c>
      <c r="B149" s="59" t="str">
        <f>INDEX(Sheet1!$B:$B,ROWS($A$6:$A149)+1)&amp;""</f>
        <v/>
      </c>
      <c r="C149" s="66" t="str">
        <f>IF(INDEX(Sheet1!$N:$N,ROWS($A$6:$A149)+1)="","",INDEX(Sheet1!$N:$N,ROWS($A$6:$A149)+1))</f>
        <v/>
      </c>
      <c r="D149" s="63" t="str">
        <f>IF(INDEX(Sheet1!$T:$T,ROWS($A$6:$A149)+1)&lt;&gt;"", INDEX(Sheet1!$T:$T,ROWS($A$6:$A149)+1), IF(INDEX(Sheet1!$O:$O,ROWS($A$6:$A149)+1)&lt;&gt;"", INDEX(Sheet1!$O:$O,ROWS($A$6:$A149)+1), ""))</f>
        <v/>
      </c>
      <c r="E149" s="64" t="str">
        <f>INDEX(Sheet1!$Y:$Y,ROWS($A$6:$A149)+1)&amp;""</f>
        <v/>
      </c>
      <c r="F149" s="61" t="str">
        <f>INDEX(Sheet1!$AC:$AC,ROWS($A$6:$A149)+1)&amp;""</f>
        <v/>
      </c>
      <c r="G149" s="59" t="str">
        <f>IF(INDEX(Sheet1!$AM:$AM,ROWS($A$6:$A149)+1)&lt;&gt;"", "◯", "")</f>
        <v/>
      </c>
      <c r="H149" s="59" t="str">
        <f>IF(INDEX(Sheet1!$BA:$BA,ROWS($A$6:$A149)+1)&lt;&gt;"", "◯", "")</f>
        <v/>
      </c>
      <c r="I149" s="86"/>
    </row>
    <row r="150" spans="1:9" ht="20.100000000000001" customHeight="1" x14ac:dyDescent="0.15">
      <c r="A150" s="59" t="str">
        <f>IF(B150="","",SUBTOTAL(103, $B$6:B150))</f>
        <v/>
      </c>
      <c r="B150" s="59" t="str">
        <f>INDEX(Sheet1!$B:$B,ROWS($A$6:$A150)+1)&amp;""</f>
        <v/>
      </c>
      <c r="C150" s="66" t="str">
        <f>IF(INDEX(Sheet1!$N:$N,ROWS($A$6:$A150)+1)="","",INDEX(Sheet1!$N:$N,ROWS($A$6:$A150)+1))</f>
        <v/>
      </c>
      <c r="D150" s="63" t="str">
        <f>IF(INDEX(Sheet1!$T:$T,ROWS($A$6:$A150)+1)&lt;&gt;"", INDEX(Sheet1!$T:$T,ROWS($A$6:$A150)+1), IF(INDEX(Sheet1!$O:$O,ROWS($A$6:$A150)+1)&lt;&gt;"", INDEX(Sheet1!$O:$O,ROWS($A$6:$A150)+1), ""))</f>
        <v/>
      </c>
      <c r="E150" s="64" t="str">
        <f>INDEX(Sheet1!$Y:$Y,ROWS($A$6:$A150)+1)&amp;""</f>
        <v/>
      </c>
      <c r="F150" s="61" t="str">
        <f>INDEX(Sheet1!$AC:$AC,ROWS($A$6:$A150)+1)&amp;""</f>
        <v/>
      </c>
      <c r="G150" s="59" t="str">
        <f>IF(INDEX(Sheet1!$AM:$AM,ROWS($A$6:$A150)+1)&lt;&gt;"", "◯", "")</f>
        <v/>
      </c>
      <c r="H150" s="59" t="str">
        <f>IF(INDEX(Sheet1!$BA:$BA,ROWS($A$6:$A150)+1)&lt;&gt;"", "◯", "")</f>
        <v/>
      </c>
      <c r="I150" s="86"/>
    </row>
    <row r="151" spans="1:9" ht="20.100000000000001" customHeight="1" x14ac:dyDescent="0.15">
      <c r="A151" s="59" t="str">
        <f>IF(B151="","",SUBTOTAL(103, $B$6:B151))</f>
        <v/>
      </c>
      <c r="B151" s="59" t="str">
        <f>INDEX(Sheet1!$B:$B,ROWS($A$6:$A151)+1)&amp;""</f>
        <v/>
      </c>
      <c r="C151" s="66" t="str">
        <f>IF(INDEX(Sheet1!$N:$N,ROWS($A$6:$A151)+1)="","",INDEX(Sheet1!$N:$N,ROWS($A$6:$A151)+1))</f>
        <v/>
      </c>
      <c r="D151" s="63" t="str">
        <f>IF(INDEX(Sheet1!$T:$T,ROWS($A$6:$A151)+1)&lt;&gt;"", INDEX(Sheet1!$T:$T,ROWS($A$6:$A151)+1), IF(INDEX(Sheet1!$O:$O,ROWS($A$6:$A151)+1)&lt;&gt;"", INDEX(Sheet1!$O:$O,ROWS($A$6:$A151)+1), ""))</f>
        <v/>
      </c>
      <c r="E151" s="64" t="str">
        <f>INDEX(Sheet1!$Y:$Y,ROWS($A$6:$A151)+1)&amp;""</f>
        <v/>
      </c>
      <c r="F151" s="61" t="str">
        <f>INDEX(Sheet1!$AC:$AC,ROWS($A$6:$A151)+1)&amp;""</f>
        <v/>
      </c>
      <c r="G151" s="59" t="str">
        <f>IF(INDEX(Sheet1!$AM:$AM,ROWS($A$6:$A151)+1)&lt;&gt;"", "◯", "")</f>
        <v/>
      </c>
      <c r="H151" s="59" t="str">
        <f>IF(INDEX(Sheet1!$BA:$BA,ROWS($A$6:$A151)+1)&lt;&gt;"", "◯", "")</f>
        <v/>
      </c>
      <c r="I151" s="86"/>
    </row>
    <row r="152" spans="1:9" ht="20.100000000000001" customHeight="1" x14ac:dyDescent="0.15">
      <c r="A152" s="59" t="str">
        <f>IF(B152="","",SUBTOTAL(103, $B$6:B152))</f>
        <v/>
      </c>
      <c r="B152" s="59" t="str">
        <f>INDEX(Sheet1!$B:$B,ROWS($A$6:$A152)+1)&amp;""</f>
        <v/>
      </c>
      <c r="C152" s="66" t="str">
        <f>IF(INDEX(Sheet1!$N:$N,ROWS($A$6:$A152)+1)="","",INDEX(Sheet1!$N:$N,ROWS($A$6:$A152)+1))</f>
        <v/>
      </c>
      <c r="D152" s="63" t="str">
        <f>IF(INDEX(Sheet1!$T:$T,ROWS($A$6:$A152)+1)&lt;&gt;"", INDEX(Sheet1!$T:$T,ROWS($A$6:$A152)+1), IF(INDEX(Sheet1!$O:$O,ROWS($A$6:$A152)+1)&lt;&gt;"", INDEX(Sheet1!$O:$O,ROWS($A$6:$A152)+1), ""))</f>
        <v/>
      </c>
      <c r="E152" s="64" t="str">
        <f>INDEX(Sheet1!$Y:$Y,ROWS($A$6:$A152)+1)&amp;""</f>
        <v/>
      </c>
      <c r="F152" s="61" t="str">
        <f>INDEX(Sheet1!$AC:$AC,ROWS($A$6:$A152)+1)&amp;""</f>
        <v/>
      </c>
      <c r="G152" s="59" t="str">
        <f>IF(INDEX(Sheet1!$AM:$AM,ROWS($A$6:$A152)+1)&lt;&gt;"", "◯", "")</f>
        <v/>
      </c>
      <c r="H152" s="59" t="str">
        <f>IF(INDEX(Sheet1!$BA:$BA,ROWS($A$6:$A152)+1)&lt;&gt;"", "◯", "")</f>
        <v/>
      </c>
      <c r="I152" s="86"/>
    </row>
    <row r="153" spans="1:9" ht="20.100000000000001" customHeight="1" x14ac:dyDescent="0.15">
      <c r="A153" s="59" t="str">
        <f>IF(B153="","",SUBTOTAL(103, $B$6:B153))</f>
        <v/>
      </c>
      <c r="B153" s="59" t="str">
        <f>INDEX(Sheet1!$B:$B,ROWS($A$6:$A153)+1)&amp;""</f>
        <v/>
      </c>
      <c r="C153" s="66" t="str">
        <f>IF(INDEX(Sheet1!$N:$N,ROWS($A$6:$A153)+1)="","",INDEX(Sheet1!$N:$N,ROWS($A$6:$A153)+1))</f>
        <v/>
      </c>
      <c r="D153" s="63" t="str">
        <f>IF(INDEX(Sheet1!$T:$T,ROWS($A$6:$A153)+1)&lt;&gt;"", INDEX(Sheet1!$T:$T,ROWS($A$6:$A153)+1), IF(INDEX(Sheet1!$O:$O,ROWS($A$6:$A153)+1)&lt;&gt;"", INDEX(Sheet1!$O:$O,ROWS($A$6:$A153)+1), ""))</f>
        <v/>
      </c>
      <c r="E153" s="64" t="str">
        <f>INDEX(Sheet1!$Y:$Y,ROWS($A$6:$A153)+1)&amp;""</f>
        <v/>
      </c>
      <c r="F153" s="61" t="str">
        <f>INDEX(Sheet1!$AC:$AC,ROWS($A$6:$A153)+1)&amp;""</f>
        <v/>
      </c>
      <c r="G153" s="59" t="str">
        <f>IF(INDEX(Sheet1!$AM:$AM,ROWS($A$6:$A153)+1)&lt;&gt;"", "◯", "")</f>
        <v/>
      </c>
      <c r="H153" s="59" t="str">
        <f>IF(INDEX(Sheet1!$BA:$BA,ROWS($A$6:$A153)+1)&lt;&gt;"", "◯", "")</f>
        <v/>
      </c>
      <c r="I153" s="86"/>
    </row>
    <row r="154" spans="1:9" ht="20.100000000000001" customHeight="1" x14ac:dyDescent="0.15">
      <c r="A154" s="59" t="str">
        <f>IF(B154="","",SUBTOTAL(103, $B$6:B154))</f>
        <v/>
      </c>
      <c r="B154" s="59" t="str">
        <f>INDEX(Sheet1!$B:$B,ROWS($A$6:$A154)+1)&amp;""</f>
        <v/>
      </c>
      <c r="C154" s="66" t="str">
        <f>IF(INDEX(Sheet1!$N:$N,ROWS($A$6:$A154)+1)="","",INDEX(Sheet1!$N:$N,ROWS($A$6:$A154)+1))</f>
        <v/>
      </c>
      <c r="D154" s="63" t="str">
        <f>IF(INDEX(Sheet1!$T:$T,ROWS($A$6:$A154)+1)&lt;&gt;"", INDEX(Sheet1!$T:$T,ROWS($A$6:$A154)+1), IF(INDEX(Sheet1!$O:$O,ROWS($A$6:$A154)+1)&lt;&gt;"", INDEX(Sheet1!$O:$O,ROWS($A$6:$A154)+1), ""))</f>
        <v/>
      </c>
      <c r="E154" s="64" t="str">
        <f>INDEX(Sheet1!$Y:$Y,ROWS($A$6:$A154)+1)&amp;""</f>
        <v/>
      </c>
      <c r="F154" s="61" t="str">
        <f>INDEX(Sheet1!$AC:$AC,ROWS($A$6:$A154)+1)&amp;""</f>
        <v/>
      </c>
      <c r="G154" s="59" t="str">
        <f>IF(INDEX(Sheet1!$AM:$AM,ROWS($A$6:$A154)+1)&lt;&gt;"", "◯", "")</f>
        <v/>
      </c>
      <c r="H154" s="59" t="str">
        <f>IF(INDEX(Sheet1!$BA:$BA,ROWS($A$6:$A154)+1)&lt;&gt;"", "◯", "")</f>
        <v/>
      </c>
      <c r="I154" s="86"/>
    </row>
    <row r="155" spans="1:9" ht="20.100000000000001" customHeight="1" x14ac:dyDescent="0.15">
      <c r="A155" s="59" t="str">
        <f>IF(B155="","",SUBTOTAL(103, $B$6:B155))</f>
        <v/>
      </c>
      <c r="B155" s="59" t="str">
        <f>INDEX(Sheet1!$B:$B,ROWS($A$6:$A155)+1)&amp;""</f>
        <v/>
      </c>
      <c r="C155" s="66" t="str">
        <f>IF(INDEX(Sheet1!$N:$N,ROWS($A$6:$A155)+1)="","",INDEX(Sheet1!$N:$N,ROWS($A$6:$A155)+1))</f>
        <v/>
      </c>
      <c r="D155" s="63" t="str">
        <f>IF(INDEX(Sheet1!$T:$T,ROWS($A$6:$A155)+1)&lt;&gt;"", INDEX(Sheet1!$T:$T,ROWS($A$6:$A155)+1), IF(INDEX(Sheet1!$O:$O,ROWS($A$6:$A155)+1)&lt;&gt;"", INDEX(Sheet1!$O:$O,ROWS($A$6:$A155)+1), ""))</f>
        <v/>
      </c>
      <c r="E155" s="64" t="str">
        <f>INDEX(Sheet1!$Y:$Y,ROWS($A$6:$A155)+1)&amp;""</f>
        <v/>
      </c>
      <c r="F155" s="61" t="str">
        <f>INDEX(Sheet1!$AC:$AC,ROWS($A$6:$A155)+1)&amp;""</f>
        <v/>
      </c>
      <c r="G155" s="59" t="str">
        <f>IF(INDEX(Sheet1!$AM:$AM,ROWS($A$6:$A155)+1)&lt;&gt;"", "◯", "")</f>
        <v/>
      </c>
      <c r="H155" s="59" t="str">
        <f>IF(INDEX(Sheet1!$BA:$BA,ROWS($A$6:$A155)+1)&lt;&gt;"", "◯", "")</f>
        <v/>
      </c>
      <c r="I155" s="86"/>
    </row>
  </sheetData>
  <sheetProtection sheet="1" objects="1" scenarios="1" formatColumns="0" formatRows="0"/>
  <mergeCells count="7">
    <mergeCell ref="I4:I5"/>
    <mergeCell ref="B4:B5"/>
    <mergeCell ref="C4:C5"/>
    <mergeCell ref="A4:A5"/>
    <mergeCell ref="F4:F5"/>
    <mergeCell ref="E4:E5"/>
    <mergeCell ref="D4:D5"/>
  </mergeCells>
  <phoneticPr fontId="5"/>
  <printOptions horizontalCentered="1"/>
  <pageMargins left="0" right="0" top="0" bottom="0.59055118110236227" header="0" footer="0"/>
  <pageSetup paperSize="9" scale="79" fitToHeight="0" orientation="portrait" r:id="rId1"/>
  <headerFooter>
    <oddFooter>&amp;RNo.&amp;P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03"/>
  <sheetViews>
    <sheetView zoomScaleNormal="100" zoomScaleSheetLayoutView="100" workbookViewId="0">
      <selection activeCell="H22" sqref="H22"/>
    </sheetView>
  </sheetViews>
  <sheetFormatPr defaultColWidth="9" defaultRowHeight="14.25" x14ac:dyDescent="0.15"/>
  <cols>
    <col min="1" max="1" width="28.625" style="67" customWidth="1"/>
    <col min="2" max="2" width="13.625" style="67" customWidth="1"/>
    <col min="3" max="3" width="9.625" style="79" customWidth="1"/>
    <col min="4" max="4" width="10.625" style="67" customWidth="1"/>
    <col min="5" max="5" width="9.625" style="67" customWidth="1"/>
    <col min="6" max="6" width="11.625" style="67" customWidth="1"/>
    <col min="7" max="7" width="11" style="67" bestFit="1" customWidth="1"/>
    <col min="8" max="8" width="18.625" style="67" customWidth="1"/>
    <col min="9" max="9" width="11" style="67" bestFit="1" customWidth="1"/>
    <col min="10" max="10" width="11.75" style="67" customWidth="1"/>
    <col min="11" max="12" width="9" style="67" customWidth="1"/>
    <col min="13" max="16384" width="9" style="67"/>
  </cols>
  <sheetData>
    <row r="1" spans="1:12" ht="15.95" customHeight="1" x14ac:dyDescent="0.15"/>
    <row r="2" spans="1:12" ht="15.95" customHeight="1" x14ac:dyDescent="0.15">
      <c r="A2" s="67" t="s">
        <v>220</v>
      </c>
      <c r="B2" s="68"/>
      <c r="C2" s="70"/>
      <c r="D2" s="68"/>
      <c r="E2" s="68"/>
      <c r="F2" s="68"/>
      <c r="G2" s="68"/>
      <c r="H2" s="69"/>
      <c r="L2"/>
    </row>
    <row r="3" spans="1:12" x14ac:dyDescent="0.15">
      <c r="B3" s="281" t="s">
        <v>215</v>
      </c>
      <c r="C3" s="282"/>
      <c r="D3" s="283"/>
      <c r="E3" s="283"/>
      <c r="F3" s="283"/>
      <c r="G3" s="283"/>
      <c r="H3" s="89" t="s">
        <v>188</v>
      </c>
      <c r="L3"/>
    </row>
    <row r="4" spans="1:12" x14ac:dyDescent="0.15">
      <c r="A4" s="275" t="s">
        <v>219</v>
      </c>
      <c r="B4" s="283"/>
      <c r="C4" s="282"/>
      <c r="D4" s="283"/>
      <c r="E4" s="283"/>
      <c r="F4" s="283"/>
      <c r="G4" s="283"/>
      <c r="H4" s="89" t="s">
        <v>189</v>
      </c>
      <c r="L4"/>
    </row>
    <row r="5" spans="1:12" x14ac:dyDescent="0.15">
      <c r="A5" s="199"/>
      <c r="B5" s="189"/>
      <c r="C5" s="189"/>
      <c r="D5" s="189"/>
      <c r="E5" s="189"/>
      <c r="F5" s="189"/>
      <c r="G5" s="189"/>
      <c r="H5" s="89" t="s">
        <v>190</v>
      </c>
      <c r="J5" s="72"/>
      <c r="L5"/>
    </row>
    <row r="6" spans="1:12" x14ac:dyDescent="0.15">
      <c r="A6" s="278" t="s">
        <v>0</v>
      </c>
      <c r="B6" s="278" t="s">
        <v>165</v>
      </c>
      <c r="C6" s="278" t="s">
        <v>2</v>
      </c>
      <c r="D6" s="278" t="s">
        <v>3</v>
      </c>
      <c r="E6" s="278" t="s">
        <v>4</v>
      </c>
      <c r="F6" s="171"/>
      <c r="G6" s="172"/>
      <c r="H6" s="278" t="s">
        <v>5</v>
      </c>
      <c r="I6" s="172"/>
      <c r="J6" s="278" t="s">
        <v>6</v>
      </c>
      <c r="L6"/>
    </row>
    <row r="7" spans="1:12" ht="14.25" customHeight="1" x14ac:dyDescent="0.15">
      <c r="A7" s="279"/>
      <c r="B7" s="277"/>
      <c r="C7" s="277"/>
      <c r="D7" s="277"/>
      <c r="E7" s="276" t="s">
        <v>7</v>
      </c>
      <c r="F7" s="276" t="s">
        <v>8</v>
      </c>
      <c r="G7" s="276" t="s">
        <v>9</v>
      </c>
      <c r="H7" s="276" t="s">
        <v>10</v>
      </c>
      <c r="I7" s="276" t="s">
        <v>11</v>
      </c>
      <c r="J7" s="277"/>
      <c r="L7"/>
    </row>
    <row r="8" spans="1:12" x14ac:dyDescent="0.15">
      <c r="A8" s="279"/>
      <c r="B8" s="277"/>
      <c r="C8" s="277"/>
      <c r="D8" s="277"/>
      <c r="E8" s="277"/>
      <c r="F8" s="277"/>
      <c r="G8" s="277"/>
      <c r="H8" s="277"/>
      <c r="I8" s="277"/>
      <c r="J8" s="277"/>
      <c r="L8"/>
    </row>
    <row r="9" spans="1:12" x14ac:dyDescent="0.15">
      <c r="A9" s="280"/>
      <c r="B9" s="274"/>
      <c r="C9" s="274"/>
      <c r="D9" s="274"/>
      <c r="E9" s="274"/>
      <c r="F9" s="274"/>
      <c r="G9" s="274"/>
      <c r="H9" s="274"/>
      <c r="I9" s="274"/>
      <c r="J9" s="274"/>
    </row>
    <row r="10" spans="1:12" ht="30" customHeight="1" x14ac:dyDescent="0.15">
      <c r="A10" s="74" t="str">
        <f>IF(AND(INDEX(Sheet1!$AM:$AM,INT((ROWS($A$10:$A10)+1)/2)+1)="",INDEX(Sheet1!$BA:$BA,INT((ROWS($A$10:$A10)+1)/2)+1)&lt;&gt;""),"",INDEX(Sheet1!$AC:$AC,INT((ROWS($A$10:$A10)+1)/2)+1)&amp;"")</f>
        <v>見本市見本町1丁目2-3</v>
      </c>
      <c r="B10" s="74" t="str">
        <f>IF(AND(INDEX(Sheet1!$AM:$AM,INT((ROWS($A$10:$A10)+1)/2)+1)="",INDEX(Sheet1!$BA:$BA,INT((ROWS($A$10:$A10)+1)/2)+1)&lt;&gt;""),"",INDEX(Sheet1!$B:$B,INT((ROWS($A$10:$A10)+1)/2)+1)&amp;"")</f>
        <v>見本　太郎</v>
      </c>
      <c r="C10" s="75" t="str">
        <f>IF(AND(INDEX(Sheet1!$AM:$AM,INT((ROWS($A$10:$A10)+1)/2)+1)="",INDEX(Sheet1!$BA:$BA,INT((ROWS($A$10:$A10)+1)/2)+1)&lt;&gt;""),"",INDEX(Sheet1!$CN:$CN,INT((ROWS($A$10:$A10)+1)/2)+1)&amp;"")</f>
        <v>会社員</v>
      </c>
      <c r="D10" s="76">
        <f>IF(OR(AND(INDEX(Sheet1!$AM:$AM,INT((ROWS($A$10:$A10)+1)/2)+1)="",INDEX(Sheet1!$BA:$BA,INT((ROWS($A$10:$A10)+1)/2)+1)&lt;&gt;""),INDEX(Sheet1!$N:$N,INT((ROWS($A$10:$A10)+1)/2)+1)=""),"",INDEX(Sheet1!$N:$N,INT((ROWS($A$10:$A10)+1)/2)+1))</f>
        <v>23833</v>
      </c>
      <c r="E10" s="74" t="str">
        <f>IF(INDEX(Sheet1!$AM:$AM,INT((ROWS($A$10:$A10)+1)/2)+1)&lt;&gt;"","第一種","")</f>
        <v>第一種</v>
      </c>
      <c r="F10" s="77" t="str">
        <f>IF(E10="","",INDEX(Sheet1!$AO:$AO,INT((ROWS($A$10:$A10)+1)/2)+1)&amp;"")</f>
        <v>第 ○○ 1234561 号</v>
      </c>
      <c r="G10" s="76">
        <f>IF(OR(E10="",INDEX(Sheet1!$AY:$AY,INT((ROWS($A$10:$A10)+1)/2)+1)=""),"",INDEX(Sheet1!$AY:$AY,INT((ROWS($A$10:$A10)+1)/2)+1))</f>
        <v>45453</v>
      </c>
      <c r="H10" s="74">
        <f>IF(INDEX(Sheet1!$AD:$AD,INT((ROWS($A$10:$A10)+1)/2)+1)="","",INDEX(Sheet1!$AD:$AD,INT((ROWS($A$10:$A10)+1)/2)+1))</f>
        <v>12345678901</v>
      </c>
      <c r="I10" s="76">
        <f>IF(INDEX(Sheet1!$AK:$AK,INT((ROWS($A$10:$A10)+1)/2)+1)="","",INDEX(Sheet1!$AK:$AK,INT((ROWS($A$10:$A10)+1)/2)+1))</f>
        <v>44701</v>
      </c>
      <c r="J10" s="90"/>
    </row>
    <row r="11" spans="1:12" ht="30" customHeight="1" x14ac:dyDescent="0.15">
      <c r="A11" s="74" t="str">
        <f>IF(E11="","",IF(E10="",INDEX(Sheet1!$AC:$AC,INT((ROWS($A$10:$A11)+1)/2)+1)&amp;"","〃"))</f>
        <v>〃</v>
      </c>
      <c r="B11" s="74" t="str">
        <f>IF(E11="","",IF(E10="",INDEX(Sheet1!$B:$B,INT((ROWS($A$10:$A11)+1)/2)+1)&amp;"","〃"))</f>
        <v>〃</v>
      </c>
      <c r="C11" s="74" t="str">
        <f>IF(E11="","",IF(E10="",INDEX(Sheet1!$CN:$CN,INT((ROWS($A$10:$A11)+1)/2)+1)&amp;"","〃"))</f>
        <v>〃</v>
      </c>
      <c r="D11" s="76" t="str">
        <f>IF(E11="","",IF(E10="",IF(INDEX(Sheet1!$N:$N,INT((ROWS($A$10:$A11)+1)/2)+1)="","",INDEX(Sheet1!$N:$N,INT((ROWS($A$10:$A11)+1)/2)+1)),"〃"))</f>
        <v>〃</v>
      </c>
      <c r="E11" s="74" t="str">
        <f>IF(INDEX(Sheet1!$BA:$BA,INT((ROWS($A$10:$A11)+1)/2)+1)&lt;&gt;"","わな猟","")</f>
        <v>わな猟</v>
      </c>
      <c r="F11" s="77" t="str">
        <f>IF(E11="","",INDEX(Sheet1!$BC:$BC,INT((ROWS($A$10:$A11)+1)/2)+1)&amp;"")</f>
        <v>第 ○○ 2234561 号</v>
      </c>
      <c r="G11" s="76">
        <f>IF(E11="","",IF(INDEX(Sheet1!$BM:$BM,INT((ROWS($A$10:$A11)+1)/2)+1)="","",INDEX(Sheet1!$BM:$BM,INT((ROWS($A$10:$A11)+1)/2)+1)))</f>
        <v>45453</v>
      </c>
      <c r="H11" s="78"/>
      <c r="I11" s="73"/>
      <c r="J11" s="90"/>
    </row>
    <row r="12" spans="1:12" ht="30" customHeight="1" x14ac:dyDescent="0.15">
      <c r="A12" s="74" t="str">
        <f>IF(AND(INDEX(Sheet1!$AM:$AM,INT((ROWS($A$10:$A12)+1)/2)+1)="",INDEX(Sheet1!$BA:$BA,INT((ROWS($A$10:$A12)+1)/2)+1)&lt;&gt;""),"",INDEX(Sheet1!$AC:$AC,INT((ROWS($A$10:$A12)+1)/2)+1)&amp;"")</f>
        <v/>
      </c>
      <c r="B12" s="74" t="str">
        <f>IF(AND(INDEX(Sheet1!$AM:$AM,INT((ROWS($A$10:$A12)+1)/2)+1)="",INDEX(Sheet1!$BA:$BA,INT((ROWS($A$10:$A12)+1)/2)+1)&lt;&gt;""),"",INDEX(Sheet1!$B:$B,INT((ROWS($A$10:$A12)+1)/2)+1)&amp;"")</f>
        <v/>
      </c>
      <c r="C12" s="75" t="str">
        <f>IF(AND(INDEX(Sheet1!$AM:$AM,INT((ROWS($A$10:$A12)+1)/2)+1)="",INDEX(Sheet1!$BA:$BA,INT((ROWS($A$10:$A12)+1)/2)+1)&lt;&gt;""),"",INDEX(Sheet1!$CN:$CN,INT((ROWS($A$10:$A12)+1)/2)+1)&amp;"")</f>
        <v/>
      </c>
      <c r="D12" s="76" t="str">
        <f>IF(OR(AND(INDEX(Sheet1!$AM:$AM,INT((ROWS($A$10:$A12)+1)/2)+1)="",INDEX(Sheet1!$BA:$BA,INT((ROWS($A$10:$A12)+1)/2)+1)&lt;&gt;""),INDEX(Sheet1!$N:$N,INT((ROWS($A$10:$A12)+1)/2)+1)=""),"",INDEX(Sheet1!$N:$N,INT((ROWS($A$10:$A12)+1)/2)+1))</f>
        <v/>
      </c>
      <c r="E12" s="74" t="str">
        <f>IF(INDEX(Sheet1!$AM:$AM,INT((ROWS($A$10:$A12)+1)/2)+1)&lt;&gt;"","第一種","")</f>
        <v/>
      </c>
      <c r="F12" s="77" t="str">
        <f>IF(E12="","",INDEX(Sheet1!$AO:$AO,INT((ROWS($A$10:$A12)+1)/2)+1)&amp;"")</f>
        <v/>
      </c>
      <c r="G12" s="76" t="str">
        <f>IF(OR(E12="",INDEX(Sheet1!$AY:$AY,INT((ROWS($A$10:$A12)+1)/2)+1)=""),"",INDEX(Sheet1!$AY:$AY,INT((ROWS($A$10:$A12)+1)/2)+1))</f>
        <v/>
      </c>
      <c r="H12" s="74" t="str">
        <f>IF(INDEX(Sheet1!$AD:$AD,INT((ROWS($A$10:$A12)+1)/2)+1)="","",INDEX(Sheet1!$AD:$AD,INT((ROWS($A$10:$A12)+1)/2)+1))</f>
        <v/>
      </c>
      <c r="I12" s="76" t="str">
        <f>IF(INDEX(Sheet1!$AK:$AK,INT((ROWS($A$10:$A12)+1)/2)+1)="","",INDEX(Sheet1!$AK:$AK,INT((ROWS($A$10:$A12)+1)/2)+1))</f>
        <v/>
      </c>
      <c r="J12" s="90"/>
    </row>
    <row r="13" spans="1:12" ht="30" customHeight="1" x14ac:dyDescent="0.15">
      <c r="A13" s="74" t="str">
        <f>IF(E13="","",IF(E12="",INDEX(Sheet1!$AC:$AC,INT((ROWS($A$10:$A13)+1)/2)+1)&amp;"","〃"))</f>
        <v>例示市例示町2丁目3-4</v>
      </c>
      <c r="B13" s="74" t="str">
        <f>IF(E13="","",IF(E12="",INDEX(Sheet1!$B:$B,INT((ROWS($A$10:$A13)+1)/2)+1)&amp;"","〃"))</f>
        <v>例示　花子</v>
      </c>
      <c r="C13" s="74" t="str">
        <f>IF(E13="","",IF(E12="",INDEX(Sheet1!$CN:$CN,INT((ROWS($A$10:$A13)+1)/2)+1)&amp;"","〃"))</f>
        <v>農業</v>
      </c>
      <c r="D13" s="76">
        <f>IF(E13="","",IF(E12="",IF(INDEX(Sheet1!$N:$N,INT((ROWS($A$10:$A13)+1)/2)+1)="","",INDEX(Sheet1!$N:$N,INT((ROWS($A$10:$A13)+1)/2)+1)),"〃"))</f>
        <v>29417</v>
      </c>
      <c r="E13" s="74" t="str">
        <f>IF(INDEX(Sheet1!$BA:$BA,INT((ROWS($A$10:$A13)+1)/2)+1)&lt;&gt;"","わな猟","")</f>
        <v>わな猟</v>
      </c>
      <c r="F13" s="77" t="str">
        <f>IF(E13="","",INDEX(Sheet1!$BC:$BC,INT((ROWS($A$10:$A13)+1)/2)+1)&amp;"")</f>
        <v>第 ○○ 2234562 号</v>
      </c>
      <c r="G13" s="76">
        <f>IF(E13="","",IF(INDEX(Sheet1!$BM:$BM,INT((ROWS($A$10:$A13)+1)/2)+1)="","",INDEX(Sheet1!$BM:$BM,INT((ROWS($A$10:$A13)+1)/2)+1)))</f>
        <v>45139</v>
      </c>
      <c r="H13" s="78"/>
      <c r="I13" s="73"/>
      <c r="J13" s="90"/>
    </row>
    <row r="14" spans="1:12" ht="30" customHeight="1" x14ac:dyDescent="0.15">
      <c r="A14" s="74" t="str">
        <f>IF(AND(INDEX(Sheet1!$AM:$AM,INT((ROWS($A$10:$A14)+1)/2)+1)="",INDEX(Sheet1!$BA:$BA,INT((ROWS($A$10:$A14)+1)/2)+1)&lt;&gt;""),"",INDEX(Sheet1!$AC:$AC,INT((ROWS($A$10:$A14)+1)/2)+1)&amp;"")</f>
        <v>記入市記入町3丁目4-5</v>
      </c>
      <c r="B14" s="74" t="str">
        <f>IF(AND(INDEX(Sheet1!$AM:$AM,INT((ROWS($A$10:$A14)+1)/2)+1)="",INDEX(Sheet1!$BA:$BA,INT((ROWS($A$10:$A14)+1)/2)+1)&lt;&gt;""),"",INDEX(Sheet1!$B:$B,INT((ROWS($A$10:$A14)+1)/2)+1)&amp;"")</f>
        <v>記入　次郎</v>
      </c>
      <c r="C14" s="74" t="str">
        <f>IF(AND(INDEX(Sheet1!$AM:$AM,INT((ROWS($A$10:$A14)+1)/2)+1)="",INDEX(Sheet1!$BA:$BA,INT((ROWS($A$10:$A14)+1)/2)+1)&lt;&gt;""),"",INDEX(Sheet1!$CN:$CN,INT((ROWS($A$10:$A14)+1)/2)+1)&amp;"")</f>
        <v>自営業</v>
      </c>
      <c r="D14" s="76">
        <f>IF(OR(AND(INDEX(Sheet1!$AM:$AM,INT((ROWS($A$10:$A14)+1)/2)+1)="",INDEX(Sheet1!$BA:$BA,INT((ROWS($A$10:$A14)+1)/2)+1)&lt;&gt;""),INDEX(Sheet1!$N:$N,INT((ROWS($A$10:$A14)+1)/2)+1)=""),"",INDEX(Sheet1!$N:$N,INT((ROWS($A$10:$A14)+1)/2)+1))</f>
        <v>21509</v>
      </c>
      <c r="E14" s="74" t="str">
        <f>IF(INDEX(Sheet1!$AM:$AM,INT((ROWS($A$10:$A14)+1)/2)+1)&lt;&gt;"","第一種","")</f>
        <v>第一種</v>
      </c>
      <c r="F14" s="77" t="str">
        <f>IF(E14="","",INDEX(Sheet1!$AO:$AO,INT((ROWS($A$10:$A14)+1)/2)+1)&amp;"")</f>
        <v>第 ○○ 1234563 号</v>
      </c>
      <c r="G14" s="76">
        <f>IF(OR(E14="",INDEX(Sheet1!$AY:$AY,INT((ROWS($A$10:$A14)+1)/2)+1)=""),"",INDEX(Sheet1!$AY:$AY,INT((ROWS($A$10:$A14)+1)/2)+1))</f>
        <v>45839</v>
      </c>
      <c r="H14" s="74">
        <f>IF(INDEX(Sheet1!$AD:$AD,INT((ROWS($A$10:$A14)+1)/2)+1)="","",INDEX(Sheet1!$AD:$AD,INT((ROWS($A$10:$A14)+1)/2)+1))</f>
        <v>12345678903</v>
      </c>
      <c r="I14" s="76">
        <f>IF(INDEX(Sheet1!$AK:$AK,INT((ROWS($A$10:$A14)+1)/2)+1)="","",INDEX(Sheet1!$AK:$AK,INT((ROWS($A$10:$A14)+1)/2)+1))</f>
        <v>44270</v>
      </c>
      <c r="J14" s="90"/>
    </row>
    <row r="15" spans="1:12" ht="30" customHeight="1" x14ac:dyDescent="0.15">
      <c r="A15" s="74" t="str">
        <f>IF(E15="","",IF(E14="",INDEX(Sheet1!$AC:$AC,INT((ROWS($A$10:$A15)+1)/2)+1)&amp;"","〃"))</f>
        <v/>
      </c>
      <c r="B15" s="74" t="str">
        <f>IF(E15="","",IF(E14="",INDEX(Sheet1!$B:$B,INT((ROWS($A$10:$A15)+1)/2)+1)&amp;"","〃"))</f>
        <v/>
      </c>
      <c r="C15" s="74" t="str">
        <f>IF(E15="","",IF(E14="",INDEX(Sheet1!$CN:$CN,INT((ROWS($A$10:$A15)+1)/2)+1)&amp;"","〃"))</f>
        <v/>
      </c>
      <c r="D15" s="76" t="str">
        <f>IF(E15="","",IF(E14="",IF(INDEX(Sheet1!$N:$N,INT((ROWS($A$10:$A15)+1)/2)+1)="","",INDEX(Sheet1!$N:$N,INT((ROWS($A$10:$A15)+1)/2)+1)),"〃"))</f>
        <v/>
      </c>
      <c r="E15" s="74" t="str">
        <f>IF(INDEX(Sheet1!$BA:$BA,INT((ROWS($A$10:$A15)+1)/2)+1)&lt;&gt;"","わな猟","")</f>
        <v/>
      </c>
      <c r="F15" s="77" t="str">
        <f>IF(E15="","",INDEX(Sheet1!$BC:$BC,INT((ROWS($A$10:$A15)+1)/2)+1)&amp;"")</f>
        <v/>
      </c>
      <c r="G15" s="76" t="str">
        <f>IF(E15="","",IF(INDEX(Sheet1!$BM:$BM,INT((ROWS($A$10:$A15)+1)/2)+1)="","",INDEX(Sheet1!$BM:$BM,INT((ROWS($A$10:$A15)+1)/2)+1)))</f>
        <v/>
      </c>
      <c r="H15" s="78"/>
      <c r="I15" s="73"/>
      <c r="J15" s="90"/>
    </row>
    <row r="16" spans="1:12" ht="30" customHeight="1" x14ac:dyDescent="0.15">
      <c r="A16" s="74" t="str">
        <f>IF(AND(INDEX(Sheet1!$AM:$AM,INT((ROWS($A$10:$A16)+1)/2)+1)="",INDEX(Sheet1!$BA:$BA,INT((ROWS($A$10:$A16)+1)/2)+1)&lt;&gt;""),"",INDEX(Sheet1!$AC:$AC,INT((ROWS($A$10:$A16)+1)/2)+1)&amp;"")</f>
        <v>試験市試験町4丁目5-6</v>
      </c>
      <c r="B16" s="74" t="str">
        <f>IF(AND(INDEX(Sheet1!$AM:$AM,INT((ROWS($A$10:$A16)+1)/2)+1)="",INDEX(Sheet1!$BA:$BA,INT((ROWS($A$10:$A16)+1)/2)+1)&lt;&gt;""),"",INDEX(Sheet1!$B:$B,INT((ROWS($A$10:$A16)+1)/2)+1)&amp;"")</f>
        <v>試験　三郎</v>
      </c>
      <c r="C16" s="74" t="str">
        <f>IF(AND(INDEX(Sheet1!$AM:$AM,INT((ROWS($A$10:$A16)+1)/2)+1)="",INDEX(Sheet1!$BA:$BA,INT((ROWS($A$10:$A16)+1)/2)+1)&lt;&gt;""),"",INDEX(Sheet1!$CN:$CN,INT((ROWS($A$10:$A16)+1)/2)+1)&amp;"")</f>
        <v>公務員</v>
      </c>
      <c r="D16" s="76">
        <f>IF(OR(AND(INDEX(Sheet1!$AM:$AM,INT((ROWS($A$10:$A16)+1)/2)+1)="",INDEX(Sheet1!$BA:$BA,INT((ROWS($A$10:$A16)+1)/2)+1)&lt;&gt;""),INDEX(Sheet1!$N:$N,INT((ROWS($A$10:$A16)+1)/2)+1)=""),"",INDEX(Sheet1!$N:$N,INT((ROWS($A$10:$A16)+1)/2)+1))</f>
        <v>26357</v>
      </c>
      <c r="E16" s="74" t="str">
        <f>IF(INDEX(Sheet1!$AM:$AM,INT((ROWS($A$10:$A16)+1)/2)+1)&lt;&gt;"","第一種","")</f>
        <v>第一種</v>
      </c>
      <c r="F16" s="77" t="str">
        <f>IF(E16="","",INDEX(Sheet1!$AO:$AO,INT((ROWS($A$10:$A16)+1)/2)+1)&amp;"")</f>
        <v>第 ○○ 1234564 号</v>
      </c>
      <c r="G16" s="76">
        <f>IF(OR(E16="",INDEX(Sheet1!$AY:$AY,INT((ROWS($A$10:$A16)+1)/2)+1)=""),"",INDEX(Sheet1!$AY:$AY,INT((ROWS($A$10:$A16)+1)/2)+1))</f>
        <v>45026</v>
      </c>
      <c r="H16" s="74">
        <f>IF(INDEX(Sheet1!$AD:$AD,INT((ROWS($A$10:$A16)+1)/2)+1)="","",INDEX(Sheet1!$AD:$AD,INT((ROWS($A$10:$A16)+1)/2)+1))</f>
        <v>12345678904</v>
      </c>
      <c r="I16" s="76">
        <f>IF(INDEX(Sheet1!$AK:$AK,INT((ROWS($A$10:$A16)+1)/2)+1)="","",INDEX(Sheet1!$AK:$AK,INT((ROWS($A$10:$A16)+1)/2)+1))</f>
        <v>44075</v>
      </c>
      <c r="J16" s="90"/>
    </row>
    <row r="17" spans="1:10" ht="30" customHeight="1" x14ac:dyDescent="0.15">
      <c r="A17" s="74" t="str">
        <f>IF(E17="","",IF(E16="",INDEX(Sheet1!$AC:$AC,INT((ROWS($A$10:$A17)+1)/2)+1)&amp;"","〃"))</f>
        <v/>
      </c>
      <c r="B17" s="74" t="str">
        <f>IF(E17="","",IF(E16="",INDEX(Sheet1!$B:$B,INT((ROWS($A$10:$A17)+1)/2)+1)&amp;"","〃"))</f>
        <v/>
      </c>
      <c r="C17" s="74" t="str">
        <f>IF(E17="","",IF(E16="",INDEX(Sheet1!$CN:$CN,INT((ROWS($A$10:$A17)+1)/2)+1)&amp;"","〃"))</f>
        <v/>
      </c>
      <c r="D17" s="76" t="str">
        <f>IF(E17="","",IF(E16="",IF(INDEX(Sheet1!$N:$N,INT((ROWS($A$10:$A17)+1)/2)+1)="","",INDEX(Sheet1!$N:$N,INT((ROWS($A$10:$A17)+1)/2)+1)),"〃"))</f>
        <v/>
      </c>
      <c r="E17" s="74" t="str">
        <f>IF(INDEX(Sheet1!$BA:$BA,INT((ROWS($A$10:$A17)+1)/2)+1)&lt;&gt;"","わな猟","")</f>
        <v/>
      </c>
      <c r="F17" s="77" t="str">
        <f>IF(E17="","",INDEX(Sheet1!$BC:$BC,INT((ROWS($A$10:$A17)+1)/2)+1)&amp;"")</f>
        <v/>
      </c>
      <c r="G17" s="76" t="str">
        <f>IF(E17="","",IF(INDEX(Sheet1!$BM:$BM,INT((ROWS($A$10:$A17)+1)/2)+1)="","",INDEX(Sheet1!$BM:$BM,INT((ROWS($A$10:$A17)+1)/2)+1)))</f>
        <v/>
      </c>
      <c r="H17" s="78"/>
      <c r="I17" s="73"/>
      <c r="J17" s="90"/>
    </row>
    <row r="18" spans="1:10" ht="30" customHeight="1" x14ac:dyDescent="0.15">
      <c r="A18" s="74" t="str">
        <f>IF(AND(INDEX(Sheet1!$AM:$AM,INT((ROWS($A$10:$A18)+1)/2)+1)="",INDEX(Sheet1!$BA:$BA,INT((ROWS($A$10:$A18)+1)/2)+1)&lt;&gt;""),"",INDEX(Sheet1!$AC:$AC,INT((ROWS($A$10:$A18)+1)/2)+1)&amp;"")</f>
        <v/>
      </c>
      <c r="B18" s="74" t="str">
        <f>IF(AND(INDEX(Sheet1!$AM:$AM,INT((ROWS($A$10:$A18)+1)/2)+1)="",INDEX(Sheet1!$BA:$BA,INT((ROWS($A$10:$A18)+1)/2)+1)&lt;&gt;""),"",INDEX(Sheet1!$B:$B,INT((ROWS($A$10:$A18)+1)/2)+1)&amp;"")</f>
        <v/>
      </c>
      <c r="C18" s="74" t="str">
        <f>IF(AND(INDEX(Sheet1!$AM:$AM,INT((ROWS($A$10:$A18)+1)/2)+1)="",INDEX(Sheet1!$BA:$BA,INT((ROWS($A$10:$A18)+1)/2)+1)&lt;&gt;""),"",INDEX(Sheet1!$CN:$CN,INT((ROWS($A$10:$A18)+1)/2)+1)&amp;"")</f>
        <v/>
      </c>
      <c r="D18" s="76" t="str">
        <f>IF(OR(AND(INDEX(Sheet1!$AM:$AM,INT((ROWS($A$10:$A18)+1)/2)+1)="",INDEX(Sheet1!$BA:$BA,INT((ROWS($A$10:$A18)+1)/2)+1)&lt;&gt;""),INDEX(Sheet1!$N:$N,INT((ROWS($A$10:$A18)+1)/2)+1)=""),"",INDEX(Sheet1!$N:$N,INT((ROWS($A$10:$A18)+1)/2)+1))</f>
        <v/>
      </c>
      <c r="E18" s="74" t="str">
        <f>IF(INDEX(Sheet1!$AM:$AM,INT((ROWS($A$10:$A18)+1)/2)+1)&lt;&gt;"","第一種","")</f>
        <v/>
      </c>
      <c r="F18" s="77" t="str">
        <f>IF(E18="","",INDEX(Sheet1!$AO:$AO,INT((ROWS($A$10:$A18)+1)/2)+1)&amp;"")</f>
        <v/>
      </c>
      <c r="G18" s="76" t="str">
        <f>IF(OR(E18="",INDEX(Sheet1!$AY:$AY,INT((ROWS($A$10:$A18)+1)/2)+1)=""),"",INDEX(Sheet1!$AY:$AY,INT((ROWS($A$10:$A18)+1)/2)+1))</f>
        <v/>
      </c>
      <c r="H18" s="74" t="str">
        <f>IF(INDEX(Sheet1!$AD:$AD,INT((ROWS($A$10:$A18)+1)/2)+1)="","",INDEX(Sheet1!$AD:$AD,INT((ROWS($A$10:$A18)+1)/2)+1))</f>
        <v/>
      </c>
      <c r="I18" s="76" t="str">
        <f>IF(INDEX(Sheet1!$AK:$AK,INT((ROWS($A$10:$A18)+1)/2)+1)="","",INDEX(Sheet1!$AK:$AK,INT((ROWS($A$10:$A18)+1)/2)+1))</f>
        <v/>
      </c>
      <c r="J18" s="90"/>
    </row>
    <row r="19" spans="1:10" ht="30" customHeight="1" x14ac:dyDescent="0.15">
      <c r="A19" s="74" t="str">
        <f>IF(E19="","",IF(E18="",INDEX(Sheet1!$AC:$AC,INT((ROWS($A$10:$A19)+1)/2)+1)&amp;"","〃"))</f>
        <v>架空市架空町5丁目6-7</v>
      </c>
      <c r="B19" s="74" t="str">
        <f>IF(E19="","",IF(E18="",INDEX(Sheet1!$B:$B,INT((ROWS($A$10:$A19)+1)/2)+1)&amp;"","〃"))</f>
        <v>架空　良子</v>
      </c>
      <c r="C19" s="74" t="str">
        <f>IF(E19="","",IF(E18="",INDEX(Sheet1!$CN:$CN,INT((ROWS($A$10:$A19)+1)/2)+1)&amp;"","〃"))</f>
        <v>パート</v>
      </c>
      <c r="D19" s="76">
        <f>IF(E19="","",IF(E18="",IF(INDEX(Sheet1!$N:$N,INT((ROWS($A$10:$A19)+1)/2)+1)="","",INDEX(Sheet1!$N:$N,INT((ROWS($A$10:$A19)+1)/2)+1)),"〃"))</f>
        <v>33212</v>
      </c>
      <c r="E19" s="74" t="str">
        <f>IF(INDEX(Sheet1!$BA:$BA,INT((ROWS($A$10:$A19)+1)/2)+1)&lt;&gt;"","わな猟","")</f>
        <v>わな猟</v>
      </c>
      <c r="F19" s="77" t="str">
        <f>IF(E19="","",INDEX(Sheet1!$BC:$BC,INT((ROWS($A$10:$A19)+1)/2)+1)&amp;"")</f>
        <v>第 ○○ 2234565 号</v>
      </c>
      <c r="G19" s="76">
        <f>IF(E19="","",IF(INDEX(Sheet1!$BM:$BM,INT((ROWS($A$10:$A19)+1)/2)+1)="","",INDEX(Sheet1!$BM:$BM,INT((ROWS($A$10:$A19)+1)/2)+1)))</f>
        <v>45536</v>
      </c>
      <c r="H19" s="78"/>
      <c r="I19" s="73"/>
      <c r="J19" s="90"/>
    </row>
    <row r="20" spans="1:10" ht="30" customHeight="1" x14ac:dyDescent="0.15">
      <c r="A20" s="74" t="str">
        <f>IF(AND(INDEX(Sheet1!$AM:$AM,INT((ROWS($A$10:$A20)+1)/2)+1)="",INDEX(Sheet1!$BA:$BA,INT((ROWS($A$10:$A20)+1)/2)+1)&lt;&gt;""),"",INDEX(Sheet1!$AC:$AC,INT((ROWS($A$10:$A20)+1)/2)+1)&amp;"")</f>
        <v/>
      </c>
      <c r="B20" s="74" t="str">
        <f>IF(AND(INDEX(Sheet1!$AM:$AM,INT((ROWS($A$10:$A20)+1)/2)+1)="",INDEX(Sheet1!$BA:$BA,INT((ROWS($A$10:$A20)+1)/2)+1)&lt;&gt;""),"",INDEX(Sheet1!$B:$B,INT((ROWS($A$10:$A20)+1)/2)+1)&amp;"")</f>
        <v/>
      </c>
      <c r="C20" s="74" t="str">
        <f>IF(AND(INDEX(Sheet1!$AM:$AM,INT((ROWS($A$10:$A20)+1)/2)+1)="",INDEX(Sheet1!$BA:$BA,INT((ROWS($A$10:$A20)+1)/2)+1)&lt;&gt;""),"",INDEX(Sheet1!$CN:$CN,INT((ROWS($A$10:$A20)+1)/2)+1)&amp;"")</f>
        <v/>
      </c>
      <c r="D20" s="76" t="str">
        <f>IF(OR(AND(INDEX(Sheet1!$AM:$AM,INT((ROWS($A$10:$A20)+1)/2)+1)="",INDEX(Sheet1!$BA:$BA,INT((ROWS($A$10:$A20)+1)/2)+1)&lt;&gt;""),INDEX(Sheet1!$N:$N,INT((ROWS($A$10:$A20)+1)/2)+1)=""),"",INDEX(Sheet1!$N:$N,INT((ROWS($A$10:$A20)+1)/2)+1))</f>
        <v/>
      </c>
      <c r="E20" s="74" t="str">
        <f>IF(INDEX(Sheet1!$AM:$AM,INT((ROWS($A$10:$A20)+1)/2)+1)&lt;&gt;"","第一種","")</f>
        <v/>
      </c>
      <c r="F20" s="77" t="str">
        <f>IF(E20="","",INDEX(Sheet1!$AO:$AO,INT((ROWS($A$10:$A20)+1)/2)+1)&amp;"")</f>
        <v/>
      </c>
      <c r="G20" s="76" t="str">
        <f>IF(OR(E20="",INDEX(Sheet1!$AY:$AY,INT((ROWS($A$10:$A20)+1)/2)+1)=""),"",INDEX(Sheet1!$AY:$AY,INT((ROWS($A$10:$A20)+1)/2)+1))</f>
        <v/>
      </c>
      <c r="H20" s="74" t="str">
        <f>IF(INDEX(Sheet1!$AD:$AD,INT((ROWS($A$10:$A20)+1)/2)+1)="","",INDEX(Sheet1!$AD:$AD,INT((ROWS($A$10:$A20)+1)/2)+1))</f>
        <v/>
      </c>
      <c r="I20" s="76" t="str">
        <f>IF(INDEX(Sheet1!$AK:$AK,INT((ROWS($A$10:$A20)+1)/2)+1)="","",INDEX(Sheet1!$AK:$AK,INT((ROWS($A$10:$A20)+1)/2)+1))</f>
        <v/>
      </c>
      <c r="J20" s="90"/>
    </row>
    <row r="21" spans="1:10" ht="30" customHeight="1" x14ac:dyDescent="0.15">
      <c r="A21" s="74" t="str">
        <f>IF(E21="","",IF(E20="",INDEX(Sheet1!$AC:$AC,INT((ROWS($A$10:$A21)+1)/2)+1)&amp;"","〃"))</f>
        <v/>
      </c>
      <c r="B21" s="74" t="str">
        <f>IF(E21="","",IF(E20="",INDEX(Sheet1!$B:$B,INT((ROWS($A$10:$A21)+1)/2)+1)&amp;"","〃"))</f>
        <v/>
      </c>
      <c r="C21" s="74" t="str">
        <f>IF(E21="","",IF(E20="",INDEX(Sheet1!$CN:$CN,INT((ROWS($A$10:$A21)+1)/2)+1)&amp;"","〃"))</f>
        <v/>
      </c>
      <c r="D21" s="76" t="str">
        <f>IF(E21="","",IF(E20="",IF(INDEX(Sheet1!$N:$N,INT((ROWS($A$10:$A21)+1)/2)+1)="","",INDEX(Sheet1!$N:$N,INT((ROWS($A$10:$A21)+1)/2)+1)),"〃"))</f>
        <v/>
      </c>
      <c r="E21" s="74" t="str">
        <f>IF(INDEX(Sheet1!$BA:$BA,INT((ROWS($A$10:$A21)+1)/2)+1)&lt;&gt;"","わな猟","")</f>
        <v/>
      </c>
      <c r="F21" s="77" t="str">
        <f>IF(E21="","",INDEX(Sheet1!$BC:$BC,INT((ROWS($A$10:$A21)+1)/2)+1)&amp;"")</f>
        <v/>
      </c>
      <c r="G21" s="76" t="str">
        <f>IF(E21="","",IF(INDEX(Sheet1!$BM:$BM,INT((ROWS($A$10:$A21)+1)/2)+1)="","",INDEX(Sheet1!$BM:$BM,INT((ROWS($A$10:$A21)+1)/2)+1)))</f>
        <v/>
      </c>
      <c r="H21" s="78"/>
      <c r="I21" s="73"/>
      <c r="J21" s="90"/>
    </row>
    <row r="22" spans="1:10" ht="30" customHeight="1" x14ac:dyDescent="0.15">
      <c r="A22" s="74" t="str">
        <f>IF(AND(INDEX(Sheet1!$AM:$AM,INT((ROWS($A$10:$A22)+1)/2)+1)="",INDEX(Sheet1!$BA:$BA,INT((ROWS($A$10:$A22)+1)/2)+1)&lt;&gt;""),"",INDEX(Sheet1!$AC:$AC,INT((ROWS($A$10:$A22)+1)/2)+1)&amp;"")</f>
        <v/>
      </c>
      <c r="B22" s="74" t="str">
        <f>IF(AND(INDEX(Sheet1!$AM:$AM,INT((ROWS($A$10:$A22)+1)/2)+1)="",INDEX(Sheet1!$BA:$BA,INT((ROWS($A$10:$A22)+1)/2)+1)&lt;&gt;""),"",INDEX(Sheet1!$B:$B,INT((ROWS($A$10:$A22)+1)/2)+1)&amp;"")</f>
        <v/>
      </c>
      <c r="C22" s="74" t="str">
        <f>IF(AND(INDEX(Sheet1!$AM:$AM,INT((ROWS($A$10:$A22)+1)/2)+1)="",INDEX(Sheet1!$BA:$BA,INT((ROWS($A$10:$A22)+1)/2)+1)&lt;&gt;""),"",INDEX(Sheet1!$CN:$CN,INT((ROWS($A$10:$A22)+1)/2)+1)&amp;"")</f>
        <v/>
      </c>
      <c r="D22" s="76" t="str">
        <f>IF(OR(AND(INDEX(Sheet1!$AM:$AM,INT((ROWS($A$10:$A22)+1)/2)+1)="",INDEX(Sheet1!$BA:$BA,INT((ROWS($A$10:$A22)+1)/2)+1)&lt;&gt;""),INDEX(Sheet1!$N:$N,INT((ROWS($A$10:$A22)+1)/2)+1)=""),"",INDEX(Sheet1!$N:$N,INT((ROWS($A$10:$A22)+1)/2)+1))</f>
        <v/>
      </c>
      <c r="E22" s="74" t="str">
        <f>IF(INDEX(Sheet1!$AM:$AM,INT((ROWS($A$10:$A22)+1)/2)+1)&lt;&gt;"","第一種","")</f>
        <v/>
      </c>
      <c r="F22" s="77" t="str">
        <f>IF(E22="","",INDEX(Sheet1!$AO:$AO,INT((ROWS($A$10:$A22)+1)/2)+1)&amp;"")</f>
        <v/>
      </c>
      <c r="G22" s="76" t="str">
        <f>IF(OR(E22="",INDEX(Sheet1!$AY:$AY,INT((ROWS($A$10:$A22)+1)/2)+1)=""),"",INDEX(Sheet1!$AY:$AY,INT((ROWS($A$10:$A22)+1)/2)+1))</f>
        <v/>
      </c>
      <c r="H22" s="74" t="str">
        <f>IF(INDEX(Sheet1!$AD:$AD,INT((ROWS($A$10:$A22)+1)/2)+1)="","",INDEX(Sheet1!$AD:$AD,INT((ROWS($A$10:$A22)+1)/2)+1))</f>
        <v/>
      </c>
      <c r="I22" s="76" t="str">
        <f>IF(INDEX(Sheet1!$AK:$AK,INT((ROWS($A$10:$A22)+1)/2)+1)="","",INDEX(Sheet1!$AK:$AK,INT((ROWS($A$10:$A22)+1)/2)+1))</f>
        <v/>
      </c>
      <c r="J22" s="90"/>
    </row>
    <row r="23" spans="1:10" ht="30" customHeight="1" x14ac:dyDescent="0.15">
      <c r="A23" s="74" t="str">
        <f>IF(E23="","",IF(E22="",INDEX(Sheet1!$AC:$AC,INT((ROWS($A$10:$A23)+1)/2)+1)&amp;"","〃"))</f>
        <v/>
      </c>
      <c r="B23" s="74" t="str">
        <f>IF(E23="","",IF(E22="",INDEX(Sheet1!$B:$B,INT((ROWS($A$10:$A23)+1)/2)+1)&amp;"","〃"))</f>
        <v/>
      </c>
      <c r="C23" s="74" t="str">
        <f>IF(E23="","",IF(E22="",INDEX(Sheet1!$CN:$CN,INT((ROWS($A$10:$A23)+1)/2)+1)&amp;"","〃"))</f>
        <v/>
      </c>
      <c r="D23" s="76" t="str">
        <f>IF(E23="","",IF(E22="",IF(INDEX(Sheet1!$N:$N,INT((ROWS($A$10:$A23)+1)/2)+1)="","",INDEX(Sheet1!$N:$N,INT((ROWS($A$10:$A23)+1)/2)+1)),"〃"))</f>
        <v/>
      </c>
      <c r="E23" s="74" t="str">
        <f>IF(INDEX(Sheet1!$BA:$BA,INT((ROWS($A$10:$A23)+1)/2)+1)&lt;&gt;"","わな猟","")</f>
        <v/>
      </c>
      <c r="F23" s="77" t="str">
        <f>IF(E23="","",INDEX(Sheet1!$BC:$BC,INT((ROWS($A$10:$A23)+1)/2)+1)&amp;"")</f>
        <v/>
      </c>
      <c r="G23" s="76" t="str">
        <f>IF(E23="","",IF(INDEX(Sheet1!$BM:$BM,INT((ROWS($A$10:$A23)+1)/2)+1)="","",INDEX(Sheet1!$BM:$BM,INT((ROWS($A$10:$A23)+1)/2)+1)))</f>
        <v/>
      </c>
      <c r="H23" s="78"/>
      <c r="I23" s="73"/>
      <c r="J23" s="90"/>
    </row>
    <row r="24" spans="1:10" ht="30" customHeight="1" x14ac:dyDescent="0.15">
      <c r="A24" s="74" t="str">
        <f>IF(AND(INDEX(Sheet1!$AM:$AM,INT((ROWS($A$10:$A24)+1)/2)+1)="",INDEX(Sheet1!$BA:$BA,INT((ROWS($A$10:$A24)+1)/2)+1)&lt;&gt;""),"",INDEX(Sheet1!$AC:$AC,INT((ROWS($A$10:$A24)+1)/2)+1)&amp;"")</f>
        <v/>
      </c>
      <c r="B24" s="74" t="str">
        <f>IF(AND(INDEX(Sheet1!$AM:$AM,INT((ROWS($A$10:$A24)+1)/2)+1)="",INDEX(Sheet1!$BA:$BA,INT((ROWS($A$10:$A24)+1)/2)+1)&lt;&gt;""),"",INDEX(Sheet1!$B:$B,INT((ROWS($A$10:$A24)+1)/2)+1)&amp;"")</f>
        <v/>
      </c>
      <c r="C24" s="74" t="str">
        <f>IF(AND(INDEX(Sheet1!$AM:$AM,INT((ROWS($A$10:$A24)+1)/2)+1)="",INDEX(Sheet1!$BA:$BA,INT((ROWS($A$10:$A24)+1)/2)+1)&lt;&gt;""),"",INDEX(Sheet1!$CN:$CN,INT((ROWS($A$10:$A24)+1)/2)+1)&amp;"")</f>
        <v/>
      </c>
      <c r="D24" s="76" t="str">
        <f>IF(OR(AND(INDEX(Sheet1!$AM:$AM,INT((ROWS($A$10:$A24)+1)/2)+1)="",INDEX(Sheet1!$BA:$BA,INT((ROWS($A$10:$A24)+1)/2)+1)&lt;&gt;""),INDEX(Sheet1!$N:$N,INT((ROWS($A$10:$A24)+1)/2)+1)=""),"",INDEX(Sheet1!$N:$N,INT((ROWS($A$10:$A24)+1)/2)+1))</f>
        <v/>
      </c>
      <c r="E24" s="74" t="str">
        <f>IF(INDEX(Sheet1!$AM:$AM,INT((ROWS($A$10:$A24)+1)/2)+1)&lt;&gt;"","第一種","")</f>
        <v/>
      </c>
      <c r="F24" s="77" t="str">
        <f>IF(E24="","",INDEX(Sheet1!$AO:$AO,INT((ROWS($A$10:$A24)+1)/2)+1)&amp;"")</f>
        <v/>
      </c>
      <c r="G24" s="76" t="str">
        <f>IF(OR(E24="",INDEX(Sheet1!$AY:$AY,INT((ROWS($A$10:$A24)+1)/2)+1)=""),"",INDEX(Sheet1!$AY:$AY,INT((ROWS($A$10:$A24)+1)/2)+1))</f>
        <v/>
      </c>
      <c r="H24" s="74" t="str">
        <f>IF(INDEX(Sheet1!$AD:$AD,INT((ROWS($A$10:$A24)+1)/2)+1)="","",INDEX(Sheet1!$AD:$AD,INT((ROWS($A$10:$A24)+1)/2)+1))</f>
        <v/>
      </c>
      <c r="I24" s="76" t="str">
        <f>IF(INDEX(Sheet1!$AK:$AK,INT((ROWS($A$10:$A24)+1)/2)+1)="","",INDEX(Sheet1!$AK:$AK,INT((ROWS($A$10:$A24)+1)/2)+1))</f>
        <v/>
      </c>
      <c r="J24" s="90"/>
    </row>
    <row r="25" spans="1:10" ht="30" customHeight="1" x14ac:dyDescent="0.15">
      <c r="A25" s="74" t="str">
        <f>IF(E25="","",IF(E24="",INDEX(Sheet1!$AC:$AC,INT((ROWS($A$10:$A25)+1)/2)+1)&amp;"","〃"))</f>
        <v/>
      </c>
      <c r="B25" s="74" t="str">
        <f>IF(E25="","",IF(E24="",INDEX(Sheet1!$B:$B,INT((ROWS($A$10:$A25)+1)/2)+1)&amp;"","〃"))</f>
        <v/>
      </c>
      <c r="C25" s="74" t="str">
        <f>IF(E25="","",IF(E24="",INDEX(Sheet1!$CN:$CN,INT((ROWS($A$10:$A25)+1)/2)+1)&amp;"","〃"))</f>
        <v/>
      </c>
      <c r="D25" s="76" t="str">
        <f>IF(E25="","",IF(E24="",IF(INDEX(Sheet1!$N:$N,INT((ROWS($A$10:$A25)+1)/2)+1)="","",INDEX(Sheet1!$N:$N,INT((ROWS($A$10:$A25)+1)/2)+1)),"〃"))</f>
        <v/>
      </c>
      <c r="E25" s="74" t="str">
        <f>IF(INDEX(Sheet1!$BA:$BA,INT((ROWS($A$10:$A25)+1)/2)+1)&lt;&gt;"","わな猟","")</f>
        <v/>
      </c>
      <c r="F25" s="77" t="str">
        <f>IF(E25="","",INDEX(Sheet1!$BC:$BC,INT((ROWS($A$10:$A25)+1)/2)+1)&amp;"")</f>
        <v/>
      </c>
      <c r="G25" s="76" t="str">
        <f>IF(E25="","",IF(INDEX(Sheet1!$BM:$BM,INT((ROWS($A$10:$A25)+1)/2)+1)="","",INDEX(Sheet1!$BM:$BM,INT((ROWS($A$10:$A25)+1)/2)+1)))</f>
        <v/>
      </c>
      <c r="H25" s="78"/>
      <c r="I25" s="73"/>
      <c r="J25" s="90"/>
    </row>
    <row r="26" spans="1:10" ht="30" customHeight="1" x14ac:dyDescent="0.15">
      <c r="A26" s="74" t="str">
        <f>IF(AND(INDEX(Sheet1!$AM:$AM,INT((ROWS($A$10:$A26)+1)/2)+1)="",INDEX(Sheet1!$BA:$BA,INT((ROWS($A$10:$A26)+1)/2)+1)&lt;&gt;""),"",INDEX(Sheet1!$AC:$AC,INT((ROWS($A$10:$A26)+1)/2)+1)&amp;"")</f>
        <v/>
      </c>
      <c r="B26" s="74" t="str">
        <f>IF(AND(INDEX(Sheet1!$AM:$AM,INT((ROWS($A$10:$A26)+1)/2)+1)="",INDEX(Sheet1!$BA:$BA,INT((ROWS($A$10:$A26)+1)/2)+1)&lt;&gt;""),"",INDEX(Sheet1!$B:$B,INT((ROWS($A$10:$A26)+1)/2)+1)&amp;"")</f>
        <v/>
      </c>
      <c r="C26" s="74" t="str">
        <f>IF(AND(INDEX(Sheet1!$AM:$AM,INT((ROWS($A$10:$A26)+1)/2)+1)="",INDEX(Sheet1!$BA:$BA,INT((ROWS($A$10:$A26)+1)/2)+1)&lt;&gt;""),"",INDEX(Sheet1!$CN:$CN,INT((ROWS($A$10:$A26)+1)/2)+1)&amp;"")</f>
        <v/>
      </c>
      <c r="D26" s="76" t="str">
        <f>IF(OR(AND(INDEX(Sheet1!$AM:$AM,INT((ROWS($A$10:$A26)+1)/2)+1)="",INDEX(Sheet1!$BA:$BA,INT((ROWS($A$10:$A26)+1)/2)+1)&lt;&gt;""),INDEX(Sheet1!$N:$N,INT((ROWS($A$10:$A26)+1)/2)+1)=""),"",INDEX(Sheet1!$N:$N,INT((ROWS($A$10:$A26)+1)/2)+1))</f>
        <v/>
      </c>
      <c r="E26" s="74" t="str">
        <f>IF(INDEX(Sheet1!$AM:$AM,INT((ROWS($A$10:$A26)+1)/2)+1)&lt;&gt;"","第一種","")</f>
        <v/>
      </c>
      <c r="F26" s="77" t="str">
        <f>IF(E26="","",INDEX(Sheet1!$AO:$AO,INT((ROWS($A$10:$A26)+1)/2)+1)&amp;"")</f>
        <v/>
      </c>
      <c r="G26" s="76" t="str">
        <f>IF(OR(E26="",INDEX(Sheet1!$AY:$AY,INT((ROWS($A$10:$A26)+1)/2)+1)=""),"",INDEX(Sheet1!$AY:$AY,INT((ROWS($A$10:$A26)+1)/2)+1))</f>
        <v/>
      </c>
      <c r="H26" s="74" t="str">
        <f>IF(INDEX(Sheet1!$AD:$AD,INT((ROWS($A$10:$A26)+1)/2)+1)="","",INDEX(Sheet1!$AD:$AD,INT((ROWS($A$10:$A26)+1)/2)+1))</f>
        <v/>
      </c>
      <c r="I26" s="76" t="str">
        <f>IF(INDEX(Sheet1!$AK:$AK,INT((ROWS($A$10:$A26)+1)/2)+1)="","",INDEX(Sheet1!$AK:$AK,INT((ROWS($A$10:$A26)+1)/2)+1))</f>
        <v/>
      </c>
      <c r="J26" s="90"/>
    </row>
    <row r="27" spans="1:10" ht="30" customHeight="1" x14ac:dyDescent="0.15">
      <c r="A27" s="74" t="str">
        <f>IF(E27="","",IF(E26="",INDEX(Sheet1!$AC:$AC,INT((ROWS($A$10:$A27)+1)/2)+1)&amp;"","〃"))</f>
        <v/>
      </c>
      <c r="B27" s="74" t="str">
        <f>IF(E27="","",IF(E26="",INDEX(Sheet1!$B:$B,INT((ROWS($A$10:$A27)+1)/2)+1)&amp;"","〃"))</f>
        <v/>
      </c>
      <c r="C27" s="74" t="str">
        <f>IF(E27="","",IF(E26="",INDEX(Sheet1!$CN:$CN,INT((ROWS($A$10:$A27)+1)/2)+1)&amp;"","〃"))</f>
        <v/>
      </c>
      <c r="D27" s="76" t="str">
        <f>IF(E27="","",IF(E26="",IF(INDEX(Sheet1!$N:$N,INT((ROWS($A$10:$A27)+1)/2)+1)="","",INDEX(Sheet1!$N:$N,INT((ROWS($A$10:$A27)+1)/2)+1)),"〃"))</f>
        <v/>
      </c>
      <c r="E27" s="74" t="str">
        <f>IF(INDEX(Sheet1!$BA:$BA,INT((ROWS($A$10:$A27)+1)/2)+1)&lt;&gt;"","わな猟","")</f>
        <v/>
      </c>
      <c r="F27" s="77" t="str">
        <f>IF(E27="","",INDEX(Sheet1!$BC:$BC,INT((ROWS($A$10:$A27)+1)/2)+1)&amp;"")</f>
        <v/>
      </c>
      <c r="G27" s="76" t="str">
        <f>IF(E27="","",IF(INDEX(Sheet1!$BM:$BM,INT((ROWS($A$10:$A27)+1)/2)+1)="","",INDEX(Sheet1!$BM:$BM,INT((ROWS($A$10:$A27)+1)/2)+1)))</f>
        <v/>
      </c>
      <c r="H27" s="78"/>
      <c r="I27" s="73"/>
      <c r="J27" s="90"/>
    </row>
    <row r="28" spans="1:10" ht="30" customHeight="1" x14ac:dyDescent="0.15">
      <c r="A28" s="74" t="str">
        <f>IF(AND(INDEX(Sheet1!$AM:$AM,INT((ROWS($A$10:$A28)+1)/2)+1)="",INDEX(Sheet1!$BA:$BA,INT((ROWS($A$10:$A28)+1)/2)+1)&lt;&gt;""),"",INDEX(Sheet1!$AC:$AC,INT((ROWS($A$10:$A28)+1)/2)+1)&amp;"")</f>
        <v/>
      </c>
      <c r="B28" s="74" t="str">
        <f>IF(AND(INDEX(Sheet1!$AM:$AM,INT((ROWS($A$10:$A28)+1)/2)+1)="",INDEX(Sheet1!$BA:$BA,INT((ROWS($A$10:$A28)+1)/2)+1)&lt;&gt;""),"",INDEX(Sheet1!$B:$B,INT((ROWS($A$10:$A28)+1)/2)+1)&amp;"")</f>
        <v/>
      </c>
      <c r="C28" s="74" t="str">
        <f>IF(AND(INDEX(Sheet1!$AM:$AM,INT((ROWS($A$10:$A28)+1)/2)+1)="",INDEX(Sheet1!$BA:$BA,INT((ROWS($A$10:$A28)+1)/2)+1)&lt;&gt;""),"",INDEX(Sheet1!$CN:$CN,INT((ROWS($A$10:$A28)+1)/2)+1)&amp;"")</f>
        <v/>
      </c>
      <c r="D28" s="76" t="str">
        <f>IF(OR(AND(INDEX(Sheet1!$AM:$AM,INT((ROWS($A$10:$A28)+1)/2)+1)="",INDEX(Sheet1!$BA:$BA,INT((ROWS($A$10:$A28)+1)/2)+1)&lt;&gt;""),INDEX(Sheet1!$N:$N,INT((ROWS($A$10:$A28)+1)/2)+1)=""),"",INDEX(Sheet1!$N:$N,INT((ROWS($A$10:$A28)+1)/2)+1))</f>
        <v/>
      </c>
      <c r="E28" s="74" t="str">
        <f>IF(INDEX(Sheet1!$AM:$AM,INT((ROWS($A$10:$A28)+1)/2)+1)&lt;&gt;"","第一種","")</f>
        <v/>
      </c>
      <c r="F28" s="77" t="str">
        <f>IF(E28="","",INDEX(Sheet1!$AO:$AO,INT((ROWS($A$10:$A28)+1)/2)+1)&amp;"")</f>
        <v/>
      </c>
      <c r="G28" s="76" t="str">
        <f>IF(OR(E28="",INDEX(Sheet1!$AY:$AY,INT((ROWS($A$10:$A28)+1)/2)+1)=""),"",INDEX(Sheet1!$AY:$AY,INT((ROWS($A$10:$A28)+1)/2)+1))</f>
        <v/>
      </c>
      <c r="H28" s="74" t="str">
        <f>IF(INDEX(Sheet1!$AD:$AD,INT((ROWS($A$10:$A28)+1)/2)+1)="","",INDEX(Sheet1!$AD:$AD,INT((ROWS($A$10:$A28)+1)/2)+1))</f>
        <v/>
      </c>
      <c r="I28" s="76" t="str">
        <f>IF(INDEX(Sheet1!$AK:$AK,INT((ROWS($A$10:$A28)+1)/2)+1)="","",INDEX(Sheet1!$AK:$AK,INT((ROWS($A$10:$A28)+1)/2)+1))</f>
        <v/>
      </c>
      <c r="J28" s="90"/>
    </row>
    <row r="29" spans="1:10" ht="30" customHeight="1" x14ac:dyDescent="0.15">
      <c r="A29" s="74" t="str">
        <f>IF(E29="","",IF(E28="",INDEX(Sheet1!$AC:$AC,INT((ROWS($A$10:$A29)+1)/2)+1)&amp;"","〃"))</f>
        <v/>
      </c>
      <c r="B29" s="74" t="str">
        <f>IF(E29="","",IF(E28="",INDEX(Sheet1!$B:$B,INT((ROWS($A$10:$A29)+1)/2)+1)&amp;"","〃"))</f>
        <v/>
      </c>
      <c r="C29" s="74" t="str">
        <f>IF(E29="","",IF(E28="",INDEX(Sheet1!$CN:$CN,INT((ROWS($A$10:$A29)+1)/2)+1)&amp;"","〃"))</f>
        <v/>
      </c>
      <c r="D29" s="76" t="str">
        <f>IF(E29="","",IF(E28="",IF(INDEX(Sheet1!$N:$N,INT((ROWS($A$10:$A29)+1)/2)+1)="","",INDEX(Sheet1!$N:$N,INT((ROWS($A$10:$A29)+1)/2)+1)),"〃"))</f>
        <v/>
      </c>
      <c r="E29" s="74" t="str">
        <f>IF(INDEX(Sheet1!$BA:$BA,INT((ROWS($A$10:$A29)+1)/2)+1)&lt;&gt;"","わな猟","")</f>
        <v/>
      </c>
      <c r="F29" s="77" t="str">
        <f>IF(E29="","",INDEX(Sheet1!$BC:$BC,INT((ROWS($A$10:$A29)+1)/2)+1)&amp;"")</f>
        <v/>
      </c>
      <c r="G29" s="76" t="str">
        <f>IF(E29="","",IF(INDEX(Sheet1!$BM:$BM,INT((ROWS($A$10:$A29)+1)/2)+1)="","",INDEX(Sheet1!$BM:$BM,INT((ROWS($A$10:$A29)+1)/2)+1)))</f>
        <v/>
      </c>
      <c r="H29" s="78"/>
      <c r="I29" s="73"/>
      <c r="J29" s="90"/>
    </row>
    <row r="30" spans="1:10" ht="30" customHeight="1" x14ac:dyDescent="0.15">
      <c r="A30" s="74" t="str">
        <f>IF(AND(INDEX(Sheet1!$AM:$AM,INT((ROWS($A$10:$A30)+1)/2)+1)="",INDEX(Sheet1!$BA:$BA,INT((ROWS($A$10:$A30)+1)/2)+1)&lt;&gt;""),"",INDEX(Sheet1!$AC:$AC,INT((ROWS($A$10:$A30)+1)/2)+1)&amp;"")</f>
        <v/>
      </c>
      <c r="B30" s="74" t="str">
        <f>IF(AND(INDEX(Sheet1!$AM:$AM,INT((ROWS($A$10:$A30)+1)/2)+1)="",INDEX(Sheet1!$BA:$BA,INT((ROWS($A$10:$A30)+1)/2)+1)&lt;&gt;""),"",INDEX(Sheet1!$B:$B,INT((ROWS($A$10:$A30)+1)/2)+1)&amp;"")</f>
        <v/>
      </c>
      <c r="C30" s="74" t="str">
        <f>IF(AND(INDEX(Sheet1!$AM:$AM,INT((ROWS($A$10:$A30)+1)/2)+1)="",INDEX(Sheet1!$BA:$BA,INT((ROWS($A$10:$A30)+1)/2)+1)&lt;&gt;""),"",INDEX(Sheet1!$CN:$CN,INT((ROWS($A$10:$A30)+1)/2)+1)&amp;"")</f>
        <v/>
      </c>
      <c r="D30" s="76" t="str">
        <f>IF(OR(AND(INDEX(Sheet1!$AM:$AM,INT((ROWS($A$10:$A30)+1)/2)+1)="",INDEX(Sheet1!$BA:$BA,INT((ROWS($A$10:$A30)+1)/2)+1)&lt;&gt;""),INDEX(Sheet1!$N:$N,INT((ROWS($A$10:$A30)+1)/2)+1)=""),"",INDEX(Sheet1!$N:$N,INT((ROWS($A$10:$A30)+1)/2)+1))</f>
        <v/>
      </c>
      <c r="E30" s="74" t="str">
        <f>IF(INDEX(Sheet1!$AM:$AM,INT((ROWS($A$10:$A30)+1)/2)+1)&lt;&gt;"","第一種","")</f>
        <v/>
      </c>
      <c r="F30" s="77" t="str">
        <f>IF(E30="","",INDEX(Sheet1!$AO:$AO,INT((ROWS($A$10:$A30)+1)/2)+1)&amp;"")</f>
        <v/>
      </c>
      <c r="G30" s="76" t="str">
        <f>IF(OR(E30="",INDEX(Sheet1!$AY:$AY,INT((ROWS($A$10:$A30)+1)/2)+1)=""),"",INDEX(Sheet1!$AY:$AY,INT((ROWS($A$10:$A30)+1)/2)+1))</f>
        <v/>
      </c>
      <c r="H30" s="74" t="str">
        <f>IF(INDEX(Sheet1!$AD:$AD,INT((ROWS($A$10:$A30)+1)/2)+1)="","",INDEX(Sheet1!$AD:$AD,INT((ROWS($A$10:$A30)+1)/2)+1))</f>
        <v/>
      </c>
      <c r="I30" s="76" t="str">
        <f>IF(INDEX(Sheet1!$AK:$AK,INT((ROWS($A$10:$A30)+1)/2)+1)="","",INDEX(Sheet1!$AK:$AK,INT((ROWS($A$10:$A30)+1)/2)+1))</f>
        <v/>
      </c>
      <c r="J30" s="90"/>
    </row>
    <row r="31" spans="1:10" ht="30" customHeight="1" x14ac:dyDescent="0.15">
      <c r="A31" s="74" t="str">
        <f>IF(E31="","",IF(E30="",INDEX(Sheet1!$AC:$AC,INT((ROWS($A$10:$A31)+1)/2)+1)&amp;"","〃"))</f>
        <v/>
      </c>
      <c r="B31" s="74" t="str">
        <f>IF(E31="","",IF(E30="",INDEX(Sheet1!$B:$B,INT((ROWS($A$10:$A31)+1)/2)+1)&amp;"","〃"))</f>
        <v/>
      </c>
      <c r="C31" s="74" t="str">
        <f>IF(E31="","",IF(E30="",INDEX(Sheet1!$CN:$CN,INT((ROWS($A$10:$A31)+1)/2)+1)&amp;"","〃"))</f>
        <v/>
      </c>
      <c r="D31" s="76" t="str">
        <f>IF(E31="","",IF(E30="",IF(INDEX(Sheet1!$N:$N,INT((ROWS($A$10:$A31)+1)/2)+1)="","",INDEX(Sheet1!$N:$N,INT((ROWS($A$10:$A31)+1)/2)+1)),"〃"))</f>
        <v/>
      </c>
      <c r="E31" s="74" t="str">
        <f>IF(INDEX(Sheet1!$BA:$BA,INT((ROWS($A$10:$A31)+1)/2)+1)&lt;&gt;"","わな猟","")</f>
        <v/>
      </c>
      <c r="F31" s="77" t="str">
        <f>IF(E31="","",INDEX(Sheet1!$BC:$BC,INT((ROWS($A$10:$A31)+1)/2)+1)&amp;"")</f>
        <v/>
      </c>
      <c r="G31" s="76" t="str">
        <f>IF(E31="","",IF(INDEX(Sheet1!$BM:$BM,INT((ROWS($A$10:$A31)+1)/2)+1)="","",INDEX(Sheet1!$BM:$BM,INT((ROWS($A$10:$A31)+1)/2)+1)))</f>
        <v/>
      </c>
      <c r="H31" s="78"/>
      <c r="I31" s="73"/>
      <c r="J31" s="90"/>
    </row>
    <row r="32" spans="1:10" ht="30" customHeight="1" x14ac:dyDescent="0.15">
      <c r="A32" s="74" t="str">
        <f>IF(AND(INDEX(Sheet1!$AM:$AM,INT((ROWS($A$10:$A32)+1)/2)+1)="",INDEX(Sheet1!$BA:$BA,INT((ROWS($A$10:$A32)+1)/2)+1)&lt;&gt;""),"",INDEX(Sheet1!$AC:$AC,INT((ROWS($A$10:$A32)+1)/2)+1)&amp;"")</f>
        <v/>
      </c>
      <c r="B32" s="74" t="str">
        <f>IF(AND(INDEX(Sheet1!$AM:$AM,INT((ROWS($A$10:$A32)+1)/2)+1)="",INDEX(Sheet1!$BA:$BA,INT((ROWS($A$10:$A32)+1)/2)+1)&lt;&gt;""),"",INDEX(Sheet1!$B:$B,INT((ROWS($A$10:$A32)+1)/2)+1)&amp;"")</f>
        <v/>
      </c>
      <c r="C32" s="74" t="str">
        <f>IF(AND(INDEX(Sheet1!$AM:$AM,INT((ROWS($A$10:$A32)+1)/2)+1)="",INDEX(Sheet1!$BA:$BA,INT((ROWS($A$10:$A32)+1)/2)+1)&lt;&gt;""),"",INDEX(Sheet1!$CN:$CN,INT((ROWS($A$10:$A32)+1)/2)+1)&amp;"")</f>
        <v/>
      </c>
      <c r="D32" s="76" t="str">
        <f>IF(OR(AND(INDEX(Sheet1!$AM:$AM,INT((ROWS($A$10:$A32)+1)/2)+1)="",INDEX(Sheet1!$BA:$BA,INT((ROWS($A$10:$A32)+1)/2)+1)&lt;&gt;""),INDEX(Sheet1!$N:$N,INT((ROWS($A$10:$A32)+1)/2)+1)=""),"",INDEX(Sheet1!$N:$N,INT((ROWS($A$10:$A32)+1)/2)+1))</f>
        <v/>
      </c>
      <c r="E32" s="74" t="str">
        <f>IF(INDEX(Sheet1!$AM:$AM,INT((ROWS($A$10:$A32)+1)/2)+1)&lt;&gt;"","第一種","")</f>
        <v/>
      </c>
      <c r="F32" s="77" t="str">
        <f>IF(E32="","",INDEX(Sheet1!$AO:$AO,INT((ROWS($A$10:$A32)+1)/2)+1)&amp;"")</f>
        <v/>
      </c>
      <c r="G32" s="76" t="str">
        <f>IF(OR(E32="",INDEX(Sheet1!$AY:$AY,INT((ROWS($A$10:$A32)+1)/2)+1)=""),"",INDEX(Sheet1!$AY:$AY,INT((ROWS($A$10:$A32)+1)/2)+1))</f>
        <v/>
      </c>
      <c r="H32" s="74" t="str">
        <f>IF(INDEX(Sheet1!$AD:$AD,INT((ROWS($A$10:$A32)+1)/2)+1)="","",INDEX(Sheet1!$AD:$AD,INT((ROWS($A$10:$A32)+1)/2)+1))</f>
        <v/>
      </c>
      <c r="I32" s="76" t="str">
        <f>IF(INDEX(Sheet1!$AK:$AK,INT((ROWS($A$10:$A32)+1)/2)+1)="","",INDEX(Sheet1!$AK:$AK,INT((ROWS($A$10:$A32)+1)/2)+1))</f>
        <v/>
      </c>
      <c r="J32" s="90"/>
    </row>
    <row r="33" spans="1:10" ht="30" customHeight="1" x14ac:dyDescent="0.15">
      <c r="A33" s="74" t="str">
        <f>IF(E33="","",IF(E32="",INDEX(Sheet1!$AC:$AC,INT((ROWS($A$10:$A33)+1)/2)+1)&amp;"","〃"))</f>
        <v/>
      </c>
      <c r="B33" s="74" t="str">
        <f>IF(E33="","",IF(E32="",INDEX(Sheet1!$B:$B,INT((ROWS($A$10:$A33)+1)/2)+1)&amp;"","〃"))</f>
        <v/>
      </c>
      <c r="C33" s="74" t="str">
        <f>IF(E33="","",IF(E32="",INDEX(Sheet1!$CN:$CN,INT((ROWS($A$10:$A33)+1)/2)+1)&amp;"","〃"))</f>
        <v/>
      </c>
      <c r="D33" s="76" t="str">
        <f>IF(E33="","",IF(E32="",IF(INDEX(Sheet1!$N:$N,INT((ROWS($A$10:$A33)+1)/2)+1)="","",INDEX(Sheet1!$N:$N,INT((ROWS($A$10:$A33)+1)/2)+1)),"〃"))</f>
        <v/>
      </c>
      <c r="E33" s="74" t="str">
        <f>IF(INDEX(Sheet1!$BA:$BA,INT((ROWS($A$10:$A33)+1)/2)+1)&lt;&gt;"","わな猟","")</f>
        <v/>
      </c>
      <c r="F33" s="77" t="str">
        <f>IF(E33="","",INDEX(Sheet1!$BC:$BC,INT((ROWS($A$10:$A33)+1)/2)+1)&amp;"")</f>
        <v/>
      </c>
      <c r="G33" s="76" t="str">
        <f>IF(E33="","",IF(INDEX(Sheet1!$BM:$BM,INT((ROWS($A$10:$A33)+1)/2)+1)="","",INDEX(Sheet1!$BM:$BM,INT((ROWS($A$10:$A33)+1)/2)+1)))</f>
        <v/>
      </c>
      <c r="H33" s="78"/>
      <c r="I33" s="73"/>
      <c r="J33" s="90"/>
    </row>
    <row r="34" spans="1:10" ht="30" customHeight="1" x14ac:dyDescent="0.15">
      <c r="A34" s="74" t="str">
        <f>IF(AND(INDEX(Sheet1!$AM:$AM,INT((ROWS($A$10:$A34)+1)/2)+1)="",INDEX(Sheet1!$BA:$BA,INT((ROWS($A$10:$A34)+1)/2)+1)&lt;&gt;""),"",INDEX(Sheet1!$AC:$AC,INT((ROWS($A$10:$A34)+1)/2)+1)&amp;"")</f>
        <v/>
      </c>
      <c r="B34" s="74" t="str">
        <f>IF(AND(INDEX(Sheet1!$AM:$AM,INT((ROWS($A$10:$A34)+1)/2)+1)="",INDEX(Sheet1!$BA:$BA,INT((ROWS($A$10:$A34)+1)/2)+1)&lt;&gt;""),"",INDEX(Sheet1!$B:$B,INT((ROWS($A$10:$A34)+1)/2)+1)&amp;"")</f>
        <v/>
      </c>
      <c r="C34" s="74" t="str">
        <f>IF(AND(INDEX(Sheet1!$AM:$AM,INT((ROWS($A$10:$A34)+1)/2)+1)="",INDEX(Sheet1!$BA:$BA,INT((ROWS($A$10:$A34)+1)/2)+1)&lt;&gt;""),"",INDEX(Sheet1!$CN:$CN,INT((ROWS($A$10:$A34)+1)/2)+1)&amp;"")</f>
        <v/>
      </c>
      <c r="D34" s="76" t="str">
        <f>IF(OR(AND(INDEX(Sheet1!$AM:$AM,INT((ROWS($A$10:$A34)+1)/2)+1)="",INDEX(Sheet1!$BA:$BA,INT((ROWS($A$10:$A34)+1)/2)+1)&lt;&gt;""),INDEX(Sheet1!$N:$N,INT((ROWS($A$10:$A34)+1)/2)+1)=""),"",INDEX(Sheet1!$N:$N,INT((ROWS($A$10:$A34)+1)/2)+1))</f>
        <v/>
      </c>
      <c r="E34" s="74" t="str">
        <f>IF(INDEX(Sheet1!$AM:$AM,INT((ROWS($A$10:$A34)+1)/2)+1)&lt;&gt;"","第一種","")</f>
        <v/>
      </c>
      <c r="F34" s="77" t="str">
        <f>IF(E34="","",INDEX(Sheet1!$AO:$AO,INT((ROWS($A$10:$A34)+1)/2)+1)&amp;"")</f>
        <v/>
      </c>
      <c r="G34" s="76" t="str">
        <f>IF(OR(E34="",INDEX(Sheet1!$AY:$AY,INT((ROWS($A$10:$A34)+1)/2)+1)=""),"",INDEX(Sheet1!$AY:$AY,INT((ROWS($A$10:$A34)+1)/2)+1))</f>
        <v/>
      </c>
      <c r="H34" s="74" t="str">
        <f>IF(INDEX(Sheet1!$AD:$AD,INT((ROWS($A$10:$A34)+1)/2)+1)="","",INDEX(Sheet1!$AD:$AD,INT((ROWS($A$10:$A34)+1)/2)+1))</f>
        <v/>
      </c>
      <c r="I34" s="76" t="str">
        <f>IF(INDEX(Sheet1!$AK:$AK,INT((ROWS($A$10:$A34)+1)/2)+1)="","",INDEX(Sheet1!$AK:$AK,INT((ROWS($A$10:$A34)+1)/2)+1))</f>
        <v/>
      </c>
      <c r="J34" s="90"/>
    </row>
    <row r="35" spans="1:10" ht="30" customHeight="1" x14ac:dyDescent="0.15">
      <c r="A35" s="74" t="str">
        <f>IF(E35="","",IF(E34="",INDEX(Sheet1!$AC:$AC,INT((ROWS($A$10:$A35)+1)/2)+1)&amp;"","〃"))</f>
        <v/>
      </c>
      <c r="B35" s="74" t="str">
        <f>IF(E35="","",IF(E34="",INDEX(Sheet1!$B:$B,INT((ROWS($A$10:$A35)+1)/2)+1)&amp;"","〃"))</f>
        <v/>
      </c>
      <c r="C35" s="74" t="str">
        <f>IF(E35="","",IF(E34="",INDEX(Sheet1!$CN:$CN,INT((ROWS($A$10:$A35)+1)/2)+1)&amp;"","〃"))</f>
        <v/>
      </c>
      <c r="D35" s="76" t="str">
        <f>IF(E35="","",IF(E34="",IF(INDEX(Sheet1!$N:$N,INT((ROWS($A$10:$A35)+1)/2)+1)="","",INDEX(Sheet1!$N:$N,INT((ROWS($A$10:$A35)+1)/2)+1)),"〃"))</f>
        <v/>
      </c>
      <c r="E35" s="74" t="str">
        <f>IF(INDEX(Sheet1!$BA:$BA,INT((ROWS($A$10:$A35)+1)/2)+1)&lt;&gt;"","わな猟","")</f>
        <v/>
      </c>
      <c r="F35" s="77" t="str">
        <f>IF(E35="","",INDEX(Sheet1!$BC:$BC,INT((ROWS($A$10:$A35)+1)/2)+1)&amp;"")</f>
        <v/>
      </c>
      <c r="G35" s="76" t="str">
        <f>IF(E35="","",IF(INDEX(Sheet1!$BM:$BM,INT((ROWS($A$10:$A35)+1)/2)+1)="","",INDEX(Sheet1!$BM:$BM,INT((ROWS($A$10:$A35)+1)/2)+1)))</f>
        <v/>
      </c>
      <c r="H35" s="78"/>
      <c r="I35" s="73"/>
      <c r="J35" s="90"/>
    </row>
    <row r="36" spans="1:10" ht="30" customHeight="1" x14ac:dyDescent="0.15">
      <c r="A36" s="74" t="str">
        <f>IF(AND(INDEX(Sheet1!$AM:$AM,INT((ROWS($A$10:$A36)+1)/2)+1)="",INDEX(Sheet1!$BA:$BA,INT((ROWS($A$10:$A36)+1)/2)+1)&lt;&gt;""),"",INDEX(Sheet1!$AC:$AC,INT((ROWS($A$10:$A36)+1)/2)+1)&amp;"")</f>
        <v/>
      </c>
      <c r="B36" s="74" t="str">
        <f>IF(AND(INDEX(Sheet1!$AM:$AM,INT((ROWS($A$10:$A36)+1)/2)+1)="",INDEX(Sheet1!$BA:$BA,INT((ROWS($A$10:$A36)+1)/2)+1)&lt;&gt;""),"",INDEX(Sheet1!$B:$B,INT((ROWS($A$10:$A36)+1)/2)+1)&amp;"")</f>
        <v/>
      </c>
      <c r="C36" s="74" t="str">
        <f>IF(AND(INDEX(Sheet1!$AM:$AM,INT((ROWS($A$10:$A36)+1)/2)+1)="",INDEX(Sheet1!$BA:$BA,INT((ROWS($A$10:$A36)+1)/2)+1)&lt;&gt;""),"",INDEX(Sheet1!$CN:$CN,INT((ROWS($A$10:$A36)+1)/2)+1)&amp;"")</f>
        <v/>
      </c>
      <c r="D36" s="76" t="str">
        <f>IF(OR(AND(INDEX(Sheet1!$AM:$AM,INT((ROWS($A$10:$A36)+1)/2)+1)="",INDEX(Sheet1!$BA:$BA,INT((ROWS($A$10:$A36)+1)/2)+1)&lt;&gt;""),INDEX(Sheet1!$N:$N,INT((ROWS($A$10:$A36)+1)/2)+1)=""),"",INDEX(Sheet1!$N:$N,INT((ROWS($A$10:$A36)+1)/2)+1))</f>
        <v/>
      </c>
      <c r="E36" s="74" t="str">
        <f>IF(INDEX(Sheet1!$AM:$AM,INT((ROWS($A$10:$A36)+1)/2)+1)&lt;&gt;"","第一種","")</f>
        <v/>
      </c>
      <c r="F36" s="77" t="str">
        <f>IF(E36="","",INDEX(Sheet1!$AO:$AO,INT((ROWS($A$10:$A36)+1)/2)+1)&amp;"")</f>
        <v/>
      </c>
      <c r="G36" s="76" t="str">
        <f>IF(OR(E36="",INDEX(Sheet1!$AY:$AY,INT((ROWS($A$10:$A36)+1)/2)+1)=""),"",INDEX(Sheet1!$AY:$AY,INT((ROWS($A$10:$A36)+1)/2)+1))</f>
        <v/>
      </c>
      <c r="H36" s="74" t="str">
        <f>IF(INDEX(Sheet1!$AD:$AD,INT((ROWS($A$10:$A36)+1)/2)+1)="","",INDEX(Sheet1!$AD:$AD,INT((ROWS($A$10:$A36)+1)/2)+1))</f>
        <v/>
      </c>
      <c r="I36" s="76" t="str">
        <f>IF(INDEX(Sheet1!$AK:$AK,INT((ROWS($A$10:$A36)+1)/2)+1)="","",INDEX(Sheet1!$AK:$AK,INT((ROWS($A$10:$A36)+1)/2)+1))</f>
        <v/>
      </c>
      <c r="J36" s="90"/>
    </row>
    <row r="37" spans="1:10" ht="30" customHeight="1" x14ac:dyDescent="0.15">
      <c r="A37" s="74" t="str">
        <f>IF(E37="","",IF(E36="",INDEX(Sheet1!$AC:$AC,INT((ROWS($A$10:$A37)+1)/2)+1)&amp;"","〃"))</f>
        <v/>
      </c>
      <c r="B37" s="74" t="str">
        <f>IF(E37="","",IF(E36="",INDEX(Sheet1!$B:$B,INT((ROWS($A$10:$A37)+1)/2)+1)&amp;"","〃"))</f>
        <v/>
      </c>
      <c r="C37" s="74" t="str">
        <f>IF(E37="","",IF(E36="",INDEX(Sheet1!$CN:$CN,INT((ROWS($A$10:$A37)+1)/2)+1)&amp;"","〃"))</f>
        <v/>
      </c>
      <c r="D37" s="76" t="str">
        <f>IF(E37="","",IF(E36="",IF(INDEX(Sheet1!$N:$N,INT((ROWS($A$10:$A37)+1)/2)+1)="","",INDEX(Sheet1!$N:$N,INT((ROWS($A$10:$A37)+1)/2)+1)),"〃"))</f>
        <v/>
      </c>
      <c r="E37" s="74" t="str">
        <f>IF(INDEX(Sheet1!$BA:$BA,INT((ROWS($A$10:$A37)+1)/2)+1)&lt;&gt;"","わな猟","")</f>
        <v/>
      </c>
      <c r="F37" s="77" t="str">
        <f>IF(E37="","",INDEX(Sheet1!$BC:$BC,INT((ROWS($A$10:$A37)+1)/2)+1)&amp;"")</f>
        <v/>
      </c>
      <c r="G37" s="76" t="str">
        <f>IF(E37="","",IF(INDEX(Sheet1!$BM:$BM,INT((ROWS($A$10:$A37)+1)/2)+1)="","",INDEX(Sheet1!$BM:$BM,INT((ROWS($A$10:$A37)+1)/2)+1)))</f>
        <v/>
      </c>
      <c r="H37" s="78"/>
      <c r="I37" s="73"/>
      <c r="J37" s="90"/>
    </row>
    <row r="38" spans="1:10" ht="30" customHeight="1" x14ac:dyDescent="0.15">
      <c r="A38" s="74" t="str">
        <f>IF(AND(INDEX(Sheet1!$AM:$AM,INT((ROWS($A$10:$A38)+1)/2)+1)="",INDEX(Sheet1!$BA:$BA,INT((ROWS($A$10:$A38)+1)/2)+1)&lt;&gt;""),"",INDEX(Sheet1!$AC:$AC,INT((ROWS($A$10:$A38)+1)/2)+1)&amp;"")</f>
        <v/>
      </c>
      <c r="B38" s="74" t="str">
        <f>IF(AND(INDEX(Sheet1!$AM:$AM,INT((ROWS($A$10:$A38)+1)/2)+1)="",INDEX(Sheet1!$BA:$BA,INT((ROWS($A$10:$A38)+1)/2)+1)&lt;&gt;""),"",INDEX(Sheet1!$B:$B,INT((ROWS($A$10:$A38)+1)/2)+1)&amp;"")</f>
        <v/>
      </c>
      <c r="C38" s="74" t="str">
        <f>IF(AND(INDEX(Sheet1!$AM:$AM,INT((ROWS($A$10:$A38)+1)/2)+1)="",INDEX(Sheet1!$BA:$BA,INT((ROWS($A$10:$A38)+1)/2)+1)&lt;&gt;""),"",INDEX(Sheet1!$CN:$CN,INT((ROWS($A$10:$A38)+1)/2)+1)&amp;"")</f>
        <v/>
      </c>
      <c r="D38" s="76" t="str">
        <f>IF(OR(AND(INDEX(Sheet1!$AM:$AM,INT((ROWS($A$10:$A38)+1)/2)+1)="",INDEX(Sheet1!$BA:$BA,INT((ROWS($A$10:$A38)+1)/2)+1)&lt;&gt;""),INDEX(Sheet1!$N:$N,INT((ROWS($A$10:$A38)+1)/2)+1)=""),"",INDEX(Sheet1!$N:$N,INT((ROWS($A$10:$A38)+1)/2)+1))</f>
        <v/>
      </c>
      <c r="E38" s="74" t="str">
        <f>IF(INDEX(Sheet1!$AM:$AM,INT((ROWS($A$10:$A38)+1)/2)+1)&lt;&gt;"","第一種","")</f>
        <v/>
      </c>
      <c r="F38" s="77" t="str">
        <f>IF(E38="","",INDEX(Sheet1!$AO:$AO,INT((ROWS($A$10:$A38)+1)/2)+1)&amp;"")</f>
        <v/>
      </c>
      <c r="G38" s="76" t="str">
        <f>IF(OR(E38="",INDEX(Sheet1!$AY:$AY,INT((ROWS($A$10:$A38)+1)/2)+1)=""),"",INDEX(Sheet1!$AY:$AY,INT((ROWS($A$10:$A38)+1)/2)+1))</f>
        <v/>
      </c>
      <c r="H38" s="74" t="str">
        <f>IF(INDEX(Sheet1!$AD:$AD,INT((ROWS($A$10:$A38)+1)/2)+1)="","",INDEX(Sheet1!$AD:$AD,INT((ROWS($A$10:$A38)+1)/2)+1))</f>
        <v/>
      </c>
      <c r="I38" s="76" t="str">
        <f>IF(INDEX(Sheet1!$AK:$AK,INT((ROWS($A$10:$A38)+1)/2)+1)="","",INDEX(Sheet1!$AK:$AK,INT((ROWS($A$10:$A38)+1)/2)+1))</f>
        <v/>
      </c>
      <c r="J38" s="90"/>
    </row>
    <row r="39" spans="1:10" ht="30" customHeight="1" x14ac:dyDescent="0.15">
      <c r="A39" s="74" t="str">
        <f>IF(E39="","",IF(E38="",INDEX(Sheet1!$AC:$AC,INT((ROWS($A$10:$A39)+1)/2)+1)&amp;"","〃"))</f>
        <v/>
      </c>
      <c r="B39" s="74" t="str">
        <f>IF(E39="","",IF(E38="",INDEX(Sheet1!$B:$B,INT((ROWS($A$10:$A39)+1)/2)+1)&amp;"","〃"))</f>
        <v/>
      </c>
      <c r="C39" s="74" t="str">
        <f>IF(E39="","",IF(E38="",INDEX(Sheet1!$CN:$CN,INT((ROWS($A$10:$A39)+1)/2)+1)&amp;"","〃"))</f>
        <v/>
      </c>
      <c r="D39" s="76" t="str">
        <f>IF(E39="","",IF(E38="",IF(INDEX(Sheet1!$N:$N,INT((ROWS($A$10:$A39)+1)/2)+1)="","",INDEX(Sheet1!$N:$N,INT((ROWS($A$10:$A39)+1)/2)+1)),"〃"))</f>
        <v/>
      </c>
      <c r="E39" s="74" t="str">
        <f>IF(INDEX(Sheet1!$BA:$BA,INT((ROWS($A$10:$A39)+1)/2)+1)&lt;&gt;"","わな猟","")</f>
        <v/>
      </c>
      <c r="F39" s="77" t="str">
        <f>IF(E39="","",INDEX(Sheet1!$BC:$BC,INT((ROWS($A$10:$A39)+1)/2)+1)&amp;"")</f>
        <v/>
      </c>
      <c r="G39" s="76" t="str">
        <f>IF(E39="","",IF(INDEX(Sheet1!$BM:$BM,INT((ROWS($A$10:$A39)+1)/2)+1)="","",INDEX(Sheet1!$BM:$BM,INT((ROWS($A$10:$A39)+1)/2)+1)))</f>
        <v/>
      </c>
      <c r="H39" s="78"/>
      <c r="I39" s="73"/>
      <c r="J39" s="90"/>
    </row>
    <row r="40" spans="1:10" ht="30" customHeight="1" x14ac:dyDescent="0.15">
      <c r="A40" s="74" t="str">
        <f>IF(AND(INDEX(Sheet1!$AM:$AM,INT((ROWS($A$10:$A40)+1)/2)+1)="",INDEX(Sheet1!$BA:$BA,INT((ROWS($A$10:$A40)+1)/2)+1)&lt;&gt;""),"",INDEX(Sheet1!$AC:$AC,INT((ROWS($A$10:$A40)+1)/2)+1)&amp;"")</f>
        <v/>
      </c>
      <c r="B40" s="74" t="str">
        <f>IF(AND(INDEX(Sheet1!$AM:$AM,INT((ROWS($A$10:$A40)+1)/2)+1)="",INDEX(Sheet1!$BA:$BA,INT((ROWS($A$10:$A40)+1)/2)+1)&lt;&gt;""),"",INDEX(Sheet1!$B:$B,INT((ROWS($A$10:$A40)+1)/2)+1)&amp;"")</f>
        <v/>
      </c>
      <c r="C40" s="74" t="str">
        <f>IF(AND(INDEX(Sheet1!$AM:$AM,INT((ROWS($A$10:$A40)+1)/2)+1)="",INDEX(Sheet1!$BA:$BA,INT((ROWS($A$10:$A40)+1)/2)+1)&lt;&gt;""),"",INDEX(Sheet1!$CN:$CN,INT((ROWS($A$10:$A40)+1)/2)+1)&amp;"")</f>
        <v/>
      </c>
      <c r="D40" s="76" t="str">
        <f>IF(OR(AND(INDEX(Sheet1!$AM:$AM,INT((ROWS($A$10:$A40)+1)/2)+1)="",INDEX(Sheet1!$BA:$BA,INT((ROWS($A$10:$A40)+1)/2)+1)&lt;&gt;""),INDEX(Sheet1!$N:$N,INT((ROWS($A$10:$A40)+1)/2)+1)=""),"",INDEX(Sheet1!$N:$N,INT((ROWS($A$10:$A40)+1)/2)+1))</f>
        <v/>
      </c>
      <c r="E40" s="74" t="str">
        <f>IF(INDEX(Sheet1!$AM:$AM,INT((ROWS($A$10:$A40)+1)/2)+1)&lt;&gt;"","第一種","")</f>
        <v/>
      </c>
      <c r="F40" s="77" t="str">
        <f>IF(E40="","",INDEX(Sheet1!$AO:$AO,INT((ROWS($A$10:$A40)+1)/2)+1)&amp;"")</f>
        <v/>
      </c>
      <c r="G40" s="76" t="str">
        <f>IF(OR(E40="",INDEX(Sheet1!$AY:$AY,INT((ROWS($A$10:$A40)+1)/2)+1)=""),"",INDEX(Sheet1!$AY:$AY,INT((ROWS($A$10:$A40)+1)/2)+1))</f>
        <v/>
      </c>
      <c r="H40" s="74" t="str">
        <f>IF(INDEX(Sheet1!$AD:$AD,INT((ROWS($A$10:$A40)+1)/2)+1)="","",INDEX(Sheet1!$AD:$AD,INT((ROWS($A$10:$A40)+1)/2)+1))</f>
        <v/>
      </c>
      <c r="I40" s="76" t="str">
        <f>IF(INDEX(Sheet1!$AK:$AK,INT((ROWS($A$10:$A40)+1)/2)+1)="","",INDEX(Sheet1!$AK:$AK,INT((ROWS($A$10:$A40)+1)/2)+1))</f>
        <v/>
      </c>
      <c r="J40" s="90"/>
    </row>
    <row r="41" spans="1:10" ht="30" customHeight="1" x14ac:dyDescent="0.15">
      <c r="A41" s="74" t="str">
        <f>IF(E41="","",IF(E40="",INDEX(Sheet1!$AC:$AC,INT((ROWS($A$10:$A41)+1)/2)+1)&amp;"","〃"))</f>
        <v/>
      </c>
      <c r="B41" s="74" t="str">
        <f>IF(E41="","",IF(E40="",INDEX(Sheet1!$B:$B,INT((ROWS($A$10:$A41)+1)/2)+1)&amp;"","〃"))</f>
        <v/>
      </c>
      <c r="C41" s="74" t="str">
        <f>IF(E41="","",IF(E40="",INDEX(Sheet1!$CN:$CN,INT((ROWS($A$10:$A41)+1)/2)+1)&amp;"","〃"))</f>
        <v/>
      </c>
      <c r="D41" s="76" t="str">
        <f>IF(E41="","",IF(E40="",IF(INDEX(Sheet1!$N:$N,INT((ROWS($A$10:$A41)+1)/2)+1)="","",INDEX(Sheet1!$N:$N,INT((ROWS($A$10:$A41)+1)/2)+1)),"〃"))</f>
        <v/>
      </c>
      <c r="E41" s="74" t="str">
        <f>IF(INDEX(Sheet1!$BA:$BA,INT((ROWS($A$10:$A41)+1)/2)+1)&lt;&gt;"","わな猟","")</f>
        <v/>
      </c>
      <c r="F41" s="77" t="str">
        <f>IF(E41="","",INDEX(Sheet1!$BC:$BC,INT((ROWS($A$10:$A41)+1)/2)+1)&amp;"")</f>
        <v/>
      </c>
      <c r="G41" s="76" t="str">
        <f>IF(E41="","",IF(INDEX(Sheet1!$BM:$BM,INT((ROWS($A$10:$A41)+1)/2)+1)="","",INDEX(Sheet1!$BM:$BM,INT((ROWS($A$10:$A41)+1)/2)+1)))</f>
        <v/>
      </c>
      <c r="H41" s="78"/>
      <c r="I41" s="73"/>
      <c r="J41" s="90"/>
    </row>
    <row r="42" spans="1:10" ht="30" customHeight="1" x14ac:dyDescent="0.15">
      <c r="A42" s="74" t="str">
        <f>IF(AND(INDEX(Sheet1!$AM:$AM,INT((ROWS($A$10:$A42)+1)/2)+1)="",INDEX(Sheet1!$BA:$BA,INT((ROWS($A$10:$A42)+1)/2)+1)&lt;&gt;""),"",INDEX(Sheet1!$AC:$AC,INT((ROWS($A$10:$A42)+1)/2)+1)&amp;"")</f>
        <v/>
      </c>
      <c r="B42" s="74" t="str">
        <f>IF(AND(INDEX(Sheet1!$AM:$AM,INT((ROWS($A$10:$A42)+1)/2)+1)="",INDEX(Sheet1!$BA:$BA,INT((ROWS($A$10:$A42)+1)/2)+1)&lt;&gt;""),"",INDEX(Sheet1!$B:$B,INT((ROWS($A$10:$A42)+1)/2)+1)&amp;"")</f>
        <v/>
      </c>
      <c r="C42" s="74" t="str">
        <f>IF(AND(INDEX(Sheet1!$AM:$AM,INT((ROWS($A$10:$A42)+1)/2)+1)="",INDEX(Sheet1!$BA:$BA,INT((ROWS($A$10:$A42)+1)/2)+1)&lt;&gt;""),"",INDEX(Sheet1!$CN:$CN,INT((ROWS($A$10:$A42)+1)/2)+1)&amp;"")</f>
        <v/>
      </c>
      <c r="D42" s="76" t="str">
        <f>IF(OR(AND(INDEX(Sheet1!$AM:$AM,INT((ROWS($A$10:$A42)+1)/2)+1)="",INDEX(Sheet1!$BA:$BA,INT((ROWS($A$10:$A42)+1)/2)+1)&lt;&gt;""),INDEX(Sheet1!$N:$N,INT((ROWS($A$10:$A42)+1)/2)+1)=""),"",INDEX(Sheet1!$N:$N,INT((ROWS($A$10:$A42)+1)/2)+1))</f>
        <v/>
      </c>
      <c r="E42" s="74" t="str">
        <f>IF(INDEX(Sheet1!$AM:$AM,INT((ROWS($A$10:$A42)+1)/2)+1)&lt;&gt;"","第一種","")</f>
        <v/>
      </c>
      <c r="F42" s="77" t="str">
        <f>IF(E42="","",INDEX(Sheet1!$AO:$AO,INT((ROWS($A$10:$A42)+1)/2)+1)&amp;"")</f>
        <v/>
      </c>
      <c r="G42" s="76" t="str">
        <f>IF(OR(E42="",INDEX(Sheet1!$AY:$AY,INT((ROWS($A$10:$A42)+1)/2)+1)=""),"",INDEX(Sheet1!$AY:$AY,INT((ROWS($A$10:$A42)+1)/2)+1))</f>
        <v/>
      </c>
      <c r="H42" s="74" t="str">
        <f>IF(INDEX(Sheet1!$AD:$AD,INT((ROWS($A$10:$A42)+1)/2)+1)="","",INDEX(Sheet1!$AD:$AD,INT((ROWS($A$10:$A42)+1)/2)+1))</f>
        <v/>
      </c>
      <c r="I42" s="76" t="str">
        <f>IF(INDEX(Sheet1!$AK:$AK,INT((ROWS($A$10:$A42)+1)/2)+1)="","",INDEX(Sheet1!$AK:$AK,INT((ROWS($A$10:$A42)+1)/2)+1))</f>
        <v/>
      </c>
      <c r="J42" s="90"/>
    </row>
    <row r="43" spans="1:10" ht="30" customHeight="1" x14ac:dyDescent="0.15">
      <c r="A43" s="74" t="str">
        <f>IF(E43="","",IF(E42="",INDEX(Sheet1!$AC:$AC,INT((ROWS($A$10:$A43)+1)/2)+1)&amp;"","〃"))</f>
        <v/>
      </c>
      <c r="B43" s="74" t="str">
        <f>IF(E43="","",IF(E42="",INDEX(Sheet1!$B:$B,INT((ROWS($A$10:$A43)+1)/2)+1)&amp;"","〃"))</f>
        <v/>
      </c>
      <c r="C43" s="74" t="str">
        <f>IF(E43="","",IF(E42="",INDEX(Sheet1!$CN:$CN,INT((ROWS($A$10:$A43)+1)/2)+1)&amp;"","〃"))</f>
        <v/>
      </c>
      <c r="D43" s="76" t="str">
        <f>IF(E43="","",IF(E42="",IF(INDEX(Sheet1!$N:$N,INT((ROWS($A$10:$A43)+1)/2)+1)="","",INDEX(Sheet1!$N:$N,INT((ROWS($A$10:$A43)+1)/2)+1)),"〃"))</f>
        <v/>
      </c>
      <c r="E43" s="74" t="str">
        <f>IF(INDEX(Sheet1!$BA:$BA,INT((ROWS($A$10:$A43)+1)/2)+1)&lt;&gt;"","わな猟","")</f>
        <v/>
      </c>
      <c r="F43" s="77" t="str">
        <f>IF(E43="","",INDEX(Sheet1!$BC:$BC,INT((ROWS($A$10:$A43)+1)/2)+1)&amp;"")</f>
        <v/>
      </c>
      <c r="G43" s="76" t="str">
        <f>IF(E43="","",IF(INDEX(Sheet1!$BM:$BM,INT((ROWS($A$10:$A43)+1)/2)+1)="","",INDEX(Sheet1!$BM:$BM,INT((ROWS($A$10:$A43)+1)/2)+1)))</f>
        <v/>
      </c>
      <c r="H43" s="78"/>
      <c r="I43" s="73"/>
      <c r="J43" s="90"/>
    </row>
    <row r="44" spans="1:10" ht="30" customHeight="1" x14ac:dyDescent="0.15">
      <c r="A44" s="74" t="str">
        <f>IF(AND(INDEX(Sheet1!$AM:$AM,INT((ROWS($A$10:$A44)+1)/2)+1)="",INDEX(Sheet1!$BA:$BA,INT((ROWS($A$10:$A44)+1)/2)+1)&lt;&gt;""),"",INDEX(Sheet1!$AC:$AC,INT((ROWS($A$10:$A44)+1)/2)+1)&amp;"")</f>
        <v/>
      </c>
      <c r="B44" s="74" t="str">
        <f>IF(AND(INDEX(Sheet1!$AM:$AM,INT((ROWS($A$10:$A44)+1)/2)+1)="",INDEX(Sheet1!$BA:$BA,INT((ROWS($A$10:$A44)+1)/2)+1)&lt;&gt;""),"",INDEX(Sheet1!$B:$B,INT((ROWS($A$10:$A44)+1)/2)+1)&amp;"")</f>
        <v/>
      </c>
      <c r="C44" s="74" t="str">
        <f>IF(AND(INDEX(Sheet1!$AM:$AM,INT((ROWS($A$10:$A44)+1)/2)+1)="",INDEX(Sheet1!$BA:$BA,INT((ROWS($A$10:$A44)+1)/2)+1)&lt;&gt;""),"",INDEX(Sheet1!$CN:$CN,INT((ROWS($A$10:$A44)+1)/2)+1)&amp;"")</f>
        <v/>
      </c>
      <c r="D44" s="76" t="str">
        <f>IF(OR(AND(INDEX(Sheet1!$AM:$AM,INT((ROWS($A$10:$A44)+1)/2)+1)="",INDEX(Sheet1!$BA:$BA,INT((ROWS($A$10:$A44)+1)/2)+1)&lt;&gt;""),INDEX(Sheet1!$N:$N,INT((ROWS($A$10:$A44)+1)/2)+1)=""),"",INDEX(Sheet1!$N:$N,INT((ROWS($A$10:$A44)+1)/2)+1))</f>
        <v/>
      </c>
      <c r="E44" s="74" t="str">
        <f>IF(INDEX(Sheet1!$AM:$AM,INT((ROWS($A$10:$A44)+1)/2)+1)&lt;&gt;"","第一種","")</f>
        <v/>
      </c>
      <c r="F44" s="77" t="str">
        <f>IF(E44="","",INDEX(Sheet1!$AO:$AO,INT((ROWS($A$10:$A44)+1)/2)+1)&amp;"")</f>
        <v/>
      </c>
      <c r="G44" s="76" t="str">
        <f>IF(OR(E44="",INDEX(Sheet1!$AY:$AY,INT((ROWS($A$10:$A44)+1)/2)+1)=""),"",INDEX(Sheet1!$AY:$AY,INT((ROWS($A$10:$A44)+1)/2)+1))</f>
        <v/>
      </c>
      <c r="H44" s="74" t="str">
        <f>IF(INDEX(Sheet1!$AD:$AD,INT((ROWS($A$10:$A44)+1)/2)+1)="","",INDEX(Sheet1!$AD:$AD,INT((ROWS($A$10:$A44)+1)/2)+1))</f>
        <v/>
      </c>
      <c r="I44" s="76" t="str">
        <f>IF(INDEX(Sheet1!$AK:$AK,INT((ROWS($A$10:$A44)+1)/2)+1)="","",INDEX(Sheet1!$AK:$AK,INT((ROWS($A$10:$A44)+1)/2)+1))</f>
        <v/>
      </c>
      <c r="J44" s="90"/>
    </row>
    <row r="45" spans="1:10" ht="30" customHeight="1" x14ac:dyDescent="0.15">
      <c r="A45" s="74" t="str">
        <f>IF(E45="","",IF(E44="",INDEX(Sheet1!$AC:$AC,INT((ROWS($A$10:$A45)+1)/2)+1)&amp;"","〃"))</f>
        <v/>
      </c>
      <c r="B45" s="74" t="str">
        <f>IF(E45="","",IF(E44="",INDEX(Sheet1!$B:$B,INT((ROWS($A$10:$A45)+1)/2)+1)&amp;"","〃"))</f>
        <v/>
      </c>
      <c r="C45" s="74" t="str">
        <f>IF(E45="","",IF(E44="",INDEX(Sheet1!$CN:$CN,INT((ROWS($A$10:$A45)+1)/2)+1)&amp;"","〃"))</f>
        <v/>
      </c>
      <c r="D45" s="76" t="str">
        <f>IF(E45="","",IF(E44="",IF(INDEX(Sheet1!$N:$N,INT((ROWS($A$10:$A45)+1)/2)+1)="","",INDEX(Sheet1!$N:$N,INT((ROWS($A$10:$A45)+1)/2)+1)),"〃"))</f>
        <v/>
      </c>
      <c r="E45" s="74" t="str">
        <f>IF(INDEX(Sheet1!$BA:$BA,INT((ROWS($A$10:$A45)+1)/2)+1)&lt;&gt;"","わな猟","")</f>
        <v/>
      </c>
      <c r="F45" s="77" t="str">
        <f>IF(E45="","",INDEX(Sheet1!$BC:$BC,INT((ROWS($A$10:$A45)+1)/2)+1)&amp;"")</f>
        <v/>
      </c>
      <c r="G45" s="76" t="str">
        <f>IF(E45="","",IF(INDEX(Sheet1!$BM:$BM,INT((ROWS($A$10:$A45)+1)/2)+1)="","",INDEX(Sheet1!$BM:$BM,INT((ROWS($A$10:$A45)+1)/2)+1)))</f>
        <v/>
      </c>
      <c r="H45" s="78"/>
      <c r="I45" s="73"/>
      <c r="J45" s="90"/>
    </row>
    <row r="46" spans="1:10" ht="30" customHeight="1" x14ac:dyDescent="0.15">
      <c r="A46" s="74" t="str">
        <f>IF(AND(INDEX(Sheet1!$AM:$AM,INT((ROWS($A$10:$A46)+1)/2)+1)="",INDEX(Sheet1!$BA:$BA,INT((ROWS($A$10:$A46)+1)/2)+1)&lt;&gt;""),"",INDEX(Sheet1!$AC:$AC,INT((ROWS($A$10:$A46)+1)/2)+1)&amp;"")</f>
        <v/>
      </c>
      <c r="B46" s="74" t="str">
        <f>IF(AND(INDEX(Sheet1!$AM:$AM,INT((ROWS($A$10:$A46)+1)/2)+1)="",INDEX(Sheet1!$BA:$BA,INT((ROWS($A$10:$A46)+1)/2)+1)&lt;&gt;""),"",INDEX(Sheet1!$B:$B,INT((ROWS($A$10:$A46)+1)/2)+1)&amp;"")</f>
        <v/>
      </c>
      <c r="C46" s="74" t="str">
        <f>IF(AND(INDEX(Sheet1!$AM:$AM,INT((ROWS($A$10:$A46)+1)/2)+1)="",INDEX(Sheet1!$BA:$BA,INT((ROWS($A$10:$A46)+1)/2)+1)&lt;&gt;""),"",INDEX(Sheet1!$CN:$CN,INT((ROWS($A$10:$A46)+1)/2)+1)&amp;"")</f>
        <v/>
      </c>
      <c r="D46" s="76" t="str">
        <f>IF(OR(AND(INDEX(Sheet1!$AM:$AM,INT((ROWS($A$10:$A46)+1)/2)+1)="",INDEX(Sheet1!$BA:$BA,INT((ROWS($A$10:$A46)+1)/2)+1)&lt;&gt;""),INDEX(Sheet1!$N:$N,INT((ROWS($A$10:$A46)+1)/2)+1)=""),"",INDEX(Sheet1!$N:$N,INT((ROWS($A$10:$A46)+1)/2)+1))</f>
        <v/>
      </c>
      <c r="E46" s="74" t="str">
        <f>IF(INDEX(Sheet1!$AM:$AM,INT((ROWS($A$10:$A46)+1)/2)+1)&lt;&gt;"","第一種","")</f>
        <v/>
      </c>
      <c r="F46" s="77" t="str">
        <f>IF(E46="","",INDEX(Sheet1!$AO:$AO,INT((ROWS($A$10:$A46)+1)/2)+1)&amp;"")</f>
        <v/>
      </c>
      <c r="G46" s="76" t="str">
        <f>IF(OR(E46="",INDEX(Sheet1!$AY:$AY,INT((ROWS($A$10:$A46)+1)/2)+1)=""),"",INDEX(Sheet1!$AY:$AY,INT((ROWS($A$10:$A46)+1)/2)+1))</f>
        <v/>
      </c>
      <c r="H46" s="74" t="str">
        <f>IF(INDEX(Sheet1!$AD:$AD,INT((ROWS($A$10:$A46)+1)/2)+1)="","",INDEX(Sheet1!$AD:$AD,INT((ROWS($A$10:$A46)+1)/2)+1))</f>
        <v/>
      </c>
      <c r="I46" s="76" t="str">
        <f>IF(INDEX(Sheet1!$AK:$AK,INT((ROWS($A$10:$A46)+1)/2)+1)="","",INDEX(Sheet1!$AK:$AK,INT((ROWS($A$10:$A46)+1)/2)+1))</f>
        <v/>
      </c>
      <c r="J46" s="90"/>
    </row>
    <row r="47" spans="1:10" ht="30" customHeight="1" x14ac:dyDescent="0.15">
      <c r="A47" s="74" t="str">
        <f>IF(E47="","",IF(E46="",INDEX(Sheet1!$AC:$AC,INT((ROWS($A$10:$A47)+1)/2)+1)&amp;"","〃"))</f>
        <v/>
      </c>
      <c r="B47" s="74" t="str">
        <f>IF(E47="","",IF(E46="",INDEX(Sheet1!$B:$B,INT((ROWS($A$10:$A47)+1)/2)+1)&amp;"","〃"))</f>
        <v/>
      </c>
      <c r="C47" s="74" t="str">
        <f>IF(E47="","",IF(E46="",INDEX(Sheet1!$CN:$CN,INT((ROWS($A$10:$A47)+1)/2)+1)&amp;"","〃"))</f>
        <v/>
      </c>
      <c r="D47" s="76" t="str">
        <f>IF(E47="","",IF(E46="",IF(INDEX(Sheet1!$N:$N,INT((ROWS($A$10:$A47)+1)/2)+1)="","",INDEX(Sheet1!$N:$N,INT((ROWS($A$10:$A47)+1)/2)+1)),"〃"))</f>
        <v/>
      </c>
      <c r="E47" s="74" t="str">
        <f>IF(INDEX(Sheet1!$BA:$BA,INT((ROWS($A$10:$A47)+1)/2)+1)&lt;&gt;"","わな猟","")</f>
        <v/>
      </c>
      <c r="F47" s="77" t="str">
        <f>IF(E47="","",INDEX(Sheet1!$BC:$BC,INT((ROWS($A$10:$A47)+1)/2)+1)&amp;"")</f>
        <v/>
      </c>
      <c r="G47" s="76" t="str">
        <f>IF(E47="","",IF(INDEX(Sheet1!$BM:$BM,INT((ROWS($A$10:$A47)+1)/2)+1)="","",INDEX(Sheet1!$BM:$BM,INT((ROWS($A$10:$A47)+1)/2)+1)))</f>
        <v/>
      </c>
      <c r="H47" s="78"/>
      <c r="I47" s="73"/>
      <c r="J47" s="90"/>
    </row>
    <row r="48" spans="1:10" ht="30" customHeight="1" x14ac:dyDescent="0.15">
      <c r="A48" s="74" t="str">
        <f>IF(AND(INDEX(Sheet1!$AM:$AM,INT((ROWS($A$10:$A48)+1)/2)+1)="",INDEX(Sheet1!$BA:$BA,INT((ROWS($A$10:$A48)+1)/2)+1)&lt;&gt;""),"",INDEX(Sheet1!$AC:$AC,INT((ROWS($A$10:$A48)+1)/2)+1)&amp;"")</f>
        <v/>
      </c>
      <c r="B48" s="74" t="str">
        <f>IF(AND(INDEX(Sheet1!$AM:$AM,INT((ROWS($A$10:$A48)+1)/2)+1)="",INDEX(Sheet1!$BA:$BA,INT((ROWS($A$10:$A48)+1)/2)+1)&lt;&gt;""),"",INDEX(Sheet1!$B:$B,INT((ROWS($A$10:$A48)+1)/2)+1)&amp;"")</f>
        <v/>
      </c>
      <c r="C48" s="74" t="str">
        <f>IF(AND(INDEX(Sheet1!$AM:$AM,INT((ROWS($A$10:$A48)+1)/2)+1)="",INDEX(Sheet1!$BA:$BA,INT((ROWS($A$10:$A48)+1)/2)+1)&lt;&gt;""),"",INDEX(Sheet1!$CN:$CN,INT((ROWS($A$10:$A48)+1)/2)+1)&amp;"")</f>
        <v/>
      </c>
      <c r="D48" s="76" t="str">
        <f>IF(OR(AND(INDEX(Sheet1!$AM:$AM,INT((ROWS($A$10:$A48)+1)/2)+1)="",INDEX(Sheet1!$BA:$BA,INT((ROWS($A$10:$A48)+1)/2)+1)&lt;&gt;""),INDEX(Sheet1!$N:$N,INT((ROWS($A$10:$A48)+1)/2)+1)=""),"",INDEX(Sheet1!$N:$N,INT((ROWS($A$10:$A48)+1)/2)+1))</f>
        <v/>
      </c>
      <c r="E48" s="74" t="str">
        <f>IF(INDEX(Sheet1!$AM:$AM,INT((ROWS($A$10:$A48)+1)/2)+1)&lt;&gt;"","第一種","")</f>
        <v/>
      </c>
      <c r="F48" s="77" t="str">
        <f>IF(E48="","",INDEX(Sheet1!$AO:$AO,INT((ROWS($A$10:$A48)+1)/2)+1)&amp;"")</f>
        <v/>
      </c>
      <c r="G48" s="76" t="str">
        <f>IF(OR(E48="",INDEX(Sheet1!$AY:$AY,INT((ROWS($A$10:$A48)+1)/2)+1)=""),"",INDEX(Sheet1!$AY:$AY,INT((ROWS($A$10:$A48)+1)/2)+1))</f>
        <v/>
      </c>
      <c r="H48" s="74" t="str">
        <f>IF(INDEX(Sheet1!$AD:$AD,INT((ROWS($A$10:$A48)+1)/2)+1)="","",INDEX(Sheet1!$AD:$AD,INT((ROWS($A$10:$A48)+1)/2)+1))</f>
        <v/>
      </c>
      <c r="I48" s="76" t="str">
        <f>IF(INDEX(Sheet1!$AK:$AK,INT((ROWS($A$10:$A48)+1)/2)+1)="","",INDEX(Sheet1!$AK:$AK,INT((ROWS($A$10:$A48)+1)/2)+1))</f>
        <v/>
      </c>
      <c r="J48" s="90"/>
    </row>
    <row r="49" spans="1:10" ht="30" customHeight="1" x14ac:dyDescent="0.15">
      <c r="A49" s="74" t="str">
        <f>IF(E49="","",IF(E48="",INDEX(Sheet1!$AC:$AC,INT((ROWS($A$10:$A49)+1)/2)+1)&amp;"","〃"))</f>
        <v/>
      </c>
      <c r="B49" s="74" t="str">
        <f>IF(E49="","",IF(E48="",INDEX(Sheet1!$B:$B,INT((ROWS($A$10:$A49)+1)/2)+1)&amp;"","〃"))</f>
        <v/>
      </c>
      <c r="C49" s="74" t="str">
        <f>IF(E49="","",IF(E48="",INDEX(Sheet1!$CN:$CN,INT((ROWS($A$10:$A49)+1)/2)+1)&amp;"","〃"))</f>
        <v/>
      </c>
      <c r="D49" s="76" t="str">
        <f>IF(E49="","",IF(E48="",IF(INDEX(Sheet1!$N:$N,INT((ROWS($A$10:$A49)+1)/2)+1)="","",INDEX(Sheet1!$N:$N,INT((ROWS($A$10:$A49)+1)/2)+1)),"〃"))</f>
        <v/>
      </c>
      <c r="E49" s="74" t="str">
        <f>IF(INDEX(Sheet1!$BA:$BA,INT((ROWS($A$10:$A49)+1)/2)+1)&lt;&gt;"","わな猟","")</f>
        <v/>
      </c>
      <c r="F49" s="77" t="str">
        <f>IF(E49="","",INDEX(Sheet1!$BC:$BC,INT((ROWS($A$10:$A49)+1)/2)+1)&amp;"")</f>
        <v/>
      </c>
      <c r="G49" s="76" t="str">
        <f>IF(E49="","",IF(INDEX(Sheet1!$BM:$BM,INT((ROWS($A$10:$A49)+1)/2)+1)="","",INDEX(Sheet1!$BM:$BM,INT((ROWS($A$10:$A49)+1)/2)+1)))</f>
        <v/>
      </c>
      <c r="H49" s="78"/>
      <c r="I49" s="73"/>
      <c r="J49" s="90"/>
    </row>
    <row r="50" spans="1:10" ht="30" customHeight="1" x14ac:dyDescent="0.15">
      <c r="A50" s="74" t="str">
        <f>IF(AND(INDEX(Sheet1!$AM:$AM,INT((ROWS($A$10:$A50)+1)/2)+1)="",INDEX(Sheet1!$BA:$BA,INT((ROWS($A$10:$A50)+1)/2)+1)&lt;&gt;""),"",INDEX(Sheet1!$AC:$AC,INT((ROWS($A$10:$A50)+1)/2)+1)&amp;"")</f>
        <v/>
      </c>
      <c r="B50" s="74" t="str">
        <f>IF(AND(INDEX(Sheet1!$AM:$AM,INT((ROWS($A$10:$A50)+1)/2)+1)="",INDEX(Sheet1!$BA:$BA,INT((ROWS($A$10:$A50)+1)/2)+1)&lt;&gt;""),"",INDEX(Sheet1!$B:$B,INT((ROWS($A$10:$A50)+1)/2)+1)&amp;"")</f>
        <v/>
      </c>
      <c r="C50" s="74" t="str">
        <f>IF(AND(INDEX(Sheet1!$AM:$AM,INT((ROWS($A$10:$A50)+1)/2)+1)="",INDEX(Sheet1!$BA:$BA,INT((ROWS($A$10:$A50)+1)/2)+1)&lt;&gt;""),"",INDEX(Sheet1!$CN:$CN,INT((ROWS($A$10:$A50)+1)/2)+1)&amp;"")</f>
        <v/>
      </c>
      <c r="D50" s="76" t="str">
        <f>IF(OR(AND(INDEX(Sheet1!$AM:$AM,INT((ROWS($A$10:$A50)+1)/2)+1)="",INDEX(Sheet1!$BA:$BA,INT((ROWS($A$10:$A50)+1)/2)+1)&lt;&gt;""),INDEX(Sheet1!$N:$N,INT((ROWS($A$10:$A50)+1)/2)+1)=""),"",INDEX(Sheet1!$N:$N,INT((ROWS($A$10:$A50)+1)/2)+1))</f>
        <v/>
      </c>
      <c r="E50" s="74" t="str">
        <f>IF(INDEX(Sheet1!$AM:$AM,INT((ROWS($A$10:$A50)+1)/2)+1)&lt;&gt;"","第一種","")</f>
        <v/>
      </c>
      <c r="F50" s="77" t="str">
        <f>IF(E50="","",INDEX(Sheet1!$AO:$AO,INT((ROWS($A$10:$A50)+1)/2)+1)&amp;"")</f>
        <v/>
      </c>
      <c r="G50" s="76" t="str">
        <f>IF(OR(E50="",INDEX(Sheet1!$AY:$AY,INT((ROWS($A$10:$A50)+1)/2)+1)=""),"",INDEX(Sheet1!$AY:$AY,INT((ROWS($A$10:$A50)+1)/2)+1))</f>
        <v/>
      </c>
      <c r="H50" s="74" t="str">
        <f>IF(INDEX(Sheet1!$AD:$AD,INT((ROWS($A$10:$A50)+1)/2)+1)="","",INDEX(Sheet1!$AD:$AD,INT((ROWS($A$10:$A50)+1)/2)+1))</f>
        <v/>
      </c>
      <c r="I50" s="76" t="str">
        <f>IF(INDEX(Sheet1!$AK:$AK,INT((ROWS($A$10:$A50)+1)/2)+1)="","",INDEX(Sheet1!$AK:$AK,INT((ROWS($A$10:$A50)+1)/2)+1))</f>
        <v/>
      </c>
      <c r="J50" s="90"/>
    </row>
    <row r="51" spans="1:10" ht="30" customHeight="1" x14ac:dyDescent="0.15">
      <c r="A51" s="74" t="str">
        <f>IF(E51="","",IF(E50="",INDEX(Sheet1!$AC:$AC,INT((ROWS($A$10:$A51)+1)/2)+1)&amp;"","〃"))</f>
        <v/>
      </c>
      <c r="B51" s="74" t="str">
        <f>IF(E51="","",IF(E50="",INDEX(Sheet1!$B:$B,INT((ROWS($A$10:$A51)+1)/2)+1)&amp;"","〃"))</f>
        <v/>
      </c>
      <c r="C51" s="74" t="str">
        <f>IF(E51="","",IF(E50="",INDEX(Sheet1!$CN:$CN,INT((ROWS($A$10:$A51)+1)/2)+1)&amp;"","〃"))</f>
        <v/>
      </c>
      <c r="D51" s="76" t="str">
        <f>IF(E51="","",IF(E50="",IF(INDEX(Sheet1!$N:$N,INT((ROWS($A$10:$A51)+1)/2)+1)="","",INDEX(Sheet1!$N:$N,INT((ROWS($A$10:$A51)+1)/2)+1)),"〃"))</f>
        <v/>
      </c>
      <c r="E51" s="74" t="str">
        <f>IF(INDEX(Sheet1!$BA:$BA,INT((ROWS($A$10:$A51)+1)/2)+1)&lt;&gt;"","わな猟","")</f>
        <v/>
      </c>
      <c r="F51" s="77" t="str">
        <f>IF(E51="","",INDEX(Sheet1!$BC:$BC,INT((ROWS($A$10:$A51)+1)/2)+1)&amp;"")</f>
        <v/>
      </c>
      <c r="G51" s="76" t="str">
        <f>IF(E51="","",IF(INDEX(Sheet1!$BM:$BM,INT((ROWS($A$10:$A51)+1)/2)+1)="","",INDEX(Sheet1!$BM:$BM,INT((ROWS($A$10:$A51)+1)/2)+1)))</f>
        <v/>
      </c>
      <c r="H51" s="78"/>
      <c r="I51" s="73"/>
      <c r="J51" s="90"/>
    </row>
    <row r="52" spans="1:10" ht="30" customHeight="1" x14ac:dyDescent="0.15">
      <c r="A52" s="74" t="str">
        <f>IF(AND(INDEX(Sheet1!$AM:$AM,INT((ROWS($A$10:$A52)+1)/2)+1)="",INDEX(Sheet1!$BA:$BA,INT((ROWS($A$10:$A52)+1)/2)+1)&lt;&gt;""),"",INDEX(Sheet1!$AC:$AC,INT((ROWS($A$10:$A52)+1)/2)+1)&amp;"")</f>
        <v/>
      </c>
      <c r="B52" s="74" t="str">
        <f>IF(AND(INDEX(Sheet1!$AM:$AM,INT((ROWS($A$10:$A52)+1)/2)+1)="",INDEX(Sheet1!$BA:$BA,INT((ROWS($A$10:$A52)+1)/2)+1)&lt;&gt;""),"",INDEX(Sheet1!$B:$B,INT((ROWS($A$10:$A52)+1)/2)+1)&amp;"")</f>
        <v/>
      </c>
      <c r="C52" s="74" t="str">
        <f>IF(AND(INDEX(Sheet1!$AM:$AM,INT((ROWS($A$10:$A52)+1)/2)+1)="",INDEX(Sheet1!$BA:$BA,INT((ROWS($A$10:$A52)+1)/2)+1)&lt;&gt;""),"",INDEX(Sheet1!$CN:$CN,INT((ROWS($A$10:$A52)+1)/2)+1)&amp;"")</f>
        <v/>
      </c>
      <c r="D52" s="76" t="str">
        <f>IF(OR(AND(INDEX(Sheet1!$AM:$AM,INT((ROWS($A$10:$A52)+1)/2)+1)="",INDEX(Sheet1!$BA:$BA,INT((ROWS($A$10:$A52)+1)/2)+1)&lt;&gt;""),INDEX(Sheet1!$N:$N,INT((ROWS($A$10:$A52)+1)/2)+1)=""),"",INDEX(Sheet1!$N:$N,INT((ROWS($A$10:$A52)+1)/2)+1))</f>
        <v/>
      </c>
      <c r="E52" s="74" t="str">
        <f>IF(INDEX(Sheet1!$AM:$AM,INT((ROWS($A$10:$A52)+1)/2)+1)&lt;&gt;"","第一種","")</f>
        <v/>
      </c>
      <c r="F52" s="77" t="str">
        <f>IF(E52="","",INDEX(Sheet1!$AO:$AO,INT((ROWS($A$10:$A52)+1)/2)+1)&amp;"")</f>
        <v/>
      </c>
      <c r="G52" s="76" t="str">
        <f>IF(OR(E52="",INDEX(Sheet1!$AY:$AY,INT((ROWS($A$10:$A52)+1)/2)+1)=""),"",INDEX(Sheet1!$AY:$AY,INT((ROWS($A$10:$A52)+1)/2)+1))</f>
        <v/>
      </c>
      <c r="H52" s="74" t="str">
        <f>IF(INDEX(Sheet1!$AD:$AD,INT((ROWS($A$10:$A52)+1)/2)+1)="","",INDEX(Sheet1!$AD:$AD,INT((ROWS($A$10:$A52)+1)/2)+1))</f>
        <v/>
      </c>
      <c r="I52" s="76" t="str">
        <f>IF(INDEX(Sheet1!$AK:$AK,INT((ROWS($A$10:$A52)+1)/2)+1)="","",INDEX(Sheet1!$AK:$AK,INT((ROWS($A$10:$A52)+1)/2)+1))</f>
        <v/>
      </c>
      <c r="J52" s="90"/>
    </row>
    <row r="53" spans="1:10" ht="30" customHeight="1" x14ac:dyDescent="0.15">
      <c r="A53" s="74" t="str">
        <f>IF(E53="","",IF(E52="",INDEX(Sheet1!$AC:$AC,INT((ROWS($A$10:$A53)+1)/2)+1)&amp;"","〃"))</f>
        <v/>
      </c>
      <c r="B53" s="74" t="str">
        <f>IF(E53="","",IF(E52="",INDEX(Sheet1!$B:$B,INT((ROWS($A$10:$A53)+1)/2)+1)&amp;"","〃"))</f>
        <v/>
      </c>
      <c r="C53" s="74" t="str">
        <f>IF(E53="","",IF(E52="",INDEX(Sheet1!$CN:$CN,INT((ROWS($A$10:$A53)+1)/2)+1)&amp;"","〃"))</f>
        <v/>
      </c>
      <c r="D53" s="76" t="str">
        <f>IF(E53="","",IF(E52="",IF(INDEX(Sheet1!$N:$N,INT((ROWS($A$10:$A53)+1)/2)+1)="","",INDEX(Sheet1!$N:$N,INT((ROWS($A$10:$A53)+1)/2)+1)),"〃"))</f>
        <v/>
      </c>
      <c r="E53" s="74" t="str">
        <f>IF(INDEX(Sheet1!$BA:$BA,INT((ROWS($A$10:$A53)+1)/2)+1)&lt;&gt;"","わな猟","")</f>
        <v/>
      </c>
      <c r="F53" s="77" t="str">
        <f>IF(E53="","",INDEX(Sheet1!$BC:$BC,INT((ROWS($A$10:$A53)+1)/2)+1)&amp;"")</f>
        <v/>
      </c>
      <c r="G53" s="76" t="str">
        <f>IF(E53="","",IF(INDEX(Sheet1!$BM:$BM,INT((ROWS($A$10:$A53)+1)/2)+1)="","",INDEX(Sheet1!$BM:$BM,INT((ROWS($A$10:$A53)+1)/2)+1)))</f>
        <v/>
      </c>
      <c r="H53" s="78"/>
      <c r="I53" s="73"/>
      <c r="J53" s="90"/>
    </row>
    <row r="54" spans="1:10" ht="30" customHeight="1" x14ac:dyDescent="0.15">
      <c r="A54" s="74" t="str">
        <f>IF(AND(INDEX(Sheet1!$AM:$AM,INT((ROWS($A$10:$A54)+1)/2)+1)="",INDEX(Sheet1!$BA:$BA,INT((ROWS($A$10:$A54)+1)/2)+1)&lt;&gt;""),"",INDEX(Sheet1!$AC:$AC,INT((ROWS($A$10:$A54)+1)/2)+1)&amp;"")</f>
        <v/>
      </c>
      <c r="B54" s="74" t="str">
        <f>IF(AND(INDEX(Sheet1!$AM:$AM,INT((ROWS($A$10:$A54)+1)/2)+1)="",INDEX(Sheet1!$BA:$BA,INT((ROWS($A$10:$A54)+1)/2)+1)&lt;&gt;""),"",INDEX(Sheet1!$B:$B,INT((ROWS($A$10:$A54)+1)/2)+1)&amp;"")</f>
        <v/>
      </c>
      <c r="C54" s="74" t="str">
        <f>IF(AND(INDEX(Sheet1!$AM:$AM,INT((ROWS($A$10:$A54)+1)/2)+1)="",INDEX(Sheet1!$BA:$BA,INT((ROWS($A$10:$A54)+1)/2)+1)&lt;&gt;""),"",INDEX(Sheet1!$CN:$CN,INT((ROWS($A$10:$A54)+1)/2)+1)&amp;"")</f>
        <v/>
      </c>
      <c r="D54" s="76" t="str">
        <f>IF(OR(AND(INDEX(Sheet1!$AM:$AM,INT((ROWS($A$10:$A54)+1)/2)+1)="",INDEX(Sheet1!$BA:$BA,INT((ROWS($A$10:$A54)+1)/2)+1)&lt;&gt;""),INDEX(Sheet1!$N:$N,INT((ROWS($A$10:$A54)+1)/2)+1)=""),"",INDEX(Sheet1!$N:$N,INT((ROWS($A$10:$A54)+1)/2)+1))</f>
        <v/>
      </c>
      <c r="E54" s="74" t="str">
        <f>IF(INDEX(Sheet1!$AM:$AM,INT((ROWS($A$10:$A54)+1)/2)+1)&lt;&gt;"","第一種","")</f>
        <v/>
      </c>
      <c r="F54" s="77" t="str">
        <f>IF(E54="","",INDEX(Sheet1!$AO:$AO,INT((ROWS($A$10:$A54)+1)/2)+1)&amp;"")</f>
        <v/>
      </c>
      <c r="G54" s="76" t="str">
        <f>IF(OR(E54="",INDEX(Sheet1!$AY:$AY,INT((ROWS($A$10:$A54)+1)/2)+1)=""),"",INDEX(Sheet1!$AY:$AY,INT((ROWS($A$10:$A54)+1)/2)+1))</f>
        <v/>
      </c>
      <c r="H54" s="74" t="str">
        <f>IF(INDEX(Sheet1!$AD:$AD,INT((ROWS($A$10:$A54)+1)/2)+1)="","",INDEX(Sheet1!$AD:$AD,INT((ROWS($A$10:$A54)+1)/2)+1))</f>
        <v/>
      </c>
      <c r="I54" s="76" t="str">
        <f>IF(INDEX(Sheet1!$AK:$AK,INT((ROWS($A$10:$A54)+1)/2)+1)="","",INDEX(Sheet1!$AK:$AK,INT((ROWS($A$10:$A54)+1)/2)+1))</f>
        <v/>
      </c>
      <c r="J54" s="90"/>
    </row>
    <row r="55" spans="1:10" ht="30" customHeight="1" x14ac:dyDescent="0.15">
      <c r="A55" s="74" t="str">
        <f>IF(E55="","",IF(E54="",INDEX(Sheet1!$AC:$AC,INT((ROWS($A$10:$A55)+1)/2)+1)&amp;"","〃"))</f>
        <v/>
      </c>
      <c r="B55" s="74" t="str">
        <f>IF(E55="","",IF(E54="",INDEX(Sheet1!$B:$B,INT((ROWS($A$10:$A55)+1)/2)+1)&amp;"","〃"))</f>
        <v/>
      </c>
      <c r="C55" s="74" t="str">
        <f>IF(E55="","",IF(E54="",INDEX(Sheet1!$CN:$CN,INT((ROWS($A$10:$A55)+1)/2)+1)&amp;"","〃"))</f>
        <v/>
      </c>
      <c r="D55" s="76" t="str">
        <f>IF(E55="","",IF(E54="",IF(INDEX(Sheet1!$N:$N,INT((ROWS($A$10:$A55)+1)/2)+1)="","",INDEX(Sheet1!$N:$N,INT((ROWS($A$10:$A55)+1)/2)+1)),"〃"))</f>
        <v/>
      </c>
      <c r="E55" s="74" t="str">
        <f>IF(INDEX(Sheet1!$BA:$BA,INT((ROWS($A$10:$A55)+1)/2)+1)&lt;&gt;"","わな猟","")</f>
        <v/>
      </c>
      <c r="F55" s="77" t="str">
        <f>IF(E55="","",INDEX(Sheet1!$BC:$BC,INT((ROWS($A$10:$A55)+1)/2)+1)&amp;"")</f>
        <v/>
      </c>
      <c r="G55" s="76" t="str">
        <f>IF(E55="","",IF(INDEX(Sheet1!$BM:$BM,INT((ROWS($A$10:$A55)+1)/2)+1)="","",INDEX(Sheet1!$BM:$BM,INT((ROWS($A$10:$A55)+1)/2)+1)))</f>
        <v/>
      </c>
      <c r="H55" s="78"/>
      <c r="I55" s="73"/>
      <c r="J55" s="90"/>
    </row>
    <row r="56" spans="1:10" ht="30" customHeight="1" x14ac:dyDescent="0.15">
      <c r="A56" s="74" t="str">
        <f>IF(AND(INDEX(Sheet1!$AM:$AM,INT((ROWS($A$10:$A56)+1)/2)+1)="",INDEX(Sheet1!$BA:$BA,INT((ROWS($A$10:$A56)+1)/2)+1)&lt;&gt;""),"",INDEX(Sheet1!$AC:$AC,INT((ROWS($A$10:$A56)+1)/2)+1)&amp;"")</f>
        <v/>
      </c>
      <c r="B56" s="74" t="str">
        <f>IF(AND(INDEX(Sheet1!$AM:$AM,INT((ROWS($A$10:$A56)+1)/2)+1)="",INDEX(Sheet1!$BA:$BA,INT((ROWS($A$10:$A56)+1)/2)+1)&lt;&gt;""),"",INDEX(Sheet1!$B:$B,INT((ROWS($A$10:$A56)+1)/2)+1)&amp;"")</f>
        <v/>
      </c>
      <c r="C56" s="74" t="str">
        <f>IF(AND(INDEX(Sheet1!$AM:$AM,INT((ROWS($A$10:$A56)+1)/2)+1)="",INDEX(Sheet1!$BA:$BA,INT((ROWS($A$10:$A56)+1)/2)+1)&lt;&gt;""),"",INDEX(Sheet1!$CN:$CN,INT((ROWS($A$10:$A56)+1)/2)+1)&amp;"")</f>
        <v/>
      </c>
      <c r="D56" s="76" t="str">
        <f>IF(OR(AND(INDEX(Sheet1!$AM:$AM,INT((ROWS($A$10:$A56)+1)/2)+1)="",INDEX(Sheet1!$BA:$BA,INT((ROWS($A$10:$A56)+1)/2)+1)&lt;&gt;""),INDEX(Sheet1!$N:$N,INT((ROWS($A$10:$A56)+1)/2)+1)=""),"",INDEX(Sheet1!$N:$N,INT((ROWS($A$10:$A56)+1)/2)+1))</f>
        <v/>
      </c>
      <c r="E56" s="74" t="str">
        <f>IF(INDEX(Sheet1!$AM:$AM,INT((ROWS($A$10:$A56)+1)/2)+1)&lt;&gt;"","第一種","")</f>
        <v/>
      </c>
      <c r="F56" s="77" t="str">
        <f>IF(E56="","",INDEX(Sheet1!$AO:$AO,INT((ROWS($A$10:$A56)+1)/2)+1)&amp;"")</f>
        <v/>
      </c>
      <c r="G56" s="76" t="str">
        <f>IF(OR(E56="",INDEX(Sheet1!$AY:$AY,INT((ROWS($A$10:$A56)+1)/2)+1)=""),"",INDEX(Sheet1!$AY:$AY,INT((ROWS($A$10:$A56)+1)/2)+1))</f>
        <v/>
      </c>
      <c r="H56" s="74" t="str">
        <f>IF(INDEX(Sheet1!$AD:$AD,INT((ROWS($A$10:$A56)+1)/2)+1)="","",INDEX(Sheet1!$AD:$AD,INT((ROWS($A$10:$A56)+1)/2)+1))</f>
        <v/>
      </c>
      <c r="I56" s="76" t="str">
        <f>IF(INDEX(Sheet1!$AK:$AK,INT((ROWS($A$10:$A56)+1)/2)+1)="","",INDEX(Sheet1!$AK:$AK,INT((ROWS($A$10:$A56)+1)/2)+1))</f>
        <v/>
      </c>
      <c r="J56" s="90"/>
    </row>
    <row r="57" spans="1:10" ht="30" customHeight="1" x14ac:dyDescent="0.15">
      <c r="A57" s="74" t="str">
        <f>IF(E57="","",IF(E56="",INDEX(Sheet1!$AC:$AC,INT((ROWS($A$10:$A57)+1)/2)+1)&amp;"","〃"))</f>
        <v/>
      </c>
      <c r="B57" s="74" t="str">
        <f>IF(E57="","",IF(E56="",INDEX(Sheet1!$B:$B,INT((ROWS($A$10:$A57)+1)/2)+1)&amp;"","〃"))</f>
        <v/>
      </c>
      <c r="C57" s="74" t="str">
        <f>IF(E57="","",IF(E56="",INDEX(Sheet1!$CN:$CN,INT((ROWS($A$10:$A57)+1)/2)+1)&amp;"","〃"))</f>
        <v/>
      </c>
      <c r="D57" s="76" t="str">
        <f>IF(E57="","",IF(E56="",IF(INDEX(Sheet1!$N:$N,INT((ROWS($A$10:$A57)+1)/2)+1)="","",INDEX(Sheet1!$N:$N,INT((ROWS($A$10:$A57)+1)/2)+1)),"〃"))</f>
        <v/>
      </c>
      <c r="E57" s="74" t="str">
        <f>IF(INDEX(Sheet1!$BA:$BA,INT((ROWS($A$10:$A57)+1)/2)+1)&lt;&gt;"","わな猟","")</f>
        <v/>
      </c>
      <c r="F57" s="77" t="str">
        <f>IF(E57="","",INDEX(Sheet1!$BC:$BC,INT((ROWS($A$10:$A57)+1)/2)+1)&amp;"")</f>
        <v/>
      </c>
      <c r="G57" s="76" t="str">
        <f>IF(E57="","",IF(INDEX(Sheet1!$BM:$BM,INT((ROWS($A$10:$A57)+1)/2)+1)="","",INDEX(Sheet1!$BM:$BM,INT((ROWS($A$10:$A57)+1)/2)+1)))</f>
        <v/>
      </c>
      <c r="H57" s="78"/>
      <c r="I57" s="73"/>
      <c r="J57" s="90"/>
    </row>
    <row r="58" spans="1:10" ht="30" customHeight="1" x14ac:dyDescent="0.15">
      <c r="A58" s="74" t="str">
        <f>IF(AND(INDEX(Sheet1!$AM:$AM,INT((ROWS($A$10:$A58)+1)/2)+1)="",INDEX(Sheet1!$BA:$BA,INT((ROWS($A$10:$A58)+1)/2)+1)&lt;&gt;""),"",INDEX(Sheet1!$AC:$AC,INT((ROWS($A$10:$A58)+1)/2)+1)&amp;"")</f>
        <v/>
      </c>
      <c r="B58" s="74" t="str">
        <f>IF(AND(INDEX(Sheet1!$AM:$AM,INT((ROWS($A$10:$A58)+1)/2)+1)="",INDEX(Sheet1!$BA:$BA,INT((ROWS($A$10:$A58)+1)/2)+1)&lt;&gt;""),"",INDEX(Sheet1!$B:$B,INT((ROWS($A$10:$A58)+1)/2)+1)&amp;"")</f>
        <v/>
      </c>
      <c r="C58" s="74" t="str">
        <f>IF(AND(INDEX(Sheet1!$AM:$AM,INT((ROWS($A$10:$A58)+1)/2)+1)="",INDEX(Sheet1!$BA:$BA,INT((ROWS($A$10:$A58)+1)/2)+1)&lt;&gt;""),"",INDEX(Sheet1!$CN:$CN,INT((ROWS($A$10:$A58)+1)/2)+1)&amp;"")</f>
        <v/>
      </c>
      <c r="D58" s="76" t="str">
        <f>IF(OR(AND(INDEX(Sheet1!$AM:$AM,INT((ROWS($A$10:$A58)+1)/2)+1)="",INDEX(Sheet1!$BA:$BA,INT((ROWS($A$10:$A58)+1)/2)+1)&lt;&gt;""),INDEX(Sheet1!$N:$N,INT((ROWS($A$10:$A58)+1)/2)+1)=""),"",INDEX(Sheet1!$N:$N,INT((ROWS($A$10:$A58)+1)/2)+1))</f>
        <v/>
      </c>
      <c r="E58" s="74" t="str">
        <f>IF(INDEX(Sheet1!$AM:$AM,INT((ROWS($A$10:$A58)+1)/2)+1)&lt;&gt;"","第一種","")</f>
        <v/>
      </c>
      <c r="F58" s="77" t="str">
        <f>IF(E58="","",INDEX(Sheet1!$AO:$AO,INT((ROWS($A$10:$A58)+1)/2)+1)&amp;"")</f>
        <v/>
      </c>
      <c r="G58" s="76" t="str">
        <f>IF(OR(E58="",INDEX(Sheet1!$AY:$AY,INT((ROWS($A$10:$A58)+1)/2)+1)=""),"",INDEX(Sheet1!$AY:$AY,INT((ROWS($A$10:$A58)+1)/2)+1))</f>
        <v/>
      </c>
      <c r="H58" s="74" t="str">
        <f>IF(INDEX(Sheet1!$AD:$AD,INT((ROWS($A$10:$A58)+1)/2)+1)="","",INDEX(Sheet1!$AD:$AD,INT((ROWS($A$10:$A58)+1)/2)+1))</f>
        <v/>
      </c>
      <c r="I58" s="76" t="str">
        <f>IF(INDEX(Sheet1!$AK:$AK,INT((ROWS($A$10:$A58)+1)/2)+1)="","",INDEX(Sheet1!$AK:$AK,INT((ROWS($A$10:$A58)+1)/2)+1))</f>
        <v/>
      </c>
      <c r="J58" s="90"/>
    </row>
    <row r="59" spans="1:10" ht="30" customHeight="1" x14ac:dyDescent="0.15">
      <c r="A59" s="74" t="str">
        <f>IF(E59="","",IF(E58="",INDEX(Sheet1!$AC:$AC,INT((ROWS($A$10:$A59)+1)/2)+1)&amp;"","〃"))</f>
        <v/>
      </c>
      <c r="B59" s="74" t="str">
        <f>IF(E59="","",IF(E58="",INDEX(Sheet1!$B:$B,INT((ROWS($A$10:$A59)+1)/2)+1)&amp;"","〃"))</f>
        <v/>
      </c>
      <c r="C59" s="74" t="str">
        <f>IF(E59="","",IF(E58="",INDEX(Sheet1!$CN:$CN,INT((ROWS($A$10:$A59)+1)/2)+1)&amp;"","〃"))</f>
        <v/>
      </c>
      <c r="D59" s="76" t="str">
        <f>IF(E59="","",IF(E58="",IF(INDEX(Sheet1!$N:$N,INT((ROWS($A$10:$A59)+1)/2)+1)="","",INDEX(Sheet1!$N:$N,INT((ROWS($A$10:$A59)+1)/2)+1)),"〃"))</f>
        <v/>
      </c>
      <c r="E59" s="74" t="str">
        <f>IF(INDEX(Sheet1!$BA:$BA,INT((ROWS($A$10:$A59)+1)/2)+1)&lt;&gt;"","わな猟","")</f>
        <v/>
      </c>
      <c r="F59" s="77" t="str">
        <f>IF(E59="","",INDEX(Sheet1!$BC:$BC,INT((ROWS($A$10:$A59)+1)/2)+1)&amp;"")</f>
        <v/>
      </c>
      <c r="G59" s="76" t="str">
        <f>IF(E59="","",IF(INDEX(Sheet1!$BM:$BM,INT((ROWS($A$10:$A59)+1)/2)+1)="","",INDEX(Sheet1!$BM:$BM,INT((ROWS($A$10:$A59)+1)/2)+1)))</f>
        <v/>
      </c>
      <c r="H59" s="78"/>
      <c r="I59" s="73"/>
      <c r="J59" s="90"/>
    </row>
    <row r="60" spans="1:10" ht="30" customHeight="1" x14ac:dyDescent="0.15">
      <c r="A60" s="74" t="str">
        <f>IF(AND(INDEX(Sheet1!$AM:$AM,INT((ROWS($A$10:$A60)+1)/2)+1)="",INDEX(Sheet1!$BA:$BA,INT((ROWS($A$10:$A60)+1)/2)+1)&lt;&gt;""),"",INDEX(Sheet1!$AC:$AC,INT((ROWS($A$10:$A60)+1)/2)+1)&amp;"")</f>
        <v/>
      </c>
      <c r="B60" s="74" t="str">
        <f>IF(AND(INDEX(Sheet1!$AM:$AM,INT((ROWS($A$10:$A60)+1)/2)+1)="",INDEX(Sheet1!$BA:$BA,INT((ROWS($A$10:$A60)+1)/2)+1)&lt;&gt;""),"",INDEX(Sheet1!$B:$B,INT((ROWS($A$10:$A60)+1)/2)+1)&amp;"")</f>
        <v/>
      </c>
      <c r="C60" s="74" t="str">
        <f>IF(AND(INDEX(Sheet1!$AM:$AM,INT((ROWS($A$10:$A60)+1)/2)+1)="",INDEX(Sheet1!$BA:$BA,INT((ROWS($A$10:$A60)+1)/2)+1)&lt;&gt;""),"",INDEX(Sheet1!$CN:$CN,INT((ROWS($A$10:$A60)+1)/2)+1)&amp;"")</f>
        <v/>
      </c>
      <c r="D60" s="76" t="str">
        <f>IF(OR(AND(INDEX(Sheet1!$AM:$AM,INT((ROWS($A$10:$A60)+1)/2)+1)="",INDEX(Sheet1!$BA:$BA,INT((ROWS($A$10:$A60)+1)/2)+1)&lt;&gt;""),INDEX(Sheet1!$N:$N,INT((ROWS($A$10:$A60)+1)/2)+1)=""),"",INDEX(Sheet1!$N:$N,INT((ROWS($A$10:$A60)+1)/2)+1))</f>
        <v/>
      </c>
      <c r="E60" s="74" t="str">
        <f>IF(INDEX(Sheet1!$AM:$AM,INT((ROWS($A$10:$A60)+1)/2)+1)&lt;&gt;"","第一種","")</f>
        <v/>
      </c>
      <c r="F60" s="77" t="str">
        <f>IF(E60="","",INDEX(Sheet1!$AO:$AO,INT((ROWS($A$10:$A60)+1)/2)+1)&amp;"")</f>
        <v/>
      </c>
      <c r="G60" s="76" t="str">
        <f>IF(OR(E60="",INDEX(Sheet1!$AY:$AY,INT((ROWS($A$10:$A60)+1)/2)+1)=""),"",INDEX(Sheet1!$AY:$AY,INT((ROWS($A$10:$A60)+1)/2)+1))</f>
        <v/>
      </c>
      <c r="H60" s="74" t="str">
        <f>IF(INDEX(Sheet1!$AD:$AD,INT((ROWS($A$10:$A60)+1)/2)+1)="","",INDEX(Sheet1!$AD:$AD,INT((ROWS($A$10:$A60)+1)/2)+1))</f>
        <v/>
      </c>
      <c r="I60" s="76" t="str">
        <f>IF(INDEX(Sheet1!$AK:$AK,INT((ROWS($A$10:$A60)+1)/2)+1)="","",INDEX(Sheet1!$AK:$AK,INT((ROWS($A$10:$A60)+1)/2)+1))</f>
        <v/>
      </c>
      <c r="J60" s="90"/>
    </row>
    <row r="61" spans="1:10" ht="30" customHeight="1" x14ac:dyDescent="0.15">
      <c r="A61" s="74" t="str">
        <f>IF(E61="","",IF(E60="",INDEX(Sheet1!$AC:$AC,INT((ROWS($A$10:$A61)+1)/2)+1)&amp;"","〃"))</f>
        <v/>
      </c>
      <c r="B61" s="74" t="str">
        <f>IF(E61="","",IF(E60="",INDEX(Sheet1!$B:$B,INT((ROWS($A$10:$A61)+1)/2)+1)&amp;"","〃"))</f>
        <v/>
      </c>
      <c r="C61" s="74" t="str">
        <f>IF(E61="","",IF(E60="",INDEX(Sheet1!$CN:$CN,INT((ROWS($A$10:$A61)+1)/2)+1)&amp;"","〃"))</f>
        <v/>
      </c>
      <c r="D61" s="76" t="str">
        <f>IF(E61="","",IF(E60="",IF(INDEX(Sheet1!$N:$N,INT((ROWS($A$10:$A61)+1)/2)+1)="","",INDEX(Sheet1!$N:$N,INT((ROWS($A$10:$A61)+1)/2)+1)),"〃"))</f>
        <v/>
      </c>
      <c r="E61" s="74" t="str">
        <f>IF(INDEX(Sheet1!$BA:$BA,INT((ROWS($A$10:$A61)+1)/2)+1)&lt;&gt;"","わな猟","")</f>
        <v/>
      </c>
      <c r="F61" s="77" t="str">
        <f>IF(E61="","",INDEX(Sheet1!$BC:$BC,INT((ROWS($A$10:$A61)+1)/2)+1)&amp;"")</f>
        <v/>
      </c>
      <c r="G61" s="76" t="str">
        <f>IF(E61="","",IF(INDEX(Sheet1!$BM:$BM,INT((ROWS($A$10:$A61)+1)/2)+1)="","",INDEX(Sheet1!$BM:$BM,INT((ROWS($A$10:$A61)+1)/2)+1)))</f>
        <v/>
      </c>
      <c r="H61" s="78"/>
      <c r="I61" s="73"/>
      <c r="J61" s="90"/>
    </row>
    <row r="62" spans="1:10" ht="30" customHeight="1" x14ac:dyDescent="0.15">
      <c r="A62" s="74" t="str">
        <f>IF(AND(INDEX(Sheet1!$AM:$AM,INT((ROWS($A$10:$A62)+1)/2)+1)="",INDEX(Sheet1!$BA:$BA,INT((ROWS($A$10:$A62)+1)/2)+1)&lt;&gt;""),"",INDEX(Sheet1!$AC:$AC,INT((ROWS($A$10:$A62)+1)/2)+1)&amp;"")</f>
        <v/>
      </c>
      <c r="B62" s="74" t="str">
        <f>IF(AND(INDEX(Sheet1!$AM:$AM,INT((ROWS($A$10:$A62)+1)/2)+1)="",INDEX(Sheet1!$BA:$BA,INT((ROWS($A$10:$A62)+1)/2)+1)&lt;&gt;""),"",INDEX(Sheet1!$B:$B,INT((ROWS($A$10:$A62)+1)/2)+1)&amp;"")</f>
        <v/>
      </c>
      <c r="C62" s="74" t="str">
        <f>IF(AND(INDEX(Sheet1!$AM:$AM,INT((ROWS($A$10:$A62)+1)/2)+1)="",INDEX(Sheet1!$BA:$BA,INT((ROWS($A$10:$A62)+1)/2)+1)&lt;&gt;""),"",INDEX(Sheet1!$CN:$CN,INT((ROWS($A$10:$A62)+1)/2)+1)&amp;"")</f>
        <v/>
      </c>
      <c r="D62" s="76" t="str">
        <f>IF(OR(AND(INDEX(Sheet1!$AM:$AM,INT((ROWS($A$10:$A62)+1)/2)+1)="",INDEX(Sheet1!$BA:$BA,INT((ROWS($A$10:$A62)+1)/2)+1)&lt;&gt;""),INDEX(Sheet1!$N:$N,INT((ROWS($A$10:$A62)+1)/2)+1)=""),"",INDEX(Sheet1!$N:$N,INT((ROWS($A$10:$A62)+1)/2)+1))</f>
        <v/>
      </c>
      <c r="E62" s="74" t="str">
        <f>IF(INDEX(Sheet1!$AM:$AM,INT((ROWS($A$10:$A62)+1)/2)+1)&lt;&gt;"","第一種","")</f>
        <v/>
      </c>
      <c r="F62" s="77" t="str">
        <f>IF(E62="","",INDEX(Sheet1!$AO:$AO,INT((ROWS($A$10:$A62)+1)/2)+1)&amp;"")</f>
        <v/>
      </c>
      <c r="G62" s="76" t="str">
        <f>IF(OR(E62="",INDEX(Sheet1!$AY:$AY,INT((ROWS($A$10:$A62)+1)/2)+1)=""),"",INDEX(Sheet1!$AY:$AY,INT((ROWS($A$10:$A62)+1)/2)+1))</f>
        <v/>
      </c>
      <c r="H62" s="74" t="str">
        <f>IF(INDEX(Sheet1!$AD:$AD,INT((ROWS($A$10:$A62)+1)/2)+1)="","",INDEX(Sheet1!$AD:$AD,INT((ROWS($A$10:$A62)+1)/2)+1))</f>
        <v/>
      </c>
      <c r="I62" s="76" t="str">
        <f>IF(INDEX(Sheet1!$AK:$AK,INT((ROWS($A$10:$A62)+1)/2)+1)="","",INDEX(Sheet1!$AK:$AK,INT((ROWS($A$10:$A62)+1)/2)+1))</f>
        <v/>
      </c>
      <c r="J62" s="90"/>
    </row>
    <row r="63" spans="1:10" ht="30" customHeight="1" x14ac:dyDescent="0.15">
      <c r="A63" s="74" t="str">
        <f>IF(E63="","",IF(E62="",INDEX(Sheet1!$AC:$AC,INT((ROWS($A$10:$A63)+1)/2)+1)&amp;"","〃"))</f>
        <v/>
      </c>
      <c r="B63" s="74" t="str">
        <f>IF(E63="","",IF(E62="",INDEX(Sheet1!$B:$B,INT((ROWS($A$10:$A63)+1)/2)+1)&amp;"","〃"))</f>
        <v/>
      </c>
      <c r="C63" s="74" t="str">
        <f>IF(E63="","",IF(E62="",INDEX(Sheet1!$CN:$CN,INT((ROWS($A$10:$A63)+1)/2)+1)&amp;"","〃"))</f>
        <v/>
      </c>
      <c r="D63" s="76" t="str">
        <f>IF(E63="","",IF(E62="",IF(INDEX(Sheet1!$N:$N,INT((ROWS($A$10:$A63)+1)/2)+1)="","",INDEX(Sheet1!$N:$N,INT((ROWS($A$10:$A63)+1)/2)+1)),"〃"))</f>
        <v/>
      </c>
      <c r="E63" s="74" t="str">
        <f>IF(INDEX(Sheet1!$BA:$BA,INT((ROWS($A$10:$A63)+1)/2)+1)&lt;&gt;"","わな猟","")</f>
        <v/>
      </c>
      <c r="F63" s="77" t="str">
        <f>IF(E63="","",INDEX(Sheet1!$BC:$BC,INT((ROWS($A$10:$A63)+1)/2)+1)&amp;"")</f>
        <v/>
      </c>
      <c r="G63" s="76" t="str">
        <f>IF(E63="","",IF(INDEX(Sheet1!$BM:$BM,INT((ROWS($A$10:$A63)+1)/2)+1)="","",INDEX(Sheet1!$BM:$BM,INT((ROWS($A$10:$A63)+1)/2)+1)))</f>
        <v/>
      </c>
      <c r="H63" s="78"/>
      <c r="I63" s="73"/>
      <c r="J63" s="90"/>
    </row>
    <row r="64" spans="1:10" ht="30" customHeight="1" x14ac:dyDescent="0.15">
      <c r="A64" s="74" t="str">
        <f>IF(AND(INDEX(Sheet1!$AM:$AM,INT((ROWS($A$10:$A64)+1)/2)+1)="",INDEX(Sheet1!$BA:$BA,INT((ROWS($A$10:$A64)+1)/2)+1)&lt;&gt;""),"",INDEX(Sheet1!$AC:$AC,INT((ROWS($A$10:$A64)+1)/2)+1)&amp;"")</f>
        <v/>
      </c>
      <c r="B64" s="74" t="str">
        <f>IF(AND(INDEX(Sheet1!$AM:$AM,INT((ROWS($A$10:$A64)+1)/2)+1)="",INDEX(Sheet1!$BA:$BA,INT((ROWS($A$10:$A64)+1)/2)+1)&lt;&gt;""),"",INDEX(Sheet1!$B:$B,INT((ROWS($A$10:$A64)+1)/2)+1)&amp;"")</f>
        <v/>
      </c>
      <c r="C64" s="74" t="str">
        <f>IF(AND(INDEX(Sheet1!$AM:$AM,INT((ROWS($A$10:$A64)+1)/2)+1)="",INDEX(Sheet1!$BA:$BA,INT((ROWS($A$10:$A64)+1)/2)+1)&lt;&gt;""),"",INDEX(Sheet1!$CN:$CN,INT((ROWS($A$10:$A64)+1)/2)+1)&amp;"")</f>
        <v/>
      </c>
      <c r="D64" s="76" t="str">
        <f>IF(OR(AND(INDEX(Sheet1!$AM:$AM,INT((ROWS($A$10:$A64)+1)/2)+1)="",INDEX(Sheet1!$BA:$BA,INT((ROWS($A$10:$A64)+1)/2)+1)&lt;&gt;""),INDEX(Sheet1!$N:$N,INT((ROWS($A$10:$A64)+1)/2)+1)=""),"",INDEX(Sheet1!$N:$N,INT((ROWS($A$10:$A64)+1)/2)+1))</f>
        <v/>
      </c>
      <c r="E64" s="74" t="str">
        <f>IF(INDEX(Sheet1!$AM:$AM,INT((ROWS($A$10:$A64)+1)/2)+1)&lt;&gt;"","第一種","")</f>
        <v/>
      </c>
      <c r="F64" s="77" t="str">
        <f>IF(E64="","",INDEX(Sheet1!$AO:$AO,INT((ROWS($A$10:$A64)+1)/2)+1)&amp;"")</f>
        <v/>
      </c>
      <c r="G64" s="76" t="str">
        <f>IF(OR(E64="",INDEX(Sheet1!$AY:$AY,INT((ROWS($A$10:$A64)+1)/2)+1)=""),"",INDEX(Sheet1!$AY:$AY,INT((ROWS($A$10:$A64)+1)/2)+1))</f>
        <v/>
      </c>
      <c r="H64" s="74" t="str">
        <f>IF(INDEX(Sheet1!$AD:$AD,INT((ROWS($A$10:$A64)+1)/2)+1)="","",INDEX(Sheet1!$AD:$AD,INT((ROWS($A$10:$A64)+1)/2)+1))</f>
        <v/>
      </c>
      <c r="I64" s="76" t="str">
        <f>IF(INDEX(Sheet1!$AK:$AK,INT((ROWS($A$10:$A64)+1)/2)+1)="","",INDEX(Sheet1!$AK:$AK,INT((ROWS($A$10:$A64)+1)/2)+1))</f>
        <v/>
      </c>
      <c r="J64" s="90"/>
    </row>
    <row r="65" spans="1:10" ht="30" customHeight="1" x14ac:dyDescent="0.15">
      <c r="A65" s="74" t="str">
        <f>IF(E65="","",IF(E64="",INDEX(Sheet1!$AC:$AC,INT((ROWS($A$10:$A65)+1)/2)+1)&amp;"","〃"))</f>
        <v/>
      </c>
      <c r="B65" s="74" t="str">
        <f>IF(E65="","",IF(E64="",INDEX(Sheet1!$B:$B,INT((ROWS($A$10:$A65)+1)/2)+1)&amp;"","〃"))</f>
        <v/>
      </c>
      <c r="C65" s="74" t="str">
        <f>IF(E65="","",IF(E64="",INDEX(Sheet1!$CN:$CN,INT((ROWS($A$10:$A65)+1)/2)+1)&amp;"","〃"))</f>
        <v/>
      </c>
      <c r="D65" s="76" t="str">
        <f>IF(E65="","",IF(E64="",IF(INDEX(Sheet1!$N:$N,INT((ROWS($A$10:$A65)+1)/2)+1)="","",INDEX(Sheet1!$N:$N,INT((ROWS($A$10:$A65)+1)/2)+1)),"〃"))</f>
        <v/>
      </c>
      <c r="E65" s="74" t="str">
        <f>IF(INDEX(Sheet1!$BA:$BA,INT((ROWS($A$10:$A65)+1)/2)+1)&lt;&gt;"","わな猟","")</f>
        <v/>
      </c>
      <c r="F65" s="77" t="str">
        <f>IF(E65="","",INDEX(Sheet1!$BC:$BC,INT((ROWS($A$10:$A65)+1)/2)+1)&amp;"")</f>
        <v/>
      </c>
      <c r="G65" s="76" t="str">
        <f>IF(E65="","",IF(INDEX(Sheet1!$BM:$BM,INT((ROWS($A$10:$A65)+1)/2)+1)="","",INDEX(Sheet1!$BM:$BM,INT((ROWS($A$10:$A65)+1)/2)+1)))</f>
        <v/>
      </c>
      <c r="H65" s="78"/>
      <c r="I65" s="73"/>
      <c r="J65" s="90"/>
    </row>
    <row r="66" spans="1:10" ht="30" customHeight="1" x14ac:dyDescent="0.15">
      <c r="A66" s="74" t="str">
        <f>IF(AND(INDEX(Sheet1!$AM:$AM,INT((ROWS($A$10:$A66)+1)/2)+1)="",INDEX(Sheet1!$BA:$BA,INT((ROWS($A$10:$A66)+1)/2)+1)&lt;&gt;""),"",INDEX(Sheet1!$AC:$AC,INT((ROWS($A$10:$A66)+1)/2)+1)&amp;"")</f>
        <v/>
      </c>
      <c r="B66" s="74" t="str">
        <f>IF(AND(INDEX(Sheet1!$AM:$AM,INT((ROWS($A$10:$A66)+1)/2)+1)="",INDEX(Sheet1!$BA:$BA,INT((ROWS($A$10:$A66)+1)/2)+1)&lt;&gt;""),"",INDEX(Sheet1!$B:$B,INT((ROWS($A$10:$A66)+1)/2)+1)&amp;"")</f>
        <v/>
      </c>
      <c r="C66" s="74" t="str">
        <f>IF(AND(INDEX(Sheet1!$AM:$AM,INT((ROWS($A$10:$A66)+1)/2)+1)="",INDEX(Sheet1!$BA:$BA,INT((ROWS($A$10:$A66)+1)/2)+1)&lt;&gt;""),"",INDEX(Sheet1!$CN:$CN,INT((ROWS($A$10:$A66)+1)/2)+1)&amp;"")</f>
        <v/>
      </c>
      <c r="D66" s="76" t="str">
        <f>IF(OR(AND(INDEX(Sheet1!$AM:$AM,INT((ROWS($A$10:$A66)+1)/2)+1)="",INDEX(Sheet1!$BA:$BA,INT((ROWS($A$10:$A66)+1)/2)+1)&lt;&gt;""),INDEX(Sheet1!$N:$N,INT((ROWS($A$10:$A66)+1)/2)+1)=""),"",INDEX(Sheet1!$N:$N,INT((ROWS($A$10:$A66)+1)/2)+1))</f>
        <v/>
      </c>
      <c r="E66" s="74" t="str">
        <f>IF(INDEX(Sheet1!$AM:$AM,INT((ROWS($A$10:$A66)+1)/2)+1)&lt;&gt;"","第一種","")</f>
        <v/>
      </c>
      <c r="F66" s="77" t="str">
        <f>IF(E66="","",INDEX(Sheet1!$AO:$AO,INT((ROWS($A$10:$A66)+1)/2)+1)&amp;"")</f>
        <v/>
      </c>
      <c r="G66" s="76" t="str">
        <f>IF(OR(E66="",INDEX(Sheet1!$AY:$AY,INT((ROWS($A$10:$A66)+1)/2)+1)=""),"",INDEX(Sheet1!$AY:$AY,INT((ROWS($A$10:$A66)+1)/2)+1))</f>
        <v/>
      </c>
      <c r="H66" s="74" t="str">
        <f>IF(INDEX(Sheet1!$AD:$AD,INT((ROWS($A$10:$A66)+1)/2)+1)="","",INDEX(Sheet1!$AD:$AD,INT((ROWS($A$10:$A66)+1)/2)+1))</f>
        <v/>
      </c>
      <c r="I66" s="76" t="str">
        <f>IF(INDEX(Sheet1!$AK:$AK,INT((ROWS($A$10:$A66)+1)/2)+1)="","",INDEX(Sheet1!$AK:$AK,INT((ROWS($A$10:$A66)+1)/2)+1))</f>
        <v/>
      </c>
      <c r="J66" s="90"/>
    </row>
    <row r="67" spans="1:10" ht="30" customHeight="1" x14ac:dyDescent="0.15">
      <c r="A67" s="74" t="str">
        <f>IF(E67="","",IF(E66="",INDEX(Sheet1!$AC:$AC,INT((ROWS($A$10:$A67)+1)/2)+1)&amp;"","〃"))</f>
        <v/>
      </c>
      <c r="B67" s="74" t="str">
        <f>IF(E67="","",IF(E66="",INDEX(Sheet1!$B:$B,INT((ROWS($A$10:$A67)+1)/2)+1)&amp;"","〃"))</f>
        <v/>
      </c>
      <c r="C67" s="74" t="str">
        <f>IF(E67="","",IF(E66="",INDEX(Sheet1!$CN:$CN,INT((ROWS($A$10:$A67)+1)/2)+1)&amp;"","〃"))</f>
        <v/>
      </c>
      <c r="D67" s="76" t="str">
        <f>IF(E67="","",IF(E66="",IF(INDEX(Sheet1!$N:$N,INT((ROWS($A$10:$A67)+1)/2)+1)="","",INDEX(Sheet1!$N:$N,INT((ROWS($A$10:$A67)+1)/2)+1)),"〃"))</f>
        <v/>
      </c>
      <c r="E67" s="74" t="str">
        <f>IF(INDEX(Sheet1!$BA:$BA,INT((ROWS($A$10:$A67)+1)/2)+1)&lt;&gt;"","わな猟","")</f>
        <v/>
      </c>
      <c r="F67" s="77" t="str">
        <f>IF(E67="","",INDEX(Sheet1!$BC:$BC,INT((ROWS($A$10:$A67)+1)/2)+1)&amp;"")</f>
        <v/>
      </c>
      <c r="G67" s="76" t="str">
        <f>IF(E67="","",IF(INDEX(Sheet1!$BM:$BM,INT((ROWS($A$10:$A67)+1)/2)+1)="","",INDEX(Sheet1!$BM:$BM,INT((ROWS($A$10:$A67)+1)/2)+1)))</f>
        <v/>
      </c>
      <c r="H67" s="78"/>
      <c r="I67" s="73"/>
      <c r="J67" s="90"/>
    </row>
    <row r="68" spans="1:10" ht="30" customHeight="1" x14ac:dyDescent="0.15">
      <c r="A68" s="74" t="str">
        <f>IF(AND(INDEX(Sheet1!$AM:$AM,INT((ROWS($A$10:$A68)+1)/2)+1)="",INDEX(Sheet1!$BA:$BA,INT((ROWS($A$10:$A68)+1)/2)+1)&lt;&gt;""),"",INDEX(Sheet1!$AC:$AC,INT((ROWS($A$10:$A68)+1)/2)+1)&amp;"")</f>
        <v/>
      </c>
      <c r="B68" s="74" t="str">
        <f>IF(AND(INDEX(Sheet1!$AM:$AM,INT((ROWS($A$10:$A68)+1)/2)+1)="",INDEX(Sheet1!$BA:$BA,INT((ROWS($A$10:$A68)+1)/2)+1)&lt;&gt;""),"",INDEX(Sheet1!$B:$B,INT((ROWS($A$10:$A68)+1)/2)+1)&amp;"")</f>
        <v/>
      </c>
      <c r="C68" s="74" t="str">
        <f>IF(AND(INDEX(Sheet1!$AM:$AM,INT((ROWS($A$10:$A68)+1)/2)+1)="",INDEX(Sheet1!$BA:$BA,INT((ROWS($A$10:$A68)+1)/2)+1)&lt;&gt;""),"",INDEX(Sheet1!$CN:$CN,INT((ROWS($A$10:$A68)+1)/2)+1)&amp;"")</f>
        <v/>
      </c>
      <c r="D68" s="76" t="str">
        <f>IF(OR(AND(INDEX(Sheet1!$AM:$AM,INT((ROWS($A$10:$A68)+1)/2)+1)="",INDEX(Sheet1!$BA:$BA,INT((ROWS($A$10:$A68)+1)/2)+1)&lt;&gt;""),INDEX(Sheet1!$N:$N,INT((ROWS($A$10:$A68)+1)/2)+1)=""),"",INDEX(Sheet1!$N:$N,INT((ROWS($A$10:$A68)+1)/2)+1))</f>
        <v/>
      </c>
      <c r="E68" s="74" t="str">
        <f>IF(INDEX(Sheet1!$AM:$AM,INT((ROWS($A$10:$A68)+1)/2)+1)&lt;&gt;"","第一種","")</f>
        <v/>
      </c>
      <c r="F68" s="77" t="str">
        <f>IF(E68="","",INDEX(Sheet1!$AO:$AO,INT((ROWS($A$10:$A68)+1)/2)+1)&amp;"")</f>
        <v/>
      </c>
      <c r="G68" s="76" t="str">
        <f>IF(OR(E68="",INDEX(Sheet1!$AY:$AY,INT((ROWS($A$10:$A68)+1)/2)+1)=""),"",INDEX(Sheet1!$AY:$AY,INT((ROWS($A$10:$A68)+1)/2)+1))</f>
        <v/>
      </c>
      <c r="H68" s="74" t="str">
        <f>IF(INDEX(Sheet1!$AD:$AD,INT((ROWS($A$10:$A68)+1)/2)+1)="","",INDEX(Sheet1!$AD:$AD,INT((ROWS($A$10:$A68)+1)/2)+1))</f>
        <v/>
      </c>
      <c r="I68" s="76" t="str">
        <f>IF(INDEX(Sheet1!$AK:$AK,INT((ROWS($A$10:$A68)+1)/2)+1)="","",INDEX(Sheet1!$AK:$AK,INT((ROWS($A$10:$A68)+1)/2)+1))</f>
        <v/>
      </c>
      <c r="J68" s="90"/>
    </row>
    <row r="69" spans="1:10" ht="30" customHeight="1" x14ac:dyDescent="0.15">
      <c r="A69" s="74" t="str">
        <f>IF(E69="","",IF(E68="",INDEX(Sheet1!$AC:$AC,INT((ROWS($A$10:$A69)+1)/2)+1)&amp;"","〃"))</f>
        <v/>
      </c>
      <c r="B69" s="74" t="str">
        <f>IF(E69="","",IF(E68="",INDEX(Sheet1!$B:$B,INT((ROWS($A$10:$A69)+1)/2)+1)&amp;"","〃"))</f>
        <v/>
      </c>
      <c r="C69" s="74" t="str">
        <f>IF(E69="","",IF(E68="",INDEX(Sheet1!$CN:$CN,INT((ROWS($A$10:$A69)+1)/2)+1)&amp;"","〃"))</f>
        <v/>
      </c>
      <c r="D69" s="76" t="str">
        <f>IF(E69="","",IF(E68="",IF(INDEX(Sheet1!$N:$N,INT((ROWS($A$10:$A69)+1)/2)+1)="","",INDEX(Sheet1!$N:$N,INT((ROWS($A$10:$A69)+1)/2)+1)),"〃"))</f>
        <v/>
      </c>
      <c r="E69" s="74" t="str">
        <f>IF(INDEX(Sheet1!$BA:$BA,INT((ROWS($A$10:$A69)+1)/2)+1)&lt;&gt;"","わな猟","")</f>
        <v/>
      </c>
      <c r="F69" s="77" t="str">
        <f>IF(E69="","",INDEX(Sheet1!$BC:$BC,INT((ROWS($A$10:$A69)+1)/2)+1)&amp;"")</f>
        <v/>
      </c>
      <c r="G69" s="76" t="str">
        <f>IF(E69="","",IF(INDEX(Sheet1!$BM:$BM,INT((ROWS($A$10:$A69)+1)/2)+1)="","",INDEX(Sheet1!$BM:$BM,INT((ROWS($A$10:$A69)+1)/2)+1)))</f>
        <v/>
      </c>
      <c r="H69" s="78"/>
      <c r="I69" s="73"/>
      <c r="J69" s="90"/>
    </row>
    <row r="70" spans="1:10" ht="30" customHeight="1" x14ac:dyDescent="0.15">
      <c r="A70" s="74" t="str">
        <f>IF(AND(INDEX(Sheet1!$AM:$AM,INT((ROWS($A$10:$A70)+1)/2)+1)="",INDEX(Sheet1!$BA:$BA,INT((ROWS($A$10:$A70)+1)/2)+1)&lt;&gt;""),"",INDEX(Sheet1!$AC:$AC,INT((ROWS($A$10:$A70)+1)/2)+1)&amp;"")</f>
        <v/>
      </c>
      <c r="B70" s="74" t="str">
        <f>IF(AND(INDEX(Sheet1!$AM:$AM,INT((ROWS($A$10:$A70)+1)/2)+1)="",INDEX(Sheet1!$BA:$BA,INT((ROWS($A$10:$A70)+1)/2)+1)&lt;&gt;""),"",INDEX(Sheet1!$B:$B,INT((ROWS($A$10:$A70)+1)/2)+1)&amp;"")</f>
        <v/>
      </c>
      <c r="C70" s="74" t="str">
        <f>IF(AND(INDEX(Sheet1!$AM:$AM,INT((ROWS($A$10:$A70)+1)/2)+1)="",INDEX(Sheet1!$BA:$BA,INT((ROWS($A$10:$A70)+1)/2)+1)&lt;&gt;""),"",INDEX(Sheet1!$CN:$CN,INT((ROWS($A$10:$A70)+1)/2)+1)&amp;"")</f>
        <v/>
      </c>
      <c r="D70" s="76" t="str">
        <f>IF(OR(AND(INDEX(Sheet1!$AM:$AM,INT((ROWS($A$10:$A70)+1)/2)+1)="",INDEX(Sheet1!$BA:$BA,INT((ROWS($A$10:$A70)+1)/2)+1)&lt;&gt;""),INDEX(Sheet1!$N:$N,INT((ROWS($A$10:$A70)+1)/2)+1)=""),"",INDEX(Sheet1!$N:$N,INT((ROWS($A$10:$A70)+1)/2)+1))</f>
        <v/>
      </c>
      <c r="E70" s="74" t="str">
        <f>IF(INDEX(Sheet1!$AM:$AM,INT((ROWS($A$10:$A70)+1)/2)+1)&lt;&gt;"","第一種","")</f>
        <v/>
      </c>
      <c r="F70" s="77" t="str">
        <f>IF(E70="","",INDEX(Sheet1!$AO:$AO,INT((ROWS($A$10:$A70)+1)/2)+1)&amp;"")</f>
        <v/>
      </c>
      <c r="G70" s="76" t="str">
        <f>IF(OR(E70="",INDEX(Sheet1!$AY:$AY,INT((ROWS($A$10:$A70)+1)/2)+1)=""),"",INDEX(Sheet1!$AY:$AY,INT((ROWS($A$10:$A70)+1)/2)+1))</f>
        <v/>
      </c>
      <c r="H70" s="74" t="str">
        <f>IF(INDEX(Sheet1!$AD:$AD,INT((ROWS($A$10:$A70)+1)/2)+1)="","",INDEX(Sheet1!$AD:$AD,INT((ROWS($A$10:$A70)+1)/2)+1))</f>
        <v/>
      </c>
      <c r="I70" s="76" t="str">
        <f>IF(INDEX(Sheet1!$AK:$AK,INT((ROWS($A$10:$A70)+1)/2)+1)="","",INDEX(Sheet1!$AK:$AK,INT((ROWS($A$10:$A70)+1)/2)+1))</f>
        <v/>
      </c>
      <c r="J70" s="90"/>
    </row>
    <row r="71" spans="1:10" ht="30" customHeight="1" x14ac:dyDescent="0.15">
      <c r="A71" s="74" t="str">
        <f>IF(E71="","",IF(E70="",INDEX(Sheet1!$AC:$AC,INT((ROWS($A$10:$A71)+1)/2)+1)&amp;"","〃"))</f>
        <v/>
      </c>
      <c r="B71" s="74" t="str">
        <f>IF(E71="","",IF(E70="",INDEX(Sheet1!$B:$B,INT((ROWS($A$10:$A71)+1)/2)+1)&amp;"","〃"))</f>
        <v/>
      </c>
      <c r="C71" s="74" t="str">
        <f>IF(E71="","",IF(E70="",INDEX(Sheet1!$CN:$CN,INT((ROWS($A$10:$A71)+1)/2)+1)&amp;"","〃"))</f>
        <v/>
      </c>
      <c r="D71" s="76" t="str">
        <f>IF(E71="","",IF(E70="",IF(INDEX(Sheet1!$N:$N,INT((ROWS($A$10:$A71)+1)/2)+1)="","",INDEX(Sheet1!$N:$N,INT((ROWS($A$10:$A71)+1)/2)+1)),"〃"))</f>
        <v/>
      </c>
      <c r="E71" s="74" t="str">
        <f>IF(INDEX(Sheet1!$BA:$BA,INT((ROWS($A$10:$A71)+1)/2)+1)&lt;&gt;"","わな猟","")</f>
        <v/>
      </c>
      <c r="F71" s="77" t="str">
        <f>IF(E71="","",INDEX(Sheet1!$BC:$BC,INT((ROWS($A$10:$A71)+1)/2)+1)&amp;"")</f>
        <v/>
      </c>
      <c r="G71" s="76" t="str">
        <f>IF(E71="","",IF(INDEX(Sheet1!$BM:$BM,INT((ROWS($A$10:$A71)+1)/2)+1)="","",INDEX(Sheet1!$BM:$BM,INT((ROWS($A$10:$A71)+1)/2)+1)))</f>
        <v/>
      </c>
      <c r="H71" s="78"/>
      <c r="I71" s="73"/>
      <c r="J71" s="90"/>
    </row>
    <row r="72" spans="1:10" ht="30" customHeight="1" x14ac:dyDescent="0.15">
      <c r="A72" s="74" t="str">
        <f>IF(AND(INDEX(Sheet1!$AM:$AM,INT((ROWS($A$10:$A72)+1)/2)+1)="",INDEX(Sheet1!$BA:$BA,INT((ROWS($A$10:$A72)+1)/2)+1)&lt;&gt;""),"",INDEX(Sheet1!$AC:$AC,INT((ROWS($A$10:$A72)+1)/2)+1)&amp;"")</f>
        <v/>
      </c>
      <c r="B72" s="74" t="str">
        <f>IF(AND(INDEX(Sheet1!$AM:$AM,INT((ROWS($A$10:$A72)+1)/2)+1)="",INDEX(Sheet1!$BA:$BA,INT((ROWS($A$10:$A72)+1)/2)+1)&lt;&gt;""),"",INDEX(Sheet1!$B:$B,INT((ROWS($A$10:$A72)+1)/2)+1)&amp;"")</f>
        <v/>
      </c>
      <c r="C72" s="74" t="str">
        <f>IF(AND(INDEX(Sheet1!$AM:$AM,INT((ROWS($A$10:$A72)+1)/2)+1)="",INDEX(Sheet1!$BA:$BA,INT((ROWS($A$10:$A72)+1)/2)+1)&lt;&gt;""),"",INDEX(Sheet1!$CN:$CN,INT((ROWS($A$10:$A72)+1)/2)+1)&amp;"")</f>
        <v/>
      </c>
      <c r="D72" s="76" t="str">
        <f>IF(OR(AND(INDEX(Sheet1!$AM:$AM,INT((ROWS($A$10:$A72)+1)/2)+1)="",INDEX(Sheet1!$BA:$BA,INT((ROWS($A$10:$A72)+1)/2)+1)&lt;&gt;""),INDEX(Sheet1!$N:$N,INT((ROWS($A$10:$A72)+1)/2)+1)=""),"",INDEX(Sheet1!$N:$N,INT((ROWS($A$10:$A72)+1)/2)+1))</f>
        <v/>
      </c>
      <c r="E72" s="74" t="str">
        <f>IF(INDEX(Sheet1!$AM:$AM,INT((ROWS($A$10:$A72)+1)/2)+1)&lt;&gt;"","第一種","")</f>
        <v/>
      </c>
      <c r="F72" s="77" t="str">
        <f>IF(E72="","",INDEX(Sheet1!$AO:$AO,INT((ROWS($A$10:$A72)+1)/2)+1)&amp;"")</f>
        <v/>
      </c>
      <c r="G72" s="76" t="str">
        <f>IF(OR(E72="",INDEX(Sheet1!$AY:$AY,INT((ROWS($A$10:$A72)+1)/2)+1)=""),"",INDEX(Sheet1!$AY:$AY,INT((ROWS($A$10:$A72)+1)/2)+1))</f>
        <v/>
      </c>
      <c r="H72" s="74" t="str">
        <f>IF(INDEX(Sheet1!$AD:$AD,INT((ROWS($A$10:$A72)+1)/2)+1)="","",INDEX(Sheet1!$AD:$AD,INT((ROWS($A$10:$A72)+1)/2)+1))</f>
        <v/>
      </c>
      <c r="I72" s="76" t="str">
        <f>IF(INDEX(Sheet1!$AK:$AK,INT((ROWS($A$10:$A72)+1)/2)+1)="","",INDEX(Sheet1!$AK:$AK,INT((ROWS($A$10:$A72)+1)/2)+1))</f>
        <v/>
      </c>
      <c r="J72" s="90"/>
    </row>
    <row r="73" spans="1:10" ht="30" customHeight="1" x14ac:dyDescent="0.15">
      <c r="A73" s="74" t="str">
        <f>IF(E73="","",IF(E72="",INDEX(Sheet1!$AC:$AC,INT((ROWS($A$10:$A73)+1)/2)+1)&amp;"","〃"))</f>
        <v/>
      </c>
      <c r="B73" s="74" t="str">
        <f>IF(E73="","",IF(E72="",INDEX(Sheet1!$B:$B,INT((ROWS($A$10:$A73)+1)/2)+1)&amp;"","〃"))</f>
        <v/>
      </c>
      <c r="C73" s="74" t="str">
        <f>IF(E73="","",IF(E72="",INDEX(Sheet1!$CN:$CN,INT((ROWS($A$10:$A73)+1)/2)+1)&amp;"","〃"))</f>
        <v/>
      </c>
      <c r="D73" s="76" t="str">
        <f>IF(E73="","",IF(E72="",IF(INDEX(Sheet1!$N:$N,INT((ROWS($A$10:$A73)+1)/2)+1)="","",INDEX(Sheet1!$N:$N,INT((ROWS($A$10:$A73)+1)/2)+1)),"〃"))</f>
        <v/>
      </c>
      <c r="E73" s="74" t="str">
        <f>IF(INDEX(Sheet1!$BA:$BA,INT((ROWS($A$10:$A73)+1)/2)+1)&lt;&gt;"","わな猟","")</f>
        <v/>
      </c>
      <c r="F73" s="77" t="str">
        <f>IF(E73="","",INDEX(Sheet1!$BC:$BC,INT((ROWS($A$10:$A73)+1)/2)+1)&amp;"")</f>
        <v/>
      </c>
      <c r="G73" s="76" t="str">
        <f>IF(E73="","",IF(INDEX(Sheet1!$BM:$BM,INT((ROWS($A$10:$A73)+1)/2)+1)="","",INDEX(Sheet1!$BM:$BM,INT((ROWS($A$10:$A73)+1)/2)+1)))</f>
        <v/>
      </c>
      <c r="H73" s="78"/>
      <c r="I73" s="73"/>
      <c r="J73" s="90"/>
    </row>
    <row r="74" spans="1:10" s="71" customFormat="1" ht="30" customHeight="1" x14ac:dyDescent="0.15">
      <c r="A74" s="74" t="str">
        <f>IF(AND(INDEX(Sheet1!$AM:$AM,INT((ROWS($A$10:$A74)+1)/2)+1)="",INDEX(Sheet1!$BA:$BA,INT((ROWS($A$10:$A74)+1)/2)+1)&lt;&gt;""),"",INDEX(Sheet1!$AC:$AC,INT((ROWS($A$10:$A74)+1)/2)+1)&amp;"")</f>
        <v/>
      </c>
      <c r="B74" s="74" t="str">
        <f>IF(AND(INDEX(Sheet1!$AM:$AM,INT((ROWS($A$10:$A74)+1)/2)+1)="",INDEX(Sheet1!$BA:$BA,INT((ROWS($A$10:$A74)+1)/2)+1)&lt;&gt;""),"",INDEX(Sheet1!$B:$B,INT((ROWS($A$10:$A74)+1)/2)+1)&amp;"")</f>
        <v/>
      </c>
      <c r="C74" s="74" t="str">
        <f>IF(AND(INDEX(Sheet1!$AM:$AM,INT((ROWS($A$10:$A74)+1)/2)+1)="",INDEX(Sheet1!$BA:$BA,INT((ROWS($A$10:$A74)+1)/2)+1)&lt;&gt;""),"",INDEX(Sheet1!$CN:$CN,INT((ROWS($A$10:$A74)+1)/2)+1)&amp;"")</f>
        <v/>
      </c>
      <c r="D74" s="76" t="str">
        <f>IF(OR(AND(INDEX(Sheet1!$AM:$AM,INT((ROWS($A$10:$A74)+1)/2)+1)="",INDEX(Sheet1!$BA:$BA,INT((ROWS($A$10:$A74)+1)/2)+1)&lt;&gt;""),INDEX(Sheet1!$N:$N,INT((ROWS($A$10:$A74)+1)/2)+1)=""),"",INDEX(Sheet1!$N:$N,INT((ROWS($A$10:$A74)+1)/2)+1))</f>
        <v/>
      </c>
      <c r="E74" s="74" t="str">
        <f>IF(INDEX(Sheet1!$AM:$AM,INT((ROWS($A$10:$A74)+1)/2)+1)&lt;&gt;"","第一種","")</f>
        <v/>
      </c>
      <c r="F74" s="77" t="str">
        <f>IF(E74="","",INDEX(Sheet1!$AO:$AO,INT((ROWS($A$10:$A74)+1)/2)+1)&amp;"")</f>
        <v/>
      </c>
      <c r="G74" s="76" t="str">
        <f>IF(OR(E74="",INDEX(Sheet1!$AY:$AY,INT((ROWS($A$10:$A74)+1)/2)+1)=""),"",INDEX(Sheet1!$AY:$AY,INT((ROWS($A$10:$A74)+1)/2)+1))</f>
        <v/>
      </c>
      <c r="H74" s="74" t="str">
        <f>IF(INDEX(Sheet1!$AD:$AD,INT((ROWS($A$10:$A74)+1)/2)+1)="","",INDEX(Sheet1!$AD:$AD,INT((ROWS($A$10:$A74)+1)/2)+1))</f>
        <v/>
      </c>
      <c r="I74" s="76" t="str">
        <f>IF(INDEX(Sheet1!$AK:$AK,INT((ROWS($A$10:$A74)+1)/2)+1)="","",INDEX(Sheet1!$AK:$AK,INT((ROWS($A$10:$A74)+1)/2)+1))</f>
        <v/>
      </c>
      <c r="J74" s="90"/>
    </row>
    <row r="75" spans="1:10" s="71" customFormat="1" ht="30" customHeight="1" x14ac:dyDescent="0.15">
      <c r="A75" s="74" t="str">
        <f>IF(E75="","",IF(E74="",INDEX(Sheet1!$AC:$AC,INT((ROWS($A$10:$A75)+1)/2)+1)&amp;"","〃"))</f>
        <v/>
      </c>
      <c r="B75" s="74" t="str">
        <f>IF(E75="","",IF(E74="",INDEX(Sheet1!$B:$B,INT((ROWS($A$10:$A75)+1)/2)+1)&amp;"","〃"))</f>
        <v/>
      </c>
      <c r="C75" s="74" t="str">
        <f>IF(E75="","",IF(E74="",INDEX(Sheet1!$CN:$CN,INT((ROWS($A$10:$A75)+1)/2)+1)&amp;"","〃"))</f>
        <v/>
      </c>
      <c r="D75" s="76" t="str">
        <f>IF(E75="","",IF(E74="",IF(INDEX(Sheet1!$N:$N,INT((ROWS($A$10:$A75)+1)/2)+1)="","",INDEX(Sheet1!$N:$N,INT((ROWS($A$10:$A75)+1)/2)+1)),"〃"))</f>
        <v/>
      </c>
      <c r="E75" s="74" t="str">
        <f>IF(INDEX(Sheet1!$BA:$BA,INT((ROWS($A$10:$A75)+1)/2)+1)&lt;&gt;"","わな猟","")</f>
        <v/>
      </c>
      <c r="F75" s="77" t="str">
        <f>IF(E75="","",INDEX(Sheet1!$BC:$BC,INT((ROWS($A$10:$A75)+1)/2)+1)&amp;"")</f>
        <v/>
      </c>
      <c r="G75" s="76" t="str">
        <f>IF(E75="","",IF(INDEX(Sheet1!$BM:$BM,INT((ROWS($A$10:$A75)+1)/2)+1)="","",INDEX(Sheet1!$BM:$BM,INT((ROWS($A$10:$A75)+1)/2)+1)))</f>
        <v/>
      </c>
      <c r="H75" s="78"/>
      <c r="I75" s="73"/>
      <c r="J75" s="90"/>
    </row>
    <row r="76" spans="1:10" s="71" customFormat="1" ht="30" customHeight="1" x14ac:dyDescent="0.15">
      <c r="A76" s="74" t="str">
        <f>IF(AND(INDEX(Sheet1!$AM:$AM,INT((ROWS($A$10:$A76)+1)/2)+1)="",INDEX(Sheet1!$BA:$BA,INT((ROWS($A$10:$A76)+1)/2)+1)&lt;&gt;""),"",INDEX(Sheet1!$AC:$AC,INT((ROWS($A$10:$A76)+1)/2)+1)&amp;"")</f>
        <v/>
      </c>
      <c r="B76" s="74" t="str">
        <f>IF(AND(INDEX(Sheet1!$AM:$AM,INT((ROWS($A$10:$A76)+1)/2)+1)="",INDEX(Sheet1!$BA:$BA,INT((ROWS($A$10:$A76)+1)/2)+1)&lt;&gt;""),"",INDEX(Sheet1!$B:$B,INT((ROWS($A$10:$A76)+1)/2)+1)&amp;"")</f>
        <v/>
      </c>
      <c r="C76" s="74" t="str">
        <f>IF(AND(INDEX(Sheet1!$AM:$AM,INT((ROWS($A$10:$A76)+1)/2)+1)="",INDEX(Sheet1!$BA:$BA,INT((ROWS($A$10:$A76)+1)/2)+1)&lt;&gt;""),"",INDEX(Sheet1!$CN:$CN,INT((ROWS($A$10:$A76)+1)/2)+1)&amp;"")</f>
        <v/>
      </c>
      <c r="D76" s="76" t="str">
        <f>IF(OR(AND(INDEX(Sheet1!$AM:$AM,INT((ROWS($A$10:$A76)+1)/2)+1)="",INDEX(Sheet1!$BA:$BA,INT((ROWS($A$10:$A76)+1)/2)+1)&lt;&gt;""),INDEX(Sheet1!$N:$N,INT((ROWS($A$10:$A76)+1)/2)+1)=""),"",INDEX(Sheet1!$N:$N,INT((ROWS($A$10:$A76)+1)/2)+1))</f>
        <v/>
      </c>
      <c r="E76" s="74" t="str">
        <f>IF(INDEX(Sheet1!$AM:$AM,INT((ROWS($A$10:$A76)+1)/2)+1)&lt;&gt;"","第一種","")</f>
        <v/>
      </c>
      <c r="F76" s="77" t="str">
        <f>IF(E76="","",INDEX(Sheet1!$AO:$AO,INT((ROWS($A$10:$A76)+1)/2)+1)&amp;"")</f>
        <v/>
      </c>
      <c r="G76" s="76" t="str">
        <f>IF(OR(E76="",INDEX(Sheet1!$AY:$AY,INT((ROWS($A$10:$A76)+1)/2)+1)=""),"",INDEX(Sheet1!$AY:$AY,INT((ROWS($A$10:$A76)+1)/2)+1))</f>
        <v/>
      </c>
      <c r="H76" s="74" t="str">
        <f>IF(INDEX(Sheet1!$AD:$AD,INT((ROWS($A$10:$A76)+1)/2)+1)="","",INDEX(Sheet1!$AD:$AD,INT((ROWS($A$10:$A76)+1)/2)+1))</f>
        <v/>
      </c>
      <c r="I76" s="76" t="str">
        <f>IF(INDEX(Sheet1!$AK:$AK,INT((ROWS($A$10:$A76)+1)/2)+1)="","",INDEX(Sheet1!$AK:$AK,INT((ROWS($A$10:$A76)+1)/2)+1))</f>
        <v/>
      </c>
      <c r="J76" s="90"/>
    </row>
    <row r="77" spans="1:10" s="71" customFormat="1" ht="30" customHeight="1" x14ac:dyDescent="0.15">
      <c r="A77" s="74" t="str">
        <f>IF(E77="","",IF(E76="",INDEX(Sheet1!$AC:$AC,INT((ROWS($A$10:$A77)+1)/2)+1)&amp;"","〃"))</f>
        <v/>
      </c>
      <c r="B77" s="74" t="str">
        <f>IF(E77="","",IF(E76="",INDEX(Sheet1!$B:$B,INT((ROWS($A$10:$A77)+1)/2)+1)&amp;"","〃"))</f>
        <v/>
      </c>
      <c r="C77" s="74" t="str">
        <f>IF(E77="","",IF(E76="",INDEX(Sheet1!$CN:$CN,INT((ROWS($A$10:$A77)+1)/2)+1)&amp;"","〃"))</f>
        <v/>
      </c>
      <c r="D77" s="76" t="str">
        <f>IF(E77="","",IF(E76="",IF(INDEX(Sheet1!$N:$N,INT((ROWS($A$10:$A77)+1)/2)+1)="","",INDEX(Sheet1!$N:$N,INT((ROWS($A$10:$A77)+1)/2)+1)),"〃"))</f>
        <v/>
      </c>
      <c r="E77" s="74" t="str">
        <f>IF(INDEX(Sheet1!$BA:$BA,INT((ROWS($A$10:$A77)+1)/2)+1)&lt;&gt;"","わな猟","")</f>
        <v/>
      </c>
      <c r="F77" s="77" t="str">
        <f>IF(E77="","",INDEX(Sheet1!$BC:$BC,INT((ROWS($A$10:$A77)+1)/2)+1)&amp;"")</f>
        <v/>
      </c>
      <c r="G77" s="76" t="str">
        <f>IF(E77="","",IF(INDEX(Sheet1!$BM:$BM,INT((ROWS($A$10:$A77)+1)/2)+1)="","",INDEX(Sheet1!$BM:$BM,INT((ROWS($A$10:$A77)+1)/2)+1)))</f>
        <v/>
      </c>
      <c r="H77" s="78"/>
      <c r="I77" s="73"/>
      <c r="J77" s="90"/>
    </row>
    <row r="78" spans="1:10" s="71" customFormat="1" ht="30" customHeight="1" x14ac:dyDescent="0.15">
      <c r="A78" s="74" t="str">
        <f>IF(AND(INDEX(Sheet1!$AM:$AM,INT((ROWS($A$10:$A78)+1)/2)+1)="",INDEX(Sheet1!$BA:$BA,INT((ROWS($A$10:$A78)+1)/2)+1)&lt;&gt;""),"",INDEX(Sheet1!$AC:$AC,INT((ROWS($A$10:$A78)+1)/2)+1)&amp;"")</f>
        <v/>
      </c>
      <c r="B78" s="74" t="str">
        <f>IF(AND(INDEX(Sheet1!$AM:$AM,INT((ROWS($A$10:$A78)+1)/2)+1)="",INDEX(Sheet1!$BA:$BA,INT((ROWS($A$10:$A78)+1)/2)+1)&lt;&gt;""),"",INDEX(Sheet1!$B:$B,INT((ROWS($A$10:$A78)+1)/2)+1)&amp;"")</f>
        <v/>
      </c>
      <c r="C78" s="74" t="str">
        <f>IF(AND(INDEX(Sheet1!$AM:$AM,INT((ROWS($A$10:$A78)+1)/2)+1)="",INDEX(Sheet1!$BA:$BA,INT((ROWS($A$10:$A78)+1)/2)+1)&lt;&gt;""),"",INDEX(Sheet1!$CN:$CN,INT((ROWS($A$10:$A78)+1)/2)+1)&amp;"")</f>
        <v/>
      </c>
      <c r="D78" s="76" t="str">
        <f>IF(OR(AND(INDEX(Sheet1!$AM:$AM,INT((ROWS($A$10:$A78)+1)/2)+1)="",INDEX(Sheet1!$BA:$BA,INT((ROWS($A$10:$A78)+1)/2)+1)&lt;&gt;""),INDEX(Sheet1!$N:$N,INT((ROWS($A$10:$A78)+1)/2)+1)=""),"",INDEX(Sheet1!$N:$N,INT((ROWS($A$10:$A78)+1)/2)+1))</f>
        <v/>
      </c>
      <c r="E78" s="74" t="str">
        <f>IF(INDEX(Sheet1!$AM:$AM,INT((ROWS($A$10:$A78)+1)/2)+1)&lt;&gt;"","第一種","")</f>
        <v/>
      </c>
      <c r="F78" s="77" t="str">
        <f>IF(E78="","",INDEX(Sheet1!$AO:$AO,INT((ROWS($A$10:$A78)+1)/2)+1)&amp;"")</f>
        <v/>
      </c>
      <c r="G78" s="76" t="str">
        <f>IF(OR(E78="",INDEX(Sheet1!$AY:$AY,INT((ROWS($A$10:$A78)+1)/2)+1)=""),"",INDEX(Sheet1!$AY:$AY,INT((ROWS($A$10:$A78)+1)/2)+1))</f>
        <v/>
      </c>
      <c r="H78" s="74" t="str">
        <f>IF(INDEX(Sheet1!$AD:$AD,INT((ROWS($A$10:$A78)+1)/2)+1)="","",INDEX(Sheet1!$AD:$AD,INT((ROWS($A$10:$A78)+1)/2)+1))</f>
        <v/>
      </c>
      <c r="I78" s="76" t="str">
        <f>IF(INDEX(Sheet1!$AK:$AK,INT((ROWS($A$10:$A78)+1)/2)+1)="","",INDEX(Sheet1!$AK:$AK,INT((ROWS($A$10:$A78)+1)/2)+1))</f>
        <v/>
      </c>
      <c r="J78" s="90"/>
    </row>
    <row r="79" spans="1:10" s="71" customFormat="1" ht="30" customHeight="1" x14ac:dyDescent="0.15">
      <c r="A79" s="74" t="str">
        <f>IF(E79="","",IF(E78="",INDEX(Sheet1!$AC:$AC,INT((ROWS($A$10:$A79)+1)/2)+1)&amp;"","〃"))</f>
        <v/>
      </c>
      <c r="B79" s="74" t="str">
        <f>IF(E79="","",IF(E78="",INDEX(Sheet1!$B:$B,INT((ROWS($A$10:$A79)+1)/2)+1)&amp;"","〃"))</f>
        <v/>
      </c>
      <c r="C79" s="74" t="str">
        <f>IF(E79="","",IF(E78="",INDEX(Sheet1!$CN:$CN,INT((ROWS($A$10:$A79)+1)/2)+1)&amp;"","〃"))</f>
        <v/>
      </c>
      <c r="D79" s="76" t="str">
        <f>IF(E79="","",IF(E78="",IF(INDEX(Sheet1!$N:$N,INT((ROWS($A$10:$A79)+1)/2)+1)="","",INDEX(Sheet1!$N:$N,INT((ROWS($A$10:$A79)+1)/2)+1)),"〃"))</f>
        <v/>
      </c>
      <c r="E79" s="74" t="str">
        <f>IF(INDEX(Sheet1!$BA:$BA,INT((ROWS($A$10:$A79)+1)/2)+1)&lt;&gt;"","わな猟","")</f>
        <v/>
      </c>
      <c r="F79" s="77" t="str">
        <f>IF(E79="","",INDEX(Sheet1!$BC:$BC,INT((ROWS($A$10:$A79)+1)/2)+1)&amp;"")</f>
        <v/>
      </c>
      <c r="G79" s="76" t="str">
        <f>IF(E79="","",IF(INDEX(Sheet1!$BM:$BM,INT((ROWS($A$10:$A79)+1)/2)+1)="","",INDEX(Sheet1!$BM:$BM,INT((ROWS($A$10:$A79)+1)/2)+1)))</f>
        <v/>
      </c>
      <c r="H79" s="78"/>
      <c r="I79" s="73"/>
      <c r="J79" s="90"/>
    </row>
    <row r="80" spans="1:10" s="71" customFormat="1" ht="30" customHeight="1" x14ac:dyDescent="0.15">
      <c r="A80" s="74" t="str">
        <f>IF(AND(INDEX(Sheet1!$AM:$AM,INT((ROWS($A$10:$A80)+1)/2)+1)="",INDEX(Sheet1!$BA:$BA,INT((ROWS($A$10:$A80)+1)/2)+1)&lt;&gt;""),"",INDEX(Sheet1!$AC:$AC,INT((ROWS($A$10:$A80)+1)/2)+1)&amp;"")</f>
        <v/>
      </c>
      <c r="B80" s="74" t="str">
        <f>IF(AND(INDEX(Sheet1!$AM:$AM,INT((ROWS($A$10:$A80)+1)/2)+1)="",INDEX(Sheet1!$BA:$BA,INT((ROWS($A$10:$A80)+1)/2)+1)&lt;&gt;""),"",INDEX(Sheet1!$B:$B,INT((ROWS($A$10:$A80)+1)/2)+1)&amp;"")</f>
        <v/>
      </c>
      <c r="C80" s="74" t="str">
        <f>IF(AND(INDEX(Sheet1!$AM:$AM,INT((ROWS($A$10:$A80)+1)/2)+1)="",INDEX(Sheet1!$BA:$BA,INT((ROWS($A$10:$A80)+1)/2)+1)&lt;&gt;""),"",INDEX(Sheet1!$CN:$CN,INT((ROWS($A$10:$A80)+1)/2)+1)&amp;"")</f>
        <v/>
      </c>
      <c r="D80" s="76" t="str">
        <f>IF(OR(AND(INDEX(Sheet1!$AM:$AM,INT((ROWS($A$10:$A80)+1)/2)+1)="",INDEX(Sheet1!$BA:$BA,INT((ROWS($A$10:$A80)+1)/2)+1)&lt;&gt;""),INDEX(Sheet1!$N:$N,INT((ROWS($A$10:$A80)+1)/2)+1)=""),"",INDEX(Sheet1!$N:$N,INT((ROWS($A$10:$A80)+1)/2)+1))</f>
        <v/>
      </c>
      <c r="E80" s="74" t="str">
        <f>IF(INDEX(Sheet1!$AM:$AM,INT((ROWS($A$10:$A80)+1)/2)+1)&lt;&gt;"","第一種","")</f>
        <v/>
      </c>
      <c r="F80" s="77" t="str">
        <f>IF(E80="","",INDEX(Sheet1!$AO:$AO,INT((ROWS($A$10:$A80)+1)/2)+1)&amp;"")</f>
        <v/>
      </c>
      <c r="G80" s="76" t="str">
        <f>IF(OR(E80="",INDEX(Sheet1!$AY:$AY,INT((ROWS($A$10:$A80)+1)/2)+1)=""),"",INDEX(Sheet1!$AY:$AY,INT((ROWS($A$10:$A80)+1)/2)+1))</f>
        <v/>
      </c>
      <c r="H80" s="74" t="str">
        <f>IF(INDEX(Sheet1!$AD:$AD,INT((ROWS($A$10:$A80)+1)/2)+1)="","",INDEX(Sheet1!$AD:$AD,INT((ROWS($A$10:$A80)+1)/2)+1))</f>
        <v/>
      </c>
      <c r="I80" s="76" t="str">
        <f>IF(INDEX(Sheet1!$AK:$AK,INT((ROWS($A$10:$A80)+1)/2)+1)="","",INDEX(Sheet1!$AK:$AK,INT((ROWS($A$10:$A80)+1)/2)+1))</f>
        <v/>
      </c>
      <c r="J80" s="90"/>
    </row>
    <row r="81" spans="1:10" s="71" customFormat="1" ht="30" customHeight="1" x14ac:dyDescent="0.15">
      <c r="A81" s="74" t="str">
        <f>IF(E81="","",IF(E80="",INDEX(Sheet1!$AC:$AC,INT((ROWS($A$10:$A81)+1)/2)+1)&amp;"","〃"))</f>
        <v/>
      </c>
      <c r="B81" s="74" t="str">
        <f>IF(E81="","",IF(E80="",INDEX(Sheet1!$B:$B,INT((ROWS($A$10:$A81)+1)/2)+1)&amp;"","〃"))</f>
        <v/>
      </c>
      <c r="C81" s="74" t="str">
        <f>IF(E81="","",IF(E80="",INDEX(Sheet1!$CN:$CN,INT((ROWS($A$10:$A81)+1)/2)+1)&amp;"","〃"))</f>
        <v/>
      </c>
      <c r="D81" s="76" t="str">
        <f>IF(E81="","",IF(E80="",IF(INDEX(Sheet1!$N:$N,INT((ROWS($A$10:$A81)+1)/2)+1)="","",INDEX(Sheet1!$N:$N,INT((ROWS($A$10:$A81)+1)/2)+1)),"〃"))</f>
        <v/>
      </c>
      <c r="E81" s="74" t="str">
        <f>IF(INDEX(Sheet1!$BA:$BA,INT((ROWS($A$10:$A81)+1)/2)+1)&lt;&gt;"","わな猟","")</f>
        <v/>
      </c>
      <c r="F81" s="77" t="str">
        <f>IF(E81="","",INDEX(Sheet1!$BC:$BC,INT((ROWS($A$10:$A81)+1)/2)+1)&amp;"")</f>
        <v/>
      </c>
      <c r="G81" s="76" t="str">
        <f>IF(E81="","",IF(INDEX(Sheet1!$BM:$BM,INT((ROWS($A$10:$A81)+1)/2)+1)="","",INDEX(Sheet1!$BM:$BM,INT((ROWS($A$10:$A81)+1)/2)+1)))</f>
        <v/>
      </c>
      <c r="H81" s="78"/>
      <c r="I81" s="73"/>
      <c r="J81" s="90"/>
    </row>
    <row r="82" spans="1:10" ht="30" customHeight="1" x14ac:dyDescent="0.15">
      <c r="A82" s="74" t="str">
        <f>IF(AND(INDEX(Sheet1!$AM:$AM,INT((ROWS($A$10:$A82)+1)/2)+1)="",INDEX(Sheet1!$BA:$BA,INT((ROWS($A$10:$A82)+1)/2)+1)&lt;&gt;""),"",INDEX(Sheet1!$AC:$AC,INT((ROWS($A$10:$A82)+1)/2)+1)&amp;"")</f>
        <v/>
      </c>
      <c r="B82" s="74" t="str">
        <f>IF(AND(INDEX(Sheet1!$AM:$AM,INT((ROWS($A$10:$A82)+1)/2)+1)="",INDEX(Sheet1!$BA:$BA,INT((ROWS($A$10:$A82)+1)/2)+1)&lt;&gt;""),"",INDEX(Sheet1!$B:$B,INT((ROWS($A$10:$A82)+1)/2)+1)&amp;"")</f>
        <v/>
      </c>
      <c r="C82" s="74" t="str">
        <f>IF(AND(INDEX(Sheet1!$AM:$AM,INT((ROWS($A$10:$A82)+1)/2)+1)="",INDEX(Sheet1!$BA:$BA,INT((ROWS($A$10:$A82)+1)/2)+1)&lt;&gt;""),"",INDEX(Sheet1!$CN:$CN,INT((ROWS($A$10:$A82)+1)/2)+1)&amp;"")</f>
        <v/>
      </c>
      <c r="D82" s="76" t="str">
        <f>IF(OR(AND(INDEX(Sheet1!$AM:$AM,INT((ROWS($A$10:$A82)+1)/2)+1)="",INDEX(Sheet1!$BA:$BA,INT((ROWS($A$10:$A82)+1)/2)+1)&lt;&gt;""),INDEX(Sheet1!$N:$N,INT((ROWS($A$10:$A82)+1)/2)+1)=""),"",INDEX(Sheet1!$N:$N,INT((ROWS($A$10:$A82)+1)/2)+1))</f>
        <v/>
      </c>
      <c r="E82" s="74" t="str">
        <f>IF(INDEX(Sheet1!$AM:$AM,INT((ROWS($A$10:$A82)+1)/2)+1)&lt;&gt;"","第一種","")</f>
        <v/>
      </c>
      <c r="F82" s="77" t="str">
        <f>IF(E82="","",INDEX(Sheet1!$AO:$AO,INT((ROWS($A$10:$A82)+1)/2)+1)&amp;"")</f>
        <v/>
      </c>
      <c r="G82" s="76" t="str">
        <f>IF(OR(E82="",INDEX(Sheet1!$AY:$AY,INT((ROWS($A$10:$A82)+1)/2)+1)=""),"",INDEX(Sheet1!$AY:$AY,INT((ROWS($A$10:$A82)+1)/2)+1))</f>
        <v/>
      </c>
      <c r="H82" s="74" t="str">
        <f>IF(INDEX(Sheet1!$AD:$AD,INT((ROWS($A$10:$A82)+1)/2)+1)="","",INDEX(Sheet1!$AD:$AD,INT((ROWS($A$10:$A82)+1)/2)+1))</f>
        <v/>
      </c>
      <c r="I82" s="76" t="str">
        <f>IF(INDEX(Sheet1!$AK:$AK,INT((ROWS($A$10:$A82)+1)/2)+1)="","",INDEX(Sheet1!$AK:$AK,INT((ROWS($A$10:$A82)+1)/2)+1))</f>
        <v/>
      </c>
      <c r="J82" s="90"/>
    </row>
    <row r="83" spans="1:10" ht="30" customHeight="1" x14ac:dyDescent="0.15">
      <c r="A83" s="74" t="str">
        <f>IF(E83="","",IF(E82="",INDEX(Sheet1!$AC:$AC,INT((ROWS($A$10:$A83)+1)/2)+1)&amp;"","〃"))</f>
        <v/>
      </c>
      <c r="B83" s="74" t="str">
        <f>IF(E83="","",IF(E82="",INDEX(Sheet1!$B:$B,INT((ROWS($A$10:$A83)+1)/2)+1)&amp;"","〃"))</f>
        <v/>
      </c>
      <c r="C83" s="74" t="str">
        <f>IF(E83="","",IF(E82="",INDEX(Sheet1!$CN:$CN,INT((ROWS($A$10:$A83)+1)/2)+1)&amp;"","〃"))</f>
        <v/>
      </c>
      <c r="D83" s="76" t="str">
        <f>IF(E83="","",IF(E82="",IF(INDEX(Sheet1!$N:$N,INT((ROWS($A$10:$A83)+1)/2)+1)="","",INDEX(Sheet1!$N:$N,INT((ROWS($A$10:$A83)+1)/2)+1)),"〃"))</f>
        <v/>
      </c>
      <c r="E83" s="74" t="str">
        <f>IF(INDEX(Sheet1!$BA:$BA,INT((ROWS($A$10:$A83)+1)/2)+1)&lt;&gt;"","わな猟","")</f>
        <v/>
      </c>
      <c r="F83" s="77" t="str">
        <f>IF(E83="","",INDEX(Sheet1!$BC:$BC,INT((ROWS($A$10:$A83)+1)/2)+1)&amp;"")</f>
        <v/>
      </c>
      <c r="G83" s="76" t="str">
        <f>IF(E83="","",IF(INDEX(Sheet1!$BM:$BM,INT((ROWS($A$10:$A83)+1)/2)+1)="","",INDEX(Sheet1!$BM:$BM,INT((ROWS($A$10:$A83)+1)/2)+1)))</f>
        <v/>
      </c>
      <c r="H83" s="78"/>
      <c r="I83" s="73"/>
      <c r="J83" s="90"/>
    </row>
    <row r="84" spans="1:10" ht="30" customHeight="1" x14ac:dyDescent="0.15">
      <c r="A84" s="74" t="str">
        <f>IF(AND(INDEX(Sheet1!$AM:$AM,INT((ROWS($A$10:$A84)+1)/2)+1)="",INDEX(Sheet1!$BA:$BA,INT((ROWS($A$10:$A84)+1)/2)+1)&lt;&gt;""),"",INDEX(Sheet1!$AC:$AC,INT((ROWS($A$10:$A84)+1)/2)+1)&amp;"")</f>
        <v/>
      </c>
      <c r="B84" s="74" t="str">
        <f>IF(AND(INDEX(Sheet1!$AM:$AM,INT((ROWS($A$10:$A84)+1)/2)+1)="",INDEX(Sheet1!$BA:$BA,INT((ROWS($A$10:$A84)+1)/2)+1)&lt;&gt;""),"",INDEX(Sheet1!$B:$B,INT((ROWS($A$10:$A84)+1)/2)+1)&amp;"")</f>
        <v/>
      </c>
      <c r="C84" s="74" t="str">
        <f>IF(AND(INDEX(Sheet1!$AM:$AM,INT((ROWS($A$10:$A84)+1)/2)+1)="",INDEX(Sheet1!$BA:$BA,INT((ROWS($A$10:$A84)+1)/2)+1)&lt;&gt;""),"",INDEX(Sheet1!$CN:$CN,INT((ROWS($A$10:$A84)+1)/2)+1)&amp;"")</f>
        <v/>
      </c>
      <c r="D84" s="76" t="str">
        <f>IF(OR(AND(INDEX(Sheet1!$AM:$AM,INT((ROWS($A$10:$A84)+1)/2)+1)="",INDEX(Sheet1!$BA:$BA,INT((ROWS($A$10:$A84)+1)/2)+1)&lt;&gt;""),INDEX(Sheet1!$N:$N,INT((ROWS($A$10:$A84)+1)/2)+1)=""),"",INDEX(Sheet1!$N:$N,INT((ROWS($A$10:$A84)+1)/2)+1))</f>
        <v/>
      </c>
      <c r="E84" s="74" t="str">
        <f>IF(INDEX(Sheet1!$AM:$AM,INT((ROWS($A$10:$A84)+1)/2)+1)&lt;&gt;"","第一種","")</f>
        <v/>
      </c>
      <c r="F84" s="77" t="str">
        <f>IF(E84="","",INDEX(Sheet1!$AO:$AO,INT((ROWS($A$10:$A84)+1)/2)+1)&amp;"")</f>
        <v/>
      </c>
      <c r="G84" s="76" t="str">
        <f>IF(OR(E84="",INDEX(Sheet1!$AY:$AY,INT((ROWS($A$10:$A84)+1)/2)+1)=""),"",INDEX(Sheet1!$AY:$AY,INT((ROWS($A$10:$A84)+1)/2)+1))</f>
        <v/>
      </c>
      <c r="H84" s="74" t="str">
        <f>IF(INDEX(Sheet1!$AD:$AD,INT((ROWS($A$10:$A84)+1)/2)+1)="","",INDEX(Sheet1!$AD:$AD,INT((ROWS($A$10:$A84)+1)/2)+1))</f>
        <v/>
      </c>
      <c r="I84" s="76" t="str">
        <f>IF(INDEX(Sheet1!$AK:$AK,INT((ROWS($A$10:$A84)+1)/2)+1)="","",INDEX(Sheet1!$AK:$AK,INT((ROWS($A$10:$A84)+1)/2)+1))</f>
        <v/>
      </c>
      <c r="J84" s="90"/>
    </row>
    <row r="85" spans="1:10" ht="30" customHeight="1" x14ac:dyDescent="0.15">
      <c r="A85" s="74" t="str">
        <f>IF(E85="","",IF(E84="",INDEX(Sheet1!$AC:$AC,INT((ROWS($A$10:$A85)+1)/2)+1)&amp;"","〃"))</f>
        <v/>
      </c>
      <c r="B85" s="74" t="str">
        <f>IF(E85="","",IF(E84="",INDEX(Sheet1!$B:$B,INT((ROWS($A$10:$A85)+1)/2)+1)&amp;"","〃"))</f>
        <v/>
      </c>
      <c r="C85" s="74" t="str">
        <f>IF(E85="","",IF(E84="",INDEX(Sheet1!$CN:$CN,INT((ROWS($A$10:$A85)+1)/2)+1)&amp;"","〃"))</f>
        <v/>
      </c>
      <c r="D85" s="76" t="str">
        <f>IF(E85="","",IF(E84="",IF(INDEX(Sheet1!$N:$N,INT((ROWS($A$10:$A85)+1)/2)+1)="","",INDEX(Sheet1!$N:$N,INT((ROWS($A$10:$A85)+1)/2)+1)),"〃"))</f>
        <v/>
      </c>
      <c r="E85" s="74" t="str">
        <f>IF(INDEX(Sheet1!$BA:$BA,INT((ROWS($A$10:$A85)+1)/2)+1)&lt;&gt;"","わな猟","")</f>
        <v/>
      </c>
      <c r="F85" s="77" t="str">
        <f>IF(E85="","",INDEX(Sheet1!$BC:$BC,INT((ROWS($A$10:$A85)+1)/2)+1)&amp;"")</f>
        <v/>
      </c>
      <c r="G85" s="76" t="str">
        <f>IF(E85="","",IF(INDEX(Sheet1!$BM:$BM,INT((ROWS($A$10:$A85)+1)/2)+1)="","",INDEX(Sheet1!$BM:$BM,INT((ROWS($A$10:$A85)+1)/2)+1)))</f>
        <v/>
      </c>
      <c r="H85" s="78"/>
      <c r="I85" s="73"/>
      <c r="J85" s="90"/>
    </row>
    <row r="86" spans="1:10" s="71" customFormat="1" ht="30" customHeight="1" x14ac:dyDescent="0.15">
      <c r="A86" s="74" t="str">
        <f>IF(AND(INDEX(Sheet1!$AM:$AM,INT((ROWS($A$10:$A86)+1)/2)+1)="",INDEX(Sheet1!$BA:$BA,INT((ROWS($A$10:$A86)+1)/2)+1)&lt;&gt;""),"",INDEX(Sheet1!$AC:$AC,INT((ROWS($A$10:$A86)+1)/2)+1)&amp;"")</f>
        <v/>
      </c>
      <c r="B86" s="74" t="str">
        <f>IF(AND(INDEX(Sheet1!$AM:$AM,INT((ROWS($A$10:$A86)+1)/2)+1)="",INDEX(Sheet1!$BA:$BA,INT((ROWS($A$10:$A86)+1)/2)+1)&lt;&gt;""),"",INDEX(Sheet1!$B:$B,INT((ROWS($A$10:$A86)+1)/2)+1)&amp;"")</f>
        <v/>
      </c>
      <c r="C86" s="74" t="str">
        <f>IF(AND(INDEX(Sheet1!$AM:$AM,INT((ROWS($A$10:$A86)+1)/2)+1)="",INDEX(Sheet1!$BA:$BA,INT((ROWS($A$10:$A86)+1)/2)+1)&lt;&gt;""),"",INDEX(Sheet1!$CN:$CN,INT((ROWS($A$10:$A86)+1)/2)+1)&amp;"")</f>
        <v/>
      </c>
      <c r="D86" s="76" t="str">
        <f>IF(OR(AND(INDEX(Sheet1!$AM:$AM,INT((ROWS($A$10:$A86)+1)/2)+1)="",INDEX(Sheet1!$BA:$BA,INT((ROWS($A$10:$A86)+1)/2)+1)&lt;&gt;""),INDEX(Sheet1!$N:$N,INT((ROWS($A$10:$A86)+1)/2)+1)=""),"",INDEX(Sheet1!$N:$N,INT((ROWS($A$10:$A86)+1)/2)+1))</f>
        <v/>
      </c>
      <c r="E86" s="74" t="str">
        <f>IF(INDEX(Sheet1!$AM:$AM,INT((ROWS($A$10:$A86)+1)/2)+1)&lt;&gt;"","第一種","")</f>
        <v/>
      </c>
      <c r="F86" s="77" t="str">
        <f>IF(E86="","",INDEX(Sheet1!$AO:$AO,INT((ROWS($A$10:$A86)+1)/2)+1)&amp;"")</f>
        <v/>
      </c>
      <c r="G86" s="76" t="str">
        <f>IF(OR(E86="",INDEX(Sheet1!$AY:$AY,INT((ROWS($A$10:$A86)+1)/2)+1)=""),"",INDEX(Sheet1!$AY:$AY,INT((ROWS($A$10:$A86)+1)/2)+1))</f>
        <v/>
      </c>
      <c r="H86" s="74" t="str">
        <f>IF(INDEX(Sheet1!$AD:$AD,INT((ROWS($A$10:$A86)+1)/2)+1)="","",INDEX(Sheet1!$AD:$AD,INT((ROWS($A$10:$A86)+1)/2)+1))</f>
        <v/>
      </c>
      <c r="I86" s="76" t="str">
        <f>IF(INDEX(Sheet1!$AK:$AK,INT((ROWS($A$10:$A86)+1)/2)+1)="","",INDEX(Sheet1!$AK:$AK,INT((ROWS($A$10:$A86)+1)/2)+1))</f>
        <v/>
      </c>
      <c r="J86" s="90"/>
    </row>
    <row r="87" spans="1:10" s="71" customFormat="1" ht="30" customHeight="1" x14ac:dyDescent="0.15">
      <c r="A87" s="74" t="str">
        <f>IF(E87="","",IF(E86="",INDEX(Sheet1!$AC:$AC,INT((ROWS($A$10:$A87)+1)/2)+1)&amp;"","〃"))</f>
        <v/>
      </c>
      <c r="B87" s="74" t="str">
        <f>IF(E87="","",IF(E86="",INDEX(Sheet1!$B:$B,INT((ROWS($A$10:$A87)+1)/2)+1)&amp;"","〃"))</f>
        <v/>
      </c>
      <c r="C87" s="74" t="str">
        <f>IF(E87="","",IF(E86="",INDEX(Sheet1!$CN:$CN,INT((ROWS($A$10:$A87)+1)/2)+1)&amp;"","〃"))</f>
        <v/>
      </c>
      <c r="D87" s="76" t="str">
        <f>IF(E87="","",IF(E86="",IF(INDEX(Sheet1!$N:$N,INT((ROWS($A$10:$A87)+1)/2)+1)="","",INDEX(Sheet1!$N:$N,INT((ROWS($A$10:$A87)+1)/2)+1)),"〃"))</f>
        <v/>
      </c>
      <c r="E87" s="74" t="str">
        <f>IF(INDEX(Sheet1!$BA:$BA,INT((ROWS($A$10:$A87)+1)/2)+1)&lt;&gt;"","わな猟","")</f>
        <v/>
      </c>
      <c r="F87" s="77" t="str">
        <f>IF(E87="","",INDEX(Sheet1!$BC:$BC,INT((ROWS($A$10:$A87)+1)/2)+1)&amp;"")</f>
        <v/>
      </c>
      <c r="G87" s="76" t="str">
        <f>IF(E87="","",IF(INDEX(Sheet1!$BM:$BM,INT((ROWS($A$10:$A87)+1)/2)+1)="","",INDEX(Sheet1!$BM:$BM,INT((ROWS($A$10:$A87)+1)/2)+1)))</f>
        <v/>
      </c>
      <c r="H87" s="78"/>
      <c r="I87" s="73"/>
      <c r="J87" s="90"/>
    </row>
    <row r="88" spans="1:10" s="71" customFormat="1" ht="30" customHeight="1" x14ac:dyDescent="0.15">
      <c r="A88" s="74" t="str">
        <f>IF(AND(INDEX(Sheet1!$AM:$AM,INT((ROWS($A$10:$A88)+1)/2)+1)="",INDEX(Sheet1!$BA:$BA,INT((ROWS($A$10:$A88)+1)/2)+1)&lt;&gt;""),"",INDEX(Sheet1!$AC:$AC,INT((ROWS($A$10:$A88)+1)/2)+1)&amp;"")</f>
        <v/>
      </c>
      <c r="B88" s="74" t="str">
        <f>IF(AND(INDEX(Sheet1!$AM:$AM,INT((ROWS($A$10:$A88)+1)/2)+1)="",INDEX(Sheet1!$BA:$BA,INT((ROWS($A$10:$A88)+1)/2)+1)&lt;&gt;""),"",INDEX(Sheet1!$B:$B,INT((ROWS($A$10:$A88)+1)/2)+1)&amp;"")</f>
        <v/>
      </c>
      <c r="C88" s="74" t="str">
        <f>IF(AND(INDEX(Sheet1!$AM:$AM,INT((ROWS($A$10:$A88)+1)/2)+1)="",INDEX(Sheet1!$BA:$BA,INT((ROWS($A$10:$A88)+1)/2)+1)&lt;&gt;""),"",INDEX(Sheet1!$CN:$CN,INT((ROWS($A$10:$A88)+1)/2)+1)&amp;"")</f>
        <v/>
      </c>
      <c r="D88" s="76" t="str">
        <f>IF(OR(AND(INDEX(Sheet1!$AM:$AM,INT((ROWS($A$10:$A88)+1)/2)+1)="",INDEX(Sheet1!$BA:$BA,INT((ROWS($A$10:$A88)+1)/2)+1)&lt;&gt;""),INDEX(Sheet1!$N:$N,INT((ROWS($A$10:$A88)+1)/2)+1)=""),"",INDEX(Sheet1!$N:$N,INT((ROWS($A$10:$A88)+1)/2)+1))</f>
        <v/>
      </c>
      <c r="E88" s="74" t="str">
        <f>IF(INDEX(Sheet1!$AM:$AM,INT((ROWS($A$10:$A88)+1)/2)+1)&lt;&gt;"","第一種","")</f>
        <v/>
      </c>
      <c r="F88" s="77" t="str">
        <f>IF(E88="","",INDEX(Sheet1!$AO:$AO,INT((ROWS($A$10:$A88)+1)/2)+1)&amp;"")</f>
        <v/>
      </c>
      <c r="G88" s="76" t="str">
        <f>IF(OR(E88="",INDEX(Sheet1!$AY:$AY,INT((ROWS($A$10:$A88)+1)/2)+1)=""),"",INDEX(Sheet1!$AY:$AY,INT((ROWS($A$10:$A88)+1)/2)+1))</f>
        <v/>
      </c>
      <c r="H88" s="74" t="str">
        <f>IF(INDEX(Sheet1!$AD:$AD,INT((ROWS($A$10:$A88)+1)/2)+1)="","",INDEX(Sheet1!$AD:$AD,INT((ROWS($A$10:$A88)+1)/2)+1))</f>
        <v/>
      </c>
      <c r="I88" s="76" t="str">
        <f>IF(INDEX(Sheet1!$AK:$AK,INT((ROWS($A$10:$A88)+1)/2)+1)="","",INDEX(Sheet1!$AK:$AK,INT((ROWS($A$10:$A88)+1)/2)+1))</f>
        <v/>
      </c>
      <c r="J88" s="90"/>
    </row>
    <row r="89" spans="1:10" ht="30" customHeight="1" x14ac:dyDescent="0.15">
      <c r="A89" s="74" t="str">
        <f>IF(E89="","",IF(E88="",INDEX(Sheet1!$AC:$AC,INT((ROWS($A$10:$A89)+1)/2)+1)&amp;"","〃"))</f>
        <v/>
      </c>
      <c r="B89" s="74" t="str">
        <f>IF(E89="","",IF(E88="",INDEX(Sheet1!$B:$B,INT((ROWS($A$10:$A89)+1)/2)+1)&amp;"","〃"))</f>
        <v/>
      </c>
      <c r="C89" s="74" t="str">
        <f>IF(E89="","",IF(E88="",INDEX(Sheet1!$CN:$CN,INT((ROWS($A$10:$A89)+1)/2)+1)&amp;"","〃"))</f>
        <v/>
      </c>
      <c r="D89" s="76" t="str">
        <f>IF(E89="","",IF(E88="",IF(INDEX(Sheet1!$N:$N,INT((ROWS($A$10:$A89)+1)/2)+1)="","",INDEX(Sheet1!$N:$N,INT((ROWS($A$10:$A89)+1)/2)+1)),"〃"))</f>
        <v/>
      </c>
      <c r="E89" s="74" t="str">
        <f>IF(INDEX(Sheet1!$BA:$BA,INT((ROWS($A$10:$A89)+1)/2)+1)&lt;&gt;"","わな猟","")</f>
        <v/>
      </c>
      <c r="F89" s="77" t="str">
        <f>IF(E89="","",INDEX(Sheet1!$BC:$BC,INT((ROWS($A$10:$A89)+1)/2)+1)&amp;"")</f>
        <v/>
      </c>
      <c r="G89" s="76" t="str">
        <f>IF(E89="","",IF(INDEX(Sheet1!$BM:$BM,INT((ROWS($A$10:$A89)+1)/2)+1)="","",INDEX(Sheet1!$BM:$BM,INT((ROWS($A$10:$A89)+1)/2)+1)))</f>
        <v/>
      </c>
      <c r="H89" s="78"/>
      <c r="I89" s="73"/>
      <c r="J89" s="90"/>
    </row>
    <row r="90" spans="1:10" s="71" customFormat="1" ht="30" customHeight="1" x14ac:dyDescent="0.15">
      <c r="A90" s="74" t="str">
        <f>IF(AND(INDEX(Sheet1!$AM:$AM,INT((ROWS($A$10:$A90)+1)/2)+1)="",INDEX(Sheet1!$BA:$BA,INT((ROWS($A$10:$A90)+1)/2)+1)&lt;&gt;""),"",INDEX(Sheet1!$AC:$AC,INT((ROWS($A$10:$A90)+1)/2)+1)&amp;"")</f>
        <v/>
      </c>
      <c r="B90" s="74" t="str">
        <f>IF(AND(INDEX(Sheet1!$AM:$AM,INT((ROWS($A$10:$A90)+1)/2)+1)="",INDEX(Sheet1!$BA:$BA,INT((ROWS($A$10:$A90)+1)/2)+1)&lt;&gt;""),"",INDEX(Sheet1!$B:$B,INT((ROWS($A$10:$A90)+1)/2)+1)&amp;"")</f>
        <v/>
      </c>
      <c r="C90" s="74" t="str">
        <f>IF(AND(INDEX(Sheet1!$AM:$AM,INT((ROWS($A$10:$A90)+1)/2)+1)="",INDEX(Sheet1!$BA:$BA,INT((ROWS($A$10:$A90)+1)/2)+1)&lt;&gt;""),"",INDEX(Sheet1!$CN:$CN,INT((ROWS($A$10:$A90)+1)/2)+1)&amp;"")</f>
        <v/>
      </c>
      <c r="D90" s="76" t="str">
        <f>IF(OR(AND(INDEX(Sheet1!$AM:$AM,INT((ROWS($A$10:$A90)+1)/2)+1)="",INDEX(Sheet1!$BA:$BA,INT((ROWS($A$10:$A90)+1)/2)+1)&lt;&gt;""),INDEX(Sheet1!$N:$N,INT((ROWS($A$10:$A90)+1)/2)+1)=""),"",INDEX(Sheet1!$N:$N,INT((ROWS($A$10:$A90)+1)/2)+1))</f>
        <v/>
      </c>
      <c r="E90" s="74" t="str">
        <f>IF(INDEX(Sheet1!$AM:$AM,INT((ROWS($A$10:$A90)+1)/2)+1)&lt;&gt;"","第一種","")</f>
        <v/>
      </c>
      <c r="F90" s="77" t="str">
        <f>IF(E90="","",INDEX(Sheet1!$AO:$AO,INT((ROWS($A$10:$A90)+1)/2)+1)&amp;"")</f>
        <v/>
      </c>
      <c r="G90" s="76" t="str">
        <f>IF(OR(E90="",INDEX(Sheet1!$AY:$AY,INT((ROWS($A$10:$A90)+1)/2)+1)=""),"",INDEX(Sheet1!$AY:$AY,INT((ROWS($A$10:$A90)+1)/2)+1))</f>
        <v/>
      </c>
      <c r="H90" s="74" t="str">
        <f>IF(INDEX(Sheet1!$AD:$AD,INT((ROWS($A$10:$A90)+1)/2)+1)="","",INDEX(Sheet1!$AD:$AD,INT((ROWS($A$10:$A90)+1)/2)+1))</f>
        <v/>
      </c>
      <c r="I90" s="76" t="str">
        <f>IF(INDEX(Sheet1!$AK:$AK,INT((ROWS($A$10:$A90)+1)/2)+1)="","",INDEX(Sheet1!$AK:$AK,INT((ROWS($A$10:$A90)+1)/2)+1))</f>
        <v/>
      </c>
      <c r="J90" s="90"/>
    </row>
    <row r="91" spans="1:10" ht="30" customHeight="1" x14ac:dyDescent="0.15">
      <c r="A91" s="74" t="str">
        <f>IF(E91="","",IF(E90="",INDEX(Sheet1!$AC:$AC,INT((ROWS($A$10:$A91)+1)/2)+1)&amp;"","〃"))</f>
        <v/>
      </c>
      <c r="B91" s="74" t="str">
        <f>IF(E91="","",IF(E90="",INDEX(Sheet1!$B:$B,INT((ROWS($A$10:$A91)+1)/2)+1)&amp;"","〃"))</f>
        <v/>
      </c>
      <c r="C91" s="74" t="str">
        <f>IF(E91="","",IF(E90="",INDEX(Sheet1!$CN:$CN,INT((ROWS($A$10:$A91)+1)/2)+1)&amp;"","〃"))</f>
        <v/>
      </c>
      <c r="D91" s="76" t="str">
        <f>IF(E91="","",IF(E90="",IF(INDEX(Sheet1!$N:$N,INT((ROWS($A$10:$A91)+1)/2)+1)="","",INDEX(Sheet1!$N:$N,INT((ROWS($A$10:$A91)+1)/2)+1)),"〃"))</f>
        <v/>
      </c>
      <c r="E91" s="74" t="str">
        <f>IF(INDEX(Sheet1!$BA:$BA,INT((ROWS($A$10:$A91)+1)/2)+1)&lt;&gt;"","わな猟","")</f>
        <v/>
      </c>
      <c r="F91" s="77" t="str">
        <f>IF(E91="","",INDEX(Sheet1!$BC:$BC,INT((ROWS($A$10:$A91)+1)/2)+1)&amp;"")</f>
        <v/>
      </c>
      <c r="G91" s="76" t="str">
        <f>IF(E91="","",IF(INDEX(Sheet1!$BM:$BM,INT((ROWS($A$10:$A91)+1)/2)+1)="","",INDEX(Sheet1!$BM:$BM,INT((ROWS($A$10:$A91)+1)/2)+1)))</f>
        <v/>
      </c>
      <c r="H91" s="78"/>
      <c r="I91" s="73"/>
      <c r="J91" s="90"/>
    </row>
    <row r="92" spans="1:10" s="71" customFormat="1" ht="30" customHeight="1" x14ac:dyDescent="0.15">
      <c r="A92" s="74" t="str">
        <f>IF(AND(INDEX(Sheet1!$AM:$AM,INT((ROWS($A$10:$A92)+1)/2)+1)="",INDEX(Sheet1!$BA:$BA,INT((ROWS($A$10:$A92)+1)/2)+1)&lt;&gt;""),"",INDEX(Sheet1!$AC:$AC,INT((ROWS($A$10:$A92)+1)/2)+1)&amp;"")</f>
        <v/>
      </c>
      <c r="B92" s="74" t="str">
        <f>IF(AND(INDEX(Sheet1!$AM:$AM,INT((ROWS($A$10:$A92)+1)/2)+1)="",INDEX(Sheet1!$BA:$BA,INT((ROWS($A$10:$A92)+1)/2)+1)&lt;&gt;""),"",INDEX(Sheet1!$B:$B,INT((ROWS($A$10:$A92)+1)/2)+1)&amp;"")</f>
        <v/>
      </c>
      <c r="C92" s="74" t="str">
        <f>IF(AND(INDEX(Sheet1!$AM:$AM,INT((ROWS($A$10:$A92)+1)/2)+1)="",INDEX(Sheet1!$BA:$BA,INT((ROWS($A$10:$A92)+1)/2)+1)&lt;&gt;""),"",INDEX(Sheet1!$CN:$CN,INT((ROWS($A$10:$A92)+1)/2)+1)&amp;"")</f>
        <v/>
      </c>
      <c r="D92" s="76" t="str">
        <f>IF(OR(AND(INDEX(Sheet1!$AM:$AM,INT((ROWS($A$10:$A92)+1)/2)+1)="",INDEX(Sheet1!$BA:$BA,INT((ROWS($A$10:$A92)+1)/2)+1)&lt;&gt;""),INDEX(Sheet1!$N:$N,INT((ROWS($A$10:$A92)+1)/2)+1)=""),"",INDEX(Sheet1!$N:$N,INT((ROWS($A$10:$A92)+1)/2)+1))</f>
        <v/>
      </c>
      <c r="E92" s="74" t="str">
        <f>IF(INDEX(Sheet1!$AM:$AM,INT((ROWS($A$10:$A92)+1)/2)+1)&lt;&gt;"","第一種","")</f>
        <v/>
      </c>
      <c r="F92" s="77" t="str">
        <f>IF(E92="","",INDEX(Sheet1!$AO:$AO,INT((ROWS($A$10:$A92)+1)/2)+1)&amp;"")</f>
        <v/>
      </c>
      <c r="G92" s="76" t="str">
        <f>IF(OR(E92="",INDEX(Sheet1!$AY:$AY,INT((ROWS($A$10:$A92)+1)/2)+1)=""),"",INDEX(Sheet1!$AY:$AY,INT((ROWS($A$10:$A92)+1)/2)+1))</f>
        <v/>
      </c>
      <c r="H92" s="74" t="str">
        <f>IF(INDEX(Sheet1!$AD:$AD,INT((ROWS($A$10:$A92)+1)/2)+1)="","",INDEX(Sheet1!$AD:$AD,INT((ROWS($A$10:$A92)+1)/2)+1))</f>
        <v/>
      </c>
      <c r="I92" s="76" t="str">
        <f>IF(INDEX(Sheet1!$AK:$AK,INT((ROWS($A$10:$A92)+1)/2)+1)="","",INDEX(Sheet1!$AK:$AK,INT((ROWS($A$10:$A92)+1)/2)+1))</f>
        <v/>
      </c>
      <c r="J92" s="90"/>
    </row>
    <row r="93" spans="1:10" ht="30" customHeight="1" x14ac:dyDescent="0.15">
      <c r="A93" s="74" t="str">
        <f>IF(E93="","",IF(E92="",INDEX(Sheet1!$AC:$AC,INT((ROWS($A$10:$A93)+1)/2)+1)&amp;"","〃"))</f>
        <v/>
      </c>
      <c r="B93" s="74" t="str">
        <f>IF(E93="","",IF(E92="",INDEX(Sheet1!$B:$B,INT((ROWS($A$10:$A93)+1)/2)+1)&amp;"","〃"))</f>
        <v/>
      </c>
      <c r="C93" s="74" t="str">
        <f>IF(E93="","",IF(E92="",INDEX(Sheet1!$CN:$CN,INT((ROWS($A$10:$A93)+1)/2)+1)&amp;"","〃"))</f>
        <v/>
      </c>
      <c r="D93" s="76" t="str">
        <f>IF(E93="","",IF(E92="",IF(INDEX(Sheet1!$N:$N,INT((ROWS($A$10:$A93)+1)/2)+1)="","",INDEX(Sheet1!$N:$N,INT((ROWS($A$10:$A93)+1)/2)+1)),"〃"))</f>
        <v/>
      </c>
      <c r="E93" s="74" t="str">
        <f>IF(INDEX(Sheet1!$BA:$BA,INT((ROWS($A$10:$A93)+1)/2)+1)&lt;&gt;"","わな猟","")</f>
        <v/>
      </c>
      <c r="F93" s="77" t="str">
        <f>IF(E93="","",INDEX(Sheet1!$BC:$BC,INT((ROWS($A$10:$A93)+1)/2)+1)&amp;"")</f>
        <v/>
      </c>
      <c r="G93" s="76" t="str">
        <f>IF(E93="","",IF(INDEX(Sheet1!$BM:$BM,INT((ROWS($A$10:$A93)+1)/2)+1)="","",INDEX(Sheet1!$BM:$BM,INT((ROWS($A$10:$A93)+1)/2)+1)))</f>
        <v/>
      </c>
      <c r="H93" s="78"/>
      <c r="I93" s="73"/>
      <c r="J93" s="90"/>
    </row>
    <row r="94" spans="1:10" s="71" customFormat="1" ht="30" customHeight="1" x14ac:dyDescent="0.15">
      <c r="A94" s="74" t="str">
        <f>IF(AND(INDEX(Sheet1!$AM:$AM,INT((ROWS($A$10:$A94)+1)/2)+1)="",INDEX(Sheet1!$BA:$BA,INT((ROWS($A$10:$A94)+1)/2)+1)&lt;&gt;""),"",INDEX(Sheet1!$AC:$AC,INT((ROWS($A$10:$A94)+1)/2)+1)&amp;"")</f>
        <v/>
      </c>
      <c r="B94" s="74" t="str">
        <f>IF(AND(INDEX(Sheet1!$AM:$AM,INT((ROWS($A$10:$A94)+1)/2)+1)="",INDEX(Sheet1!$BA:$BA,INT((ROWS($A$10:$A94)+1)/2)+1)&lt;&gt;""),"",INDEX(Sheet1!$B:$B,INT((ROWS($A$10:$A94)+1)/2)+1)&amp;"")</f>
        <v/>
      </c>
      <c r="C94" s="74" t="str">
        <f>IF(AND(INDEX(Sheet1!$AM:$AM,INT((ROWS($A$10:$A94)+1)/2)+1)="",INDEX(Sheet1!$BA:$BA,INT((ROWS($A$10:$A94)+1)/2)+1)&lt;&gt;""),"",INDEX(Sheet1!$CN:$CN,INT((ROWS($A$10:$A94)+1)/2)+1)&amp;"")</f>
        <v/>
      </c>
      <c r="D94" s="76" t="str">
        <f>IF(OR(AND(INDEX(Sheet1!$AM:$AM,INT((ROWS($A$10:$A94)+1)/2)+1)="",INDEX(Sheet1!$BA:$BA,INT((ROWS($A$10:$A94)+1)/2)+1)&lt;&gt;""),INDEX(Sheet1!$N:$N,INT((ROWS($A$10:$A94)+1)/2)+1)=""),"",INDEX(Sheet1!$N:$N,INT((ROWS($A$10:$A94)+1)/2)+1))</f>
        <v/>
      </c>
      <c r="E94" s="74" t="str">
        <f>IF(INDEX(Sheet1!$AM:$AM,INT((ROWS($A$10:$A94)+1)/2)+1)&lt;&gt;"","第一種","")</f>
        <v/>
      </c>
      <c r="F94" s="77" t="str">
        <f>IF(E94="","",INDEX(Sheet1!$AO:$AO,INT((ROWS($A$10:$A94)+1)/2)+1)&amp;"")</f>
        <v/>
      </c>
      <c r="G94" s="76" t="str">
        <f>IF(OR(E94="",INDEX(Sheet1!$AY:$AY,INT((ROWS($A$10:$A94)+1)/2)+1)=""),"",INDEX(Sheet1!$AY:$AY,INT((ROWS($A$10:$A94)+1)/2)+1))</f>
        <v/>
      </c>
      <c r="H94" s="74" t="str">
        <f>IF(INDEX(Sheet1!$AD:$AD,INT((ROWS($A$10:$A94)+1)/2)+1)="","",INDEX(Sheet1!$AD:$AD,INT((ROWS($A$10:$A94)+1)/2)+1))</f>
        <v/>
      </c>
      <c r="I94" s="76" t="str">
        <f>IF(INDEX(Sheet1!$AK:$AK,INT((ROWS($A$10:$A94)+1)/2)+1)="","",INDEX(Sheet1!$AK:$AK,INT((ROWS($A$10:$A94)+1)/2)+1))</f>
        <v/>
      </c>
      <c r="J94" s="90"/>
    </row>
    <row r="95" spans="1:10" ht="30" customHeight="1" x14ac:dyDescent="0.15">
      <c r="A95" s="74" t="str">
        <f>IF(E95="","",IF(E94="",INDEX(Sheet1!$AC:$AC,INT((ROWS($A$10:$A95)+1)/2)+1)&amp;"","〃"))</f>
        <v/>
      </c>
      <c r="B95" s="74" t="str">
        <f>IF(E95="","",IF(E94="",INDEX(Sheet1!$B:$B,INT((ROWS($A$10:$A95)+1)/2)+1)&amp;"","〃"))</f>
        <v/>
      </c>
      <c r="C95" s="74" t="str">
        <f>IF(E95="","",IF(E94="",INDEX(Sheet1!$CN:$CN,INT((ROWS($A$10:$A95)+1)/2)+1)&amp;"","〃"))</f>
        <v/>
      </c>
      <c r="D95" s="76" t="str">
        <f>IF(E95="","",IF(E94="",IF(INDEX(Sheet1!$N:$N,INT((ROWS($A$10:$A95)+1)/2)+1)="","",INDEX(Sheet1!$N:$N,INT((ROWS($A$10:$A95)+1)/2)+1)),"〃"))</f>
        <v/>
      </c>
      <c r="E95" s="74" t="str">
        <f>IF(INDEX(Sheet1!$BA:$BA,INT((ROWS($A$10:$A95)+1)/2)+1)&lt;&gt;"","わな猟","")</f>
        <v/>
      </c>
      <c r="F95" s="77" t="str">
        <f>IF(E95="","",INDEX(Sheet1!$BC:$BC,INT((ROWS($A$10:$A95)+1)/2)+1)&amp;"")</f>
        <v/>
      </c>
      <c r="G95" s="76" t="str">
        <f>IF(E95="","",IF(INDEX(Sheet1!$BM:$BM,INT((ROWS($A$10:$A95)+1)/2)+1)="","",INDEX(Sheet1!$BM:$BM,INT((ROWS($A$10:$A95)+1)/2)+1)))</f>
        <v/>
      </c>
      <c r="H95" s="78"/>
      <c r="I95" s="73"/>
      <c r="J95" s="90"/>
    </row>
    <row r="96" spans="1:10" s="71" customFormat="1" ht="30" customHeight="1" x14ac:dyDescent="0.15">
      <c r="A96" s="74" t="str">
        <f>IF(AND(INDEX(Sheet1!$AM:$AM,INT((ROWS($A$10:$A96)+1)/2)+1)="",INDEX(Sheet1!$BA:$BA,INT((ROWS($A$10:$A96)+1)/2)+1)&lt;&gt;""),"",INDEX(Sheet1!$AC:$AC,INT((ROWS($A$10:$A96)+1)/2)+1)&amp;"")</f>
        <v/>
      </c>
      <c r="B96" s="74" t="str">
        <f>IF(AND(INDEX(Sheet1!$AM:$AM,INT((ROWS($A$10:$A96)+1)/2)+1)="",INDEX(Sheet1!$BA:$BA,INT((ROWS($A$10:$A96)+1)/2)+1)&lt;&gt;""),"",INDEX(Sheet1!$B:$B,INT((ROWS($A$10:$A96)+1)/2)+1)&amp;"")</f>
        <v/>
      </c>
      <c r="C96" s="74" t="str">
        <f>IF(AND(INDEX(Sheet1!$AM:$AM,INT((ROWS($A$10:$A96)+1)/2)+1)="",INDEX(Sheet1!$BA:$BA,INT((ROWS($A$10:$A96)+1)/2)+1)&lt;&gt;""),"",INDEX(Sheet1!$CN:$CN,INT((ROWS($A$10:$A96)+1)/2)+1)&amp;"")</f>
        <v/>
      </c>
      <c r="D96" s="76" t="str">
        <f>IF(OR(AND(INDEX(Sheet1!$AM:$AM,INT((ROWS($A$10:$A96)+1)/2)+1)="",INDEX(Sheet1!$BA:$BA,INT((ROWS($A$10:$A96)+1)/2)+1)&lt;&gt;""),INDEX(Sheet1!$N:$N,INT((ROWS($A$10:$A96)+1)/2)+1)=""),"",INDEX(Sheet1!$N:$N,INT((ROWS($A$10:$A96)+1)/2)+1))</f>
        <v/>
      </c>
      <c r="E96" s="74" t="str">
        <f>IF(INDEX(Sheet1!$AM:$AM,INT((ROWS($A$10:$A96)+1)/2)+1)&lt;&gt;"","第一種","")</f>
        <v/>
      </c>
      <c r="F96" s="77" t="str">
        <f>IF(E96="","",INDEX(Sheet1!$AO:$AO,INT((ROWS($A$10:$A96)+1)/2)+1)&amp;"")</f>
        <v/>
      </c>
      <c r="G96" s="76" t="str">
        <f>IF(OR(E96="",INDEX(Sheet1!$AY:$AY,INT((ROWS($A$10:$A96)+1)/2)+1)=""),"",INDEX(Sheet1!$AY:$AY,INT((ROWS($A$10:$A96)+1)/2)+1))</f>
        <v/>
      </c>
      <c r="H96" s="74" t="str">
        <f>IF(INDEX(Sheet1!$AD:$AD,INT((ROWS($A$10:$A96)+1)/2)+1)="","",INDEX(Sheet1!$AD:$AD,INT((ROWS($A$10:$A96)+1)/2)+1))</f>
        <v/>
      </c>
      <c r="I96" s="76" t="str">
        <f>IF(INDEX(Sheet1!$AK:$AK,INT((ROWS($A$10:$A96)+1)/2)+1)="","",INDEX(Sheet1!$AK:$AK,INT((ROWS($A$10:$A96)+1)/2)+1))</f>
        <v/>
      </c>
      <c r="J96" s="90"/>
    </row>
    <row r="97" spans="1:10" ht="30" customHeight="1" x14ac:dyDescent="0.15">
      <c r="A97" s="74" t="str">
        <f>IF(E97="","",IF(E96="",INDEX(Sheet1!$AC:$AC,INT((ROWS($A$10:$A97)+1)/2)+1)&amp;"","〃"))</f>
        <v/>
      </c>
      <c r="B97" s="74" t="str">
        <f>IF(E97="","",IF(E96="",INDEX(Sheet1!$B:$B,INT((ROWS($A$10:$A97)+1)/2)+1)&amp;"","〃"))</f>
        <v/>
      </c>
      <c r="C97" s="74" t="str">
        <f>IF(E97="","",IF(E96="",INDEX(Sheet1!$CN:$CN,INT((ROWS($A$10:$A97)+1)/2)+1)&amp;"","〃"))</f>
        <v/>
      </c>
      <c r="D97" s="76" t="str">
        <f>IF(E97="","",IF(E96="",IF(INDEX(Sheet1!$N:$N,INT((ROWS($A$10:$A97)+1)/2)+1)="","",INDEX(Sheet1!$N:$N,INT((ROWS($A$10:$A97)+1)/2)+1)),"〃"))</f>
        <v/>
      </c>
      <c r="E97" s="74" t="str">
        <f>IF(INDEX(Sheet1!$BA:$BA,INT((ROWS($A$10:$A97)+1)/2)+1)&lt;&gt;"","わな猟","")</f>
        <v/>
      </c>
      <c r="F97" s="77" t="str">
        <f>IF(E97="","",INDEX(Sheet1!$BC:$BC,INT((ROWS($A$10:$A97)+1)/2)+1)&amp;"")</f>
        <v/>
      </c>
      <c r="G97" s="76" t="str">
        <f>IF(E97="","",IF(INDEX(Sheet1!$BM:$BM,INT((ROWS($A$10:$A97)+1)/2)+1)="","",INDEX(Sheet1!$BM:$BM,INT((ROWS($A$10:$A97)+1)/2)+1)))</f>
        <v/>
      </c>
      <c r="H97" s="78"/>
      <c r="I97" s="73"/>
      <c r="J97" s="90"/>
    </row>
    <row r="98" spans="1:10" s="71" customFormat="1" ht="30" customHeight="1" x14ac:dyDescent="0.15">
      <c r="A98" s="74" t="str">
        <f>IF(AND(INDEX(Sheet1!$AM:$AM,INT((ROWS($A$10:$A98)+1)/2)+1)="",INDEX(Sheet1!$BA:$BA,INT((ROWS($A$10:$A98)+1)/2)+1)&lt;&gt;""),"",INDEX(Sheet1!$AC:$AC,INT((ROWS($A$10:$A98)+1)/2)+1)&amp;"")</f>
        <v/>
      </c>
      <c r="B98" s="74" t="str">
        <f>IF(AND(INDEX(Sheet1!$AM:$AM,INT((ROWS($A$10:$A98)+1)/2)+1)="",INDEX(Sheet1!$BA:$BA,INT((ROWS($A$10:$A98)+1)/2)+1)&lt;&gt;""),"",INDEX(Sheet1!$B:$B,INT((ROWS($A$10:$A98)+1)/2)+1)&amp;"")</f>
        <v/>
      </c>
      <c r="C98" s="74" t="str">
        <f>IF(AND(INDEX(Sheet1!$AM:$AM,INT((ROWS($A$10:$A98)+1)/2)+1)="",INDEX(Sheet1!$BA:$BA,INT((ROWS($A$10:$A98)+1)/2)+1)&lt;&gt;""),"",INDEX(Sheet1!$CN:$CN,INT((ROWS($A$10:$A98)+1)/2)+1)&amp;"")</f>
        <v/>
      </c>
      <c r="D98" s="76" t="str">
        <f>IF(OR(AND(INDEX(Sheet1!$AM:$AM,INT((ROWS($A$10:$A98)+1)/2)+1)="",INDEX(Sheet1!$BA:$BA,INT((ROWS($A$10:$A98)+1)/2)+1)&lt;&gt;""),INDEX(Sheet1!$N:$N,INT((ROWS($A$10:$A98)+1)/2)+1)=""),"",INDEX(Sheet1!$N:$N,INT((ROWS($A$10:$A98)+1)/2)+1))</f>
        <v/>
      </c>
      <c r="E98" s="74" t="str">
        <f>IF(INDEX(Sheet1!$AM:$AM,INT((ROWS($A$10:$A98)+1)/2)+1)&lt;&gt;"","第一種","")</f>
        <v/>
      </c>
      <c r="F98" s="77" t="str">
        <f>IF(E98="","",INDEX(Sheet1!$AO:$AO,INT((ROWS($A$10:$A98)+1)/2)+1)&amp;"")</f>
        <v/>
      </c>
      <c r="G98" s="76" t="str">
        <f>IF(OR(E98="",INDEX(Sheet1!$AY:$AY,INT((ROWS($A$10:$A98)+1)/2)+1)=""),"",INDEX(Sheet1!$AY:$AY,INT((ROWS($A$10:$A98)+1)/2)+1))</f>
        <v/>
      </c>
      <c r="H98" s="74" t="str">
        <f>IF(INDEX(Sheet1!$AD:$AD,INT((ROWS($A$10:$A98)+1)/2)+1)="","",INDEX(Sheet1!$AD:$AD,INT((ROWS($A$10:$A98)+1)/2)+1))</f>
        <v/>
      </c>
      <c r="I98" s="76" t="str">
        <f>IF(INDEX(Sheet1!$AK:$AK,INT((ROWS($A$10:$A98)+1)/2)+1)="","",INDEX(Sheet1!$AK:$AK,INT((ROWS($A$10:$A98)+1)/2)+1))</f>
        <v/>
      </c>
      <c r="J98" s="90"/>
    </row>
    <row r="99" spans="1:10" ht="30" customHeight="1" x14ac:dyDescent="0.15">
      <c r="A99" s="74" t="str">
        <f>IF(E99="","",IF(E98="",INDEX(Sheet1!$AC:$AC,INT((ROWS($A$10:$A99)+1)/2)+1)&amp;"","〃"))</f>
        <v/>
      </c>
      <c r="B99" s="74" t="str">
        <f>IF(E99="","",IF(E98="",INDEX(Sheet1!$B:$B,INT((ROWS($A$10:$A99)+1)/2)+1)&amp;"","〃"))</f>
        <v/>
      </c>
      <c r="C99" s="74" t="str">
        <f>IF(E99="","",IF(E98="",INDEX(Sheet1!$CN:$CN,INT((ROWS($A$10:$A99)+1)/2)+1)&amp;"","〃"))</f>
        <v/>
      </c>
      <c r="D99" s="76" t="str">
        <f>IF(E99="","",IF(E98="",IF(INDEX(Sheet1!$N:$N,INT((ROWS($A$10:$A99)+1)/2)+1)="","",INDEX(Sheet1!$N:$N,INT((ROWS($A$10:$A99)+1)/2)+1)),"〃"))</f>
        <v/>
      </c>
      <c r="E99" s="74" t="str">
        <f>IF(INDEX(Sheet1!$BA:$BA,INT((ROWS($A$10:$A99)+1)/2)+1)&lt;&gt;"","わな猟","")</f>
        <v/>
      </c>
      <c r="F99" s="77" t="str">
        <f>IF(E99="","",INDEX(Sheet1!$BC:$BC,INT((ROWS($A$10:$A99)+1)/2)+1)&amp;"")</f>
        <v/>
      </c>
      <c r="G99" s="76" t="str">
        <f>IF(E99="","",IF(INDEX(Sheet1!$BM:$BM,INT((ROWS($A$10:$A99)+1)/2)+1)="","",INDEX(Sheet1!$BM:$BM,INT((ROWS($A$10:$A99)+1)/2)+1)))</f>
        <v/>
      </c>
      <c r="H99" s="78"/>
      <c r="I99" s="73"/>
      <c r="J99" s="90"/>
    </row>
    <row r="100" spans="1:10" s="71" customFormat="1" ht="30" customHeight="1" x14ac:dyDescent="0.15">
      <c r="A100" s="74" t="str">
        <f>IF(AND(INDEX(Sheet1!$AM:$AM,INT((ROWS($A$10:$A100)+1)/2)+1)="",INDEX(Sheet1!$BA:$BA,INT((ROWS($A$10:$A100)+1)/2)+1)&lt;&gt;""),"",INDEX(Sheet1!$AC:$AC,INT((ROWS($A$10:$A100)+1)/2)+1)&amp;"")</f>
        <v/>
      </c>
      <c r="B100" s="74" t="str">
        <f>IF(AND(INDEX(Sheet1!$AM:$AM,INT((ROWS($A$10:$A100)+1)/2)+1)="",INDEX(Sheet1!$BA:$BA,INT((ROWS($A$10:$A100)+1)/2)+1)&lt;&gt;""),"",INDEX(Sheet1!$B:$B,INT((ROWS($A$10:$A100)+1)/2)+1)&amp;"")</f>
        <v/>
      </c>
      <c r="C100" s="74" t="str">
        <f>IF(AND(INDEX(Sheet1!$AM:$AM,INT((ROWS($A$10:$A100)+1)/2)+1)="",INDEX(Sheet1!$BA:$BA,INT((ROWS($A$10:$A100)+1)/2)+1)&lt;&gt;""),"",INDEX(Sheet1!$CN:$CN,INT((ROWS($A$10:$A100)+1)/2)+1)&amp;"")</f>
        <v/>
      </c>
      <c r="D100" s="76" t="str">
        <f>IF(OR(AND(INDEX(Sheet1!$AM:$AM,INT((ROWS($A$10:$A100)+1)/2)+1)="",INDEX(Sheet1!$BA:$BA,INT((ROWS($A$10:$A100)+1)/2)+1)&lt;&gt;""),INDEX(Sheet1!$N:$N,INT((ROWS($A$10:$A100)+1)/2)+1)=""),"",INDEX(Sheet1!$N:$N,INT((ROWS($A$10:$A100)+1)/2)+1))</f>
        <v/>
      </c>
      <c r="E100" s="74" t="str">
        <f>IF(INDEX(Sheet1!$AM:$AM,INT((ROWS($A$10:$A100)+1)/2)+1)&lt;&gt;"","第一種","")</f>
        <v/>
      </c>
      <c r="F100" s="77" t="str">
        <f>IF(E100="","",INDEX(Sheet1!$AO:$AO,INT((ROWS($A$10:$A100)+1)/2)+1)&amp;"")</f>
        <v/>
      </c>
      <c r="G100" s="76" t="str">
        <f>IF(OR(E100="",INDEX(Sheet1!$AY:$AY,INT((ROWS($A$10:$A100)+1)/2)+1)=""),"",INDEX(Sheet1!$AY:$AY,INT((ROWS($A$10:$A100)+1)/2)+1))</f>
        <v/>
      </c>
      <c r="H100" s="74" t="str">
        <f>IF(INDEX(Sheet1!$AD:$AD,INT((ROWS($A$10:$A100)+1)/2)+1)="","",INDEX(Sheet1!$AD:$AD,INT((ROWS($A$10:$A100)+1)/2)+1))</f>
        <v/>
      </c>
      <c r="I100" s="76" t="str">
        <f>IF(INDEX(Sheet1!$AK:$AK,INT((ROWS($A$10:$A100)+1)/2)+1)="","",INDEX(Sheet1!$AK:$AK,INT((ROWS($A$10:$A100)+1)/2)+1))</f>
        <v/>
      </c>
      <c r="J100" s="90"/>
    </row>
    <row r="101" spans="1:10" ht="30" customHeight="1" x14ac:dyDescent="0.15">
      <c r="A101" s="74" t="str">
        <f>IF(E101="","",IF(E100="",INDEX(Sheet1!$AC:$AC,INT((ROWS($A$10:$A101)+1)/2)+1)&amp;"","〃"))</f>
        <v/>
      </c>
      <c r="B101" s="74" t="str">
        <f>IF(E101="","",IF(E100="",INDEX(Sheet1!$B:$B,INT((ROWS($A$10:$A101)+1)/2)+1)&amp;"","〃"))</f>
        <v/>
      </c>
      <c r="C101" s="74" t="str">
        <f>IF(E101="","",IF(E100="",INDEX(Sheet1!$CN:$CN,INT((ROWS($A$10:$A101)+1)/2)+1)&amp;"","〃"))</f>
        <v/>
      </c>
      <c r="D101" s="76" t="str">
        <f>IF(E101="","",IF(E100="",IF(INDEX(Sheet1!$N:$N,INT((ROWS($A$10:$A101)+1)/2)+1)="","",INDEX(Sheet1!$N:$N,INT((ROWS($A$10:$A101)+1)/2)+1)),"〃"))</f>
        <v/>
      </c>
      <c r="E101" s="74" t="str">
        <f>IF(INDEX(Sheet1!$BA:$BA,INT((ROWS($A$10:$A101)+1)/2)+1)&lt;&gt;"","わな猟","")</f>
        <v/>
      </c>
      <c r="F101" s="77" t="str">
        <f>IF(E101="","",INDEX(Sheet1!$BC:$BC,INT((ROWS($A$10:$A101)+1)/2)+1)&amp;"")</f>
        <v/>
      </c>
      <c r="G101" s="76" t="str">
        <f>IF(E101="","",IF(INDEX(Sheet1!$BM:$BM,INT((ROWS($A$10:$A101)+1)/2)+1)="","",INDEX(Sheet1!$BM:$BM,INT((ROWS($A$10:$A101)+1)/2)+1)))</f>
        <v/>
      </c>
      <c r="H101" s="78"/>
      <c r="I101" s="73"/>
      <c r="J101" s="90"/>
    </row>
    <row r="102" spans="1:10" s="71" customFormat="1" ht="30" customHeight="1" x14ac:dyDescent="0.15">
      <c r="A102" s="74" t="str">
        <f>IF(AND(INDEX(Sheet1!$AM:$AM,INT((ROWS($A$10:$A102)+1)/2)+1)="",INDEX(Sheet1!$BA:$BA,INT((ROWS($A$10:$A102)+1)/2)+1)&lt;&gt;""),"",INDEX(Sheet1!$AC:$AC,INT((ROWS($A$10:$A102)+1)/2)+1)&amp;"")</f>
        <v/>
      </c>
      <c r="B102" s="74" t="str">
        <f>IF(AND(INDEX(Sheet1!$AM:$AM,INT((ROWS($A$10:$A102)+1)/2)+1)="",INDEX(Sheet1!$BA:$BA,INT((ROWS($A$10:$A102)+1)/2)+1)&lt;&gt;""),"",INDEX(Sheet1!$B:$B,INT((ROWS($A$10:$A102)+1)/2)+1)&amp;"")</f>
        <v/>
      </c>
      <c r="C102" s="74" t="str">
        <f>IF(AND(INDEX(Sheet1!$AM:$AM,INT((ROWS($A$10:$A102)+1)/2)+1)="",INDEX(Sheet1!$BA:$BA,INT((ROWS($A$10:$A102)+1)/2)+1)&lt;&gt;""),"",INDEX(Sheet1!$CN:$CN,INT((ROWS($A$10:$A102)+1)/2)+1)&amp;"")</f>
        <v/>
      </c>
      <c r="D102" s="76" t="str">
        <f>IF(OR(AND(INDEX(Sheet1!$AM:$AM,INT((ROWS($A$10:$A102)+1)/2)+1)="",INDEX(Sheet1!$BA:$BA,INT((ROWS($A$10:$A102)+1)/2)+1)&lt;&gt;""),INDEX(Sheet1!$N:$N,INT((ROWS($A$10:$A102)+1)/2)+1)=""),"",INDEX(Sheet1!$N:$N,INT((ROWS($A$10:$A102)+1)/2)+1))</f>
        <v/>
      </c>
      <c r="E102" s="74" t="str">
        <f>IF(INDEX(Sheet1!$AM:$AM,INT((ROWS($A$10:$A102)+1)/2)+1)&lt;&gt;"","第一種","")</f>
        <v/>
      </c>
      <c r="F102" s="77" t="str">
        <f>IF(E102="","",INDEX(Sheet1!$AO:$AO,INT((ROWS($A$10:$A102)+1)/2)+1)&amp;"")</f>
        <v/>
      </c>
      <c r="G102" s="76" t="str">
        <f>IF(OR(E102="",INDEX(Sheet1!$AY:$AY,INT((ROWS($A$10:$A102)+1)/2)+1)=""),"",INDEX(Sheet1!$AY:$AY,INT((ROWS($A$10:$A102)+1)/2)+1))</f>
        <v/>
      </c>
      <c r="H102" s="74" t="str">
        <f>IF(INDEX(Sheet1!$AD:$AD,INT((ROWS($A$10:$A102)+1)/2)+1)="","",INDEX(Sheet1!$AD:$AD,INT((ROWS($A$10:$A102)+1)/2)+1))</f>
        <v/>
      </c>
      <c r="I102" s="76" t="str">
        <f>IF(INDEX(Sheet1!$AK:$AK,INT((ROWS($A$10:$A102)+1)/2)+1)="","",INDEX(Sheet1!$AK:$AK,INT((ROWS($A$10:$A102)+1)/2)+1))</f>
        <v/>
      </c>
      <c r="J102" s="90"/>
    </row>
    <row r="103" spans="1:10" ht="30" customHeight="1" x14ac:dyDescent="0.15">
      <c r="A103" s="74" t="str">
        <f>IF(E103="","",IF(E102="",INDEX(Sheet1!$AC:$AC,INT((ROWS($A$10:$A103)+1)/2)+1)&amp;"","〃"))</f>
        <v/>
      </c>
      <c r="B103" s="74" t="str">
        <f>IF(E103="","",IF(E102="",INDEX(Sheet1!$B:$B,INT((ROWS($A$10:$A103)+1)/2)+1)&amp;"","〃"))</f>
        <v/>
      </c>
      <c r="C103" s="74" t="str">
        <f>IF(E103="","",IF(E102="",INDEX(Sheet1!$CN:$CN,INT((ROWS($A$10:$A103)+1)/2)+1)&amp;"","〃"))</f>
        <v/>
      </c>
      <c r="D103" s="76" t="str">
        <f>IF(E103="","",IF(E102="",IF(INDEX(Sheet1!$N:$N,INT((ROWS($A$10:$A103)+1)/2)+1)="","",INDEX(Sheet1!$N:$N,INT((ROWS($A$10:$A103)+1)/2)+1)),"〃"))</f>
        <v/>
      </c>
      <c r="E103" s="74" t="str">
        <f>IF(INDEX(Sheet1!$BA:$BA,INT((ROWS($A$10:$A103)+1)/2)+1)&lt;&gt;"","わな猟","")</f>
        <v/>
      </c>
      <c r="F103" s="77" t="str">
        <f>IF(E103="","",INDEX(Sheet1!$BC:$BC,INT((ROWS($A$10:$A103)+1)/2)+1)&amp;"")</f>
        <v/>
      </c>
      <c r="G103" s="76" t="str">
        <f>IF(E103="","",IF(INDEX(Sheet1!$BM:$BM,INT((ROWS($A$10:$A103)+1)/2)+1)="","",INDEX(Sheet1!$BM:$BM,INT((ROWS($A$10:$A103)+1)/2)+1)))</f>
        <v/>
      </c>
      <c r="H103" s="78"/>
      <c r="I103" s="73"/>
      <c r="J103" s="90"/>
    </row>
    <row r="104" spans="1:10" s="71" customFormat="1" ht="30" customHeight="1" x14ac:dyDescent="0.15">
      <c r="A104" s="74" t="str">
        <f>IF(AND(INDEX(Sheet1!$AM:$AM,INT((ROWS($A$10:$A104)+1)/2)+1)="",INDEX(Sheet1!$BA:$BA,INT((ROWS($A$10:$A104)+1)/2)+1)&lt;&gt;""),"",INDEX(Sheet1!$AC:$AC,INT((ROWS($A$10:$A104)+1)/2)+1)&amp;"")</f>
        <v/>
      </c>
      <c r="B104" s="74" t="str">
        <f>IF(AND(INDEX(Sheet1!$AM:$AM,INT((ROWS($A$10:$A104)+1)/2)+1)="",INDEX(Sheet1!$BA:$BA,INT((ROWS($A$10:$A104)+1)/2)+1)&lt;&gt;""),"",INDEX(Sheet1!$B:$B,INT((ROWS($A$10:$A104)+1)/2)+1)&amp;"")</f>
        <v/>
      </c>
      <c r="C104" s="74" t="str">
        <f>IF(AND(INDEX(Sheet1!$AM:$AM,INT((ROWS($A$10:$A104)+1)/2)+1)="",INDEX(Sheet1!$BA:$BA,INT((ROWS($A$10:$A104)+1)/2)+1)&lt;&gt;""),"",INDEX(Sheet1!$CN:$CN,INT((ROWS($A$10:$A104)+1)/2)+1)&amp;"")</f>
        <v/>
      </c>
      <c r="D104" s="76" t="str">
        <f>IF(OR(AND(INDEX(Sheet1!$AM:$AM,INT((ROWS($A$10:$A104)+1)/2)+1)="",INDEX(Sheet1!$BA:$BA,INT((ROWS($A$10:$A104)+1)/2)+1)&lt;&gt;""),INDEX(Sheet1!$N:$N,INT((ROWS($A$10:$A104)+1)/2)+1)=""),"",INDEX(Sheet1!$N:$N,INT((ROWS($A$10:$A104)+1)/2)+1))</f>
        <v/>
      </c>
      <c r="E104" s="74" t="str">
        <f>IF(INDEX(Sheet1!$AM:$AM,INT((ROWS($A$10:$A104)+1)/2)+1)&lt;&gt;"","第一種","")</f>
        <v/>
      </c>
      <c r="F104" s="77" t="str">
        <f>IF(E104="","",INDEX(Sheet1!$AO:$AO,INT((ROWS($A$10:$A104)+1)/2)+1)&amp;"")</f>
        <v/>
      </c>
      <c r="G104" s="76" t="str">
        <f>IF(OR(E104="",INDEX(Sheet1!$AY:$AY,INT((ROWS($A$10:$A104)+1)/2)+1)=""),"",INDEX(Sheet1!$AY:$AY,INT((ROWS($A$10:$A104)+1)/2)+1))</f>
        <v/>
      </c>
      <c r="H104" s="74" t="str">
        <f>IF(INDEX(Sheet1!$AD:$AD,INT((ROWS($A$10:$A104)+1)/2)+1)="","",INDEX(Sheet1!$AD:$AD,INT((ROWS($A$10:$A104)+1)/2)+1))</f>
        <v/>
      </c>
      <c r="I104" s="76" t="str">
        <f>IF(INDEX(Sheet1!$AK:$AK,INT((ROWS($A$10:$A104)+1)/2)+1)="","",INDEX(Sheet1!$AK:$AK,INT((ROWS($A$10:$A104)+1)/2)+1))</f>
        <v/>
      </c>
      <c r="J104" s="90"/>
    </row>
    <row r="105" spans="1:10" ht="30" customHeight="1" x14ac:dyDescent="0.15">
      <c r="A105" s="74" t="str">
        <f>IF(E105="","",IF(E104="",INDEX(Sheet1!$AC:$AC,INT((ROWS($A$10:$A105)+1)/2)+1)&amp;"","〃"))</f>
        <v/>
      </c>
      <c r="B105" s="74" t="str">
        <f>IF(E105="","",IF(E104="",INDEX(Sheet1!$B:$B,INT((ROWS($A$10:$A105)+1)/2)+1)&amp;"","〃"))</f>
        <v/>
      </c>
      <c r="C105" s="74" t="str">
        <f>IF(E105="","",IF(E104="",INDEX(Sheet1!$CN:$CN,INT((ROWS($A$10:$A105)+1)/2)+1)&amp;"","〃"))</f>
        <v/>
      </c>
      <c r="D105" s="76" t="str">
        <f>IF(E105="","",IF(E104="",IF(INDEX(Sheet1!$N:$N,INT((ROWS($A$10:$A105)+1)/2)+1)="","",INDEX(Sheet1!$N:$N,INT((ROWS($A$10:$A105)+1)/2)+1)),"〃"))</f>
        <v/>
      </c>
      <c r="E105" s="74" t="str">
        <f>IF(INDEX(Sheet1!$BA:$BA,INT((ROWS($A$10:$A105)+1)/2)+1)&lt;&gt;"","わな猟","")</f>
        <v/>
      </c>
      <c r="F105" s="77" t="str">
        <f>IF(E105="","",INDEX(Sheet1!$BC:$BC,INT((ROWS($A$10:$A105)+1)/2)+1)&amp;"")</f>
        <v/>
      </c>
      <c r="G105" s="76" t="str">
        <f>IF(E105="","",IF(INDEX(Sheet1!$BM:$BM,INT((ROWS($A$10:$A105)+1)/2)+1)="","",INDEX(Sheet1!$BM:$BM,INT((ROWS($A$10:$A105)+1)/2)+1)))</f>
        <v/>
      </c>
      <c r="H105" s="78"/>
      <c r="I105" s="73"/>
      <c r="J105" s="90"/>
    </row>
    <row r="106" spans="1:10" s="71" customFormat="1" ht="30" customHeight="1" x14ac:dyDescent="0.15">
      <c r="A106" s="74" t="str">
        <f>IF(AND(INDEX(Sheet1!$AM:$AM,INT((ROWS($A$10:$A106)+1)/2)+1)="",INDEX(Sheet1!$BA:$BA,INT((ROWS($A$10:$A106)+1)/2)+1)&lt;&gt;""),"",INDEX(Sheet1!$AC:$AC,INT((ROWS($A$10:$A106)+1)/2)+1)&amp;"")</f>
        <v/>
      </c>
      <c r="B106" s="74" t="str">
        <f>IF(AND(INDEX(Sheet1!$AM:$AM,INT((ROWS($A$10:$A106)+1)/2)+1)="",INDEX(Sheet1!$BA:$BA,INT((ROWS($A$10:$A106)+1)/2)+1)&lt;&gt;""),"",INDEX(Sheet1!$B:$B,INT((ROWS($A$10:$A106)+1)/2)+1)&amp;"")</f>
        <v/>
      </c>
      <c r="C106" s="74" t="str">
        <f>IF(AND(INDEX(Sheet1!$AM:$AM,INT((ROWS($A$10:$A106)+1)/2)+1)="",INDEX(Sheet1!$BA:$BA,INT((ROWS($A$10:$A106)+1)/2)+1)&lt;&gt;""),"",INDEX(Sheet1!$CN:$CN,INT((ROWS($A$10:$A106)+1)/2)+1)&amp;"")</f>
        <v/>
      </c>
      <c r="D106" s="76" t="str">
        <f>IF(OR(AND(INDEX(Sheet1!$AM:$AM,INT((ROWS($A$10:$A106)+1)/2)+1)="",INDEX(Sheet1!$BA:$BA,INT((ROWS($A$10:$A106)+1)/2)+1)&lt;&gt;""),INDEX(Sheet1!$N:$N,INT((ROWS($A$10:$A106)+1)/2)+1)=""),"",INDEX(Sheet1!$N:$N,INT((ROWS($A$10:$A106)+1)/2)+1))</f>
        <v/>
      </c>
      <c r="E106" s="74" t="str">
        <f>IF(INDEX(Sheet1!$AM:$AM,INT((ROWS($A$10:$A106)+1)/2)+1)&lt;&gt;"","第一種","")</f>
        <v/>
      </c>
      <c r="F106" s="77" t="str">
        <f>IF(E106="","",INDEX(Sheet1!$AO:$AO,INT((ROWS($A$10:$A106)+1)/2)+1)&amp;"")</f>
        <v/>
      </c>
      <c r="G106" s="76" t="str">
        <f>IF(OR(E106="",INDEX(Sheet1!$AY:$AY,INT((ROWS($A$10:$A106)+1)/2)+1)=""),"",INDEX(Sheet1!$AY:$AY,INT((ROWS($A$10:$A106)+1)/2)+1))</f>
        <v/>
      </c>
      <c r="H106" s="74" t="str">
        <f>IF(INDEX(Sheet1!$AD:$AD,INT((ROWS($A$10:$A106)+1)/2)+1)="","",INDEX(Sheet1!$AD:$AD,INT((ROWS($A$10:$A106)+1)/2)+1))</f>
        <v/>
      </c>
      <c r="I106" s="76" t="str">
        <f>IF(INDEX(Sheet1!$AK:$AK,INT((ROWS($A$10:$A106)+1)/2)+1)="","",INDEX(Sheet1!$AK:$AK,INT((ROWS($A$10:$A106)+1)/2)+1))</f>
        <v/>
      </c>
      <c r="J106" s="90"/>
    </row>
    <row r="107" spans="1:10" ht="30" customHeight="1" x14ac:dyDescent="0.15">
      <c r="A107" s="74" t="str">
        <f>IF(E107="","",IF(E106="",INDEX(Sheet1!$AC:$AC,INT((ROWS($A$10:$A107)+1)/2)+1)&amp;"","〃"))</f>
        <v/>
      </c>
      <c r="B107" s="74" t="str">
        <f>IF(E107="","",IF(E106="",INDEX(Sheet1!$B:$B,INT((ROWS($A$10:$A107)+1)/2)+1)&amp;"","〃"))</f>
        <v/>
      </c>
      <c r="C107" s="74" t="str">
        <f>IF(E107="","",IF(E106="",INDEX(Sheet1!$CN:$CN,INT((ROWS($A$10:$A107)+1)/2)+1)&amp;"","〃"))</f>
        <v/>
      </c>
      <c r="D107" s="76" t="str">
        <f>IF(E107="","",IF(E106="",IF(INDEX(Sheet1!$N:$N,INT((ROWS($A$10:$A107)+1)/2)+1)="","",INDEX(Sheet1!$N:$N,INT((ROWS($A$10:$A107)+1)/2)+1)),"〃"))</f>
        <v/>
      </c>
      <c r="E107" s="74" t="str">
        <f>IF(INDEX(Sheet1!$BA:$BA,INT((ROWS($A$10:$A107)+1)/2)+1)&lt;&gt;"","わな猟","")</f>
        <v/>
      </c>
      <c r="F107" s="77" t="str">
        <f>IF(E107="","",INDEX(Sheet1!$BC:$BC,INT((ROWS($A$10:$A107)+1)/2)+1)&amp;"")</f>
        <v/>
      </c>
      <c r="G107" s="76" t="str">
        <f>IF(E107="","",IF(INDEX(Sheet1!$BM:$BM,INT((ROWS($A$10:$A107)+1)/2)+1)="","",INDEX(Sheet1!$BM:$BM,INT((ROWS($A$10:$A107)+1)/2)+1)))</f>
        <v/>
      </c>
      <c r="H107" s="78"/>
      <c r="I107" s="73"/>
      <c r="J107" s="90"/>
    </row>
    <row r="108" spans="1:10" s="71" customFormat="1" ht="30" customHeight="1" x14ac:dyDescent="0.15">
      <c r="A108" s="74" t="str">
        <f>IF(AND(INDEX(Sheet1!$AM:$AM,INT((ROWS($A$10:$A108)+1)/2)+1)="",INDEX(Sheet1!$BA:$BA,INT((ROWS($A$10:$A108)+1)/2)+1)&lt;&gt;""),"",INDEX(Sheet1!$AC:$AC,INT((ROWS($A$10:$A108)+1)/2)+1)&amp;"")</f>
        <v/>
      </c>
      <c r="B108" s="74" t="str">
        <f>IF(AND(INDEX(Sheet1!$AM:$AM,INT((ROWS($A$10:$A108)+1)/2)+1)="",INDEX(Sheet1!$BA:$BA,INT((ROWS($A$10:$A108)+1)/2)+1)&lt;&gt;""),"",INDEX(Sheet1!$B:$B,INT((ROWS($A$10:$A108)+1)/2)+1)&amp;"")</f>
        <v/>
      </c>
      <c r="C108" s="74" t="str">
        <f>IF(AND(INDEX(Sheet1!$AM:$AM,INT((ROWS($A$10:$A108)+1)/2)+1)="",INDEX(Sheet1!$BA:$BA,INT((ROWS($A$10:$A108)+1)/2)+1)&lt;&gt;""),"",INDEX(Sheet1!$CN:$CN,INT((ROWS($A$10:$A108)+1)/2)+1)&amp;"")</f>
        <v/>
      </c>
      <c r="D108" s="76" t="str">
        <f>IF(OR(AND(INDEX(Sheet1!$AM:$AM,INT((ROWS($A$10:$A108)+1)/2)+1)="",INDEX(Sheet1!$BA:$BA,INT((ROWS($A$10:$A108)+1)/2)+1)&lt;&gt;""),INDEX(Sheet1!$N:$N,INT((ROWS($A$10:$A108)+1)/2)+1)=""),"",INDEX(Sheet1!$N:$N,INT((ROWS($A$10:$A108)+1)/2)+1))</f>
        <v/>
      </c>
      <c r="E108" s="74" t="str">
        <f>IF(INDEX(Sheet1!$AM:$AM,INT((ROWS($A$10:$A108)+1)/2)+1)&lt;&gt;"","第一種","")</f>
        <v/>
      </c>
      <c r="F108" s="77" t="str">
        <f>IF(E108="","",INDEX(Sheet1!$AO:$AO,INT((ROWS($A$10:$A108)+1)/2)+1)&amp;"")</f>
        <v/>
      </c>
      <c r="G108" s="76" t="str">
        <f>IF(OR(E108="",INDEX(Sheet1!$AY:$AY,INT((ROWS($A$10:$A108)+1)/2)+1)=""),"",INDEX(Sheet1!$AY:$AY,INT((ROWS($A$10:$A108)+1)/2)+1))</f>
        <v/>
      </c>
      <c r="H108" s="74" t="str">
        <f>IF(INDEX(Sheet1!$AD:$AD,INT((ROWS($A$10:$A108)+1)/2)+1)="","",INDEX(Sheet1!$AD:$AD,INT((ROWS($A$10:$A108)+1)/2)+1))</f>
        <v/>
      </c>
      <c r="I108" s="76" t="str">
        <f>IF(INDEX(Sheet1!$AK:$AK,INT((ROWS($A$10:$A108)+1)/2)+1)="","",INDEX(Sheet1!$AK:$AK,INT((ROWS($A$10:$A108)+1)/2)+1))</f>
        <v/>
      </c>
      <c r="J108" s="90"/>
    </row>
    <row r="109" spans="1:10" ht="30" customHeight="1" x14ac:dyDescent="0.15">
      <c r="A109" s="74" t="str">
        <f>IF(E109="","",IF(E108="",INDEX(Sheet1!$AC:$AC,INT((ROWS($A$10:$A109)+1)/2)+1)&amp;"","〃"))</f>
        <v/>
      </c>
      <c r="B109" s="74" t="str">
        <f>IF(E109="","",IF(E108="",INDEX(Sheet1!$B:$B,INT((ROWS($A$10:$A109)+1)/2)+1)&amp;"","〃"))</f>
        <v/>
      </c>
      <c r="C109" s="74" t="str">
        <f>IF(E109="","",IF(E108="",INDEX(Sheet1!$CN:$CN,INT((ROWS($A$10:$A109)+1)/2)+1)&amp;"","〃"))</f>
        <v/>
      </c>
      <c r="D109" s="76" t="str">
        <f>IF(E109="","",IF(E108="",IF(INDEX(Sheet1!$N:$N,INT((ROWS($A$10:$A109)+1)/2)+1)="","",INDEX(Sheet1!$N:$N,INT((ROWS($A$10:$A109)+1)/2)+1)),"〃"))</f>
        <v/>
      </c>
      <c r="E109" s="74" t="str">
        <f>IF(INDEX(Sheet1!$BA:$BA,INT((ROWS($A$10:$A109)+1)/2)+1)&lt;&gt;"","わな猟","")</f>
        <v/>
      </c>
      <c r="F109" s="77" t="str">
        <f>IF(E109="","",INDEX(Sheet1!$BC:$BC,INT((ROWS($A$10:$A109)+1)/2)+1)&amp;"")</f>
        <v/>
      </c>
      <c r="G109" s="76" t="str">
        <f>IF(E109="","",IF(INDEX(Sheet1!$BM:$BM,INT((ROWS($A$10:$A109)+1)/2)+1)="","",INDEX(Sheet1!$BM:$BM,INT((ROWS($A$10:$A109)+1)/2)+1)))</f>
        <v/>
      </c>
      <c r="H109" s="78"/>
      <c r="I109" s="73"/>
      <c r="J109" s="90"/>
    </row>
    <row r="110" spans="1:10" s="71" customFormat="1" ht="30" customHeight="1" x14ac:dyDescent="0.15">
      <c r="A110" s="74" t="str">
        <f>IF(AND(INDEX(Sheet1!$AM:$AM,INT((ROWS($A$10:$A110)+1)/2)+1)="",INDEX(Sheet1!$BA:$BA,INT((ROWS($A$10:$A110)+1)/2)+1)&lt;&gt;""),"",INDEX(Sheet1!$AC:$AC,INT((ROWS($A$10:$A110)+1)/2)+1)&amp;"")</f>
        <v/>
      </c>
      <c r="B110" s="74" t="str">
        <f>IF(AND(INDEX(Sheet1!$AM:$AM,INT((ROWS($A$10:$A110)+1)/2)+1)="",INDEX(Sheet1!$BA:$BA,INT((ROWS($A$10:$A110)+1)/2)+1)&lt;&gt;""),"",INDEX(Sheet1!$B:$B,INT((ROWS($A$10:$A110)+1)/2)+1)&amp;"")</f>
        <v/>
      </c>
      <c r="C110" s="74" t="str">
        <f>IF(AND(INDEX(Sheet1!$AM:$AM,INT((ROWS($A$10:$A110)+1)/2)+1)="",INDEX(Sheet1!$BA:$BA,INT((ROWS($A$10:$A110)+1)/2)+1)&lt;&gt;""),"",INDEX(Sheet1!$CN:$CN,INT((ROWS($A$10:$A110)+1)/2)+1)&amp;"")</f>
        <v/>
      </c>
      <c r="D110" s="76" t="str">
        <f>IF(OR(AND(INDEX(Sheet1!$AM:$AM,INT((ROWS($A$10:$A110)+1)/2)+1)="",INDEX(Sheet1!$BA:$BA,INT((ROWS($A$10:$A110)+1)/2)+1)&lt;&gt;""),INDEX(Sheet1!$N:$N,INT((ROWS($A$10:$A110)+1)/2)+1)=""),"",INDEX(Sheet1!$N:$N,INT((ROWS($A$10:$A110)+1)/2)+1))</f>
        <v/>
      </c>
      <c r="E110" s="74" t="str">
        <f>IF(INDEX(Sheet1!$AM:$AM,INT((ROWS($A$10:$A110)+1)/2)+1)&lt;&gt;"","第一種","")</f>
        <v/>
      </c>
      <c r="F110" s="77" t="str">
        <f>IF(E110="","",INDEX(Sheet1!$AO:$AO,INT((ROWS($A$10:$A110)+1)/2)+1)&amp;"")</f>
        <v/>
      </c>
      <c r="G110" s="76" t="str">
        <f>IF(OR(E110="",INDEX(Sheet1!$AY:$AY,INT((ROWS($A$10:$A110)+1)/2)+1)=""),"",INDEX(Sheet1!$AY:$AY,INT((ROWS($A$10:$A110)+1)/2)+1))</f>
        <v/>
      </c>
      <c r="H110" s="74" t="str">
        <f>IF(INDEX(Sheet1!$AD:$AD,INT((ROWS($A$10:$A110)+1)/2)+1)="","",INDEX(Sheet1!$AD:$AD,INT((ROWS($A$10:$A110)+1)/2)+1))</f>
        <v/>
      </c>
      <c r="I110" s="76" t="str">
        <f>IF(INDEX(Sheet1!$AK:$AK,INT((ROWS($A$10:$A110)+1)/2)+1)="","",INDEX(Sheet1!$AK:$AK,INT((ROWS($A$10:$A110)+1)/2)+1))</f>
        <v/>
      </c>
      <c r="J110" s="90"/>
    </row>
    <row r="111" spans="1:10" ht="30" customHeight="1" x14ac:dyDescent="0.15">
      <c r="A111" s="74" t="str">
        <f>IF(E111="","",IF(E110="",INDEX(Sheet1!$AC:$AC,INT((ROWS($A$10:$A111)+1)/2)+1)&amp;"","〃"))</f>
        <v/>
      </c>
      <c r="B111" s="74" t="str">
        <f>IF(E111="","",IF(E110="",INDEX(Sheet1!$B:$B,INT((ROWS($A$10:$A111)+1)/2)+1)&amp;"","〃"))</f>
        <v/>
      </c>
      <c r="C111" s="74" t="str">
        <f>IF(E111="","",IF(E110="",INDEX(Sheet1!$CN:$CN,INT((ROWS($A$10:$A111)+1)/2)+1)&amp;"","〃"))</f>
        <v/>
      </c>
      <c r="D111" s="76" t="str">
        <f>IF(E111="","",IF(E110="",IF(INDEX(Sheet1!$N:$N,INT((ROWS($A$10:$A111)+1)/2)+1)="","",INDEX(Sheet1!$N:$N,INT((ROWS($A$10:$A111)+1)/2)+1)),"〃"))</f>
        <v/>
      </c>
      <c r="E111" s="74" t="str">
        <f>IF(INDEX(Sheet1!$BA:$BA,INT((ROWS($A$10:$A111)+1)/2)+1)&lt;&gt;"","わな猟","")</f>
        <v/>
      </c>
      <c r="F111" s="77" t="str">
        <f>IF(E111="","",INDEX(Sheet1!$BC:$BC,INT((ROWS($A$10:$A111)+1)/2)+1)&amp;"")</f>
        <v/>
      </c>
      <c r="G111" s="76" t="str">
        <f>IF(E111="","",IF(INDEX(Sheet1!$BM:$BM,INT((ROWS($A$10:$A111)+1)/2)+1)="","",INDEX(Sheet1!$BM:$BM,INT((ROWS($A$10:$A111)+1)/2)+1)))</f>
        <v/>
      </c>
      <c r="H111" s="78"/>
      <c r="I111" s="73"/>
      <c r="J111" s="90"/>
    </row>
    <row r="112" spans="1:10" s="71" customFormat="1" ht="30" customHeight="1" x14ac:dyDescent="0.15">
      <c r="A112" s="74" t="str">
        <f>IF(AND(INDEX(Sheet1!$AM:$AM,INT((ROWS($A$10:$A112)+1)/2)+1)="",INDEX(Sheet1!$BA:$BA,INT((ROWS($A$10:$A112)+1)/2)+1)&lt;&gt;""),"",INDEX(Sheet1!$AC:$AC,INT((ROWS($A$10:$A112)+1)/2)+1)&amp;"")</f>
        <v/>
      </c>
      <c r="B112" s="74" t="str">
        <f>IF(AND(INDEX(Sheet1!$AM:$AM,INT((ROWS($A$10:$A112)+1)/2)+1)="",INDEX(Sheet1!$BA:$BA,INT((ROWS($A$10:$A112)+1)/2)+1)&lt;&gt;""),"",INDEX(Sheet1!$B:$B,INT((ROWS($A$10:$A112)+1)/2)+1)&amp;"")</f>
        <v/>
      </c>
      <c r="C112" s="74" t="str">
        <f>IF(AND(INDEX(Sheet1!$AM:$AM,INT((ROWS($A$10:$A112)+1)/2)+1)="",INDEX(Sheet1!$BA:$BA,INT((ROWS($A$10:$A112)+1)/2)+1)&lt;&gt;""),"",INDEX(Sheet1!$CN:$CN,INT((ROWS($A$10:$A112)+1)/2)+1)&amp;"")</f>
        <v/>
      </c>
      <c r="D112" s="76" t="str">
        <f>IF(OR(AND(INDEX(Sheet1!$AM:$AM,INT((ROWS($A$10:$A112)+1)/2)+1)="",INDEX(Sheet1!$BA:$BA,INT((ROWS($A$10:$A112)+1)/2)+1)&lt;&gt;""),INDEX(Sheet1!$N:$N,INT((ROWS($A$10:$A112)+1)/2)+1)=""),"",INDEX(Sheet1!$N:$N,INT((ROWS($A$10:$A112)+1)/2)+1))</f>
        <v/>
      </c>
      <c r="E112" s="74" t="str">
        <f>IF(INDEX(Sheet1!$AM:$AM,INT((ROWS($A$10:$A112)+1)/2)+1)&lt;&gt;"","第一種","")</f>
        <v/>
      </c>
      <c r="F112" s="77" t="str">
        <f>IF(E112="","",INDEX(Sheet1!$AO:$AO,INT((ROWS($A$10:$A112)+1)/2)+1)&amp;"")</f>
        <v/>
      </c>
      <c r="G112" s="76" t="str">
        <f>IF(OR(E112="",INDEX(Sheet1!$AY:$AY,INT((ROWS($A$10:$A112)+1)/2)+1)=""),"",INDEX(Sheet1!$AY:$AY,INT((ROWS($A$10:$A112)+1)/2)+1))</f>
        <v/>
      </c>
      <c r="H112" s="74" t="str">
        <f>IF(INDEX(Sheet1!$AD:$AD,INT((ROWS($A$10:$A112)+1)/2)+1)="","",INDEX(Sheet1!$AD:$AD,INT((ROWS($A$10:$A112)+1)/2)+1))</f>
        <v/>
      </c>
      <c r="I112" s="76" t="str">
        <f>IF(INDEX(Sheet1!$AK:$AK,INT((ROWS($A$10:$A112)+1)/2)+1)="","",INDEX(Sheet1!$AK:$AK,INT((ROWS($A$10:$A112)+1)/2)+1))</f>
        <v/>
      </c>
      <c r="J112" s="90"/>
    </row>
    <row r="113" spans="1:10" ht="30" customHeight="1" x14ac:dyDescent="0.15">
      <c r="A113" s="74" t="str">
        <f>IF(E113="","",IF(E112="",INDEX(Sheet1!$AC:$AC,INT((ROWS($A$10:$A113)+1)/2)+1)&amp;"","〃"))</f>
        <v/>
      </c>
      <c r="B113" s="74" t="str">
        <f>IF(E113="","",IF(E112="",INDEX(Sheet1!$B:$B,INT((ROWS($A$10:$A113)+1)/2)+1)&amp;"","〃"))</f>
        <v/>
      </c>
      <c r="C113" s="74" t="str">
        <f>IF(E113="","",IF(E112="",INDEX(Sheet1!$CN:$CN,INT((ROWS($A$10:$A113)+1)/2)+1)&amp;"","〃"))</f>
        <v/>
      </c>
      <c r="D113" s="76" t="str">
        <f>IF(E113="","",IF(E112="",IF(INDEX(Sheet1!$N:$N,INT((ROWS($A$10:$A113)+1)/2)+1)="","",INDEX(Sheet1!$N:$N,INT((ROWS($A$10:$A113)+1)/2)+1)),"〃"))</f>
        <v/>
      </c>
      <c r="E113" s="74" t="str">
        <f>IF(INDEX(Sheet1!$BA:$BA,INT((ROWS($A$10:$A113)+1)/2)+1)&lt;&gt;"","わな猟","")</f>
        <v/>
      </c>
      <c r="F113" s="77" t="str">
        <f>IF(E113="","",INDEX(Sheet1!$BC:$BC,INT((ROWS($A$10:$A113)+1)/2)+1)&amp;"")</f>
        <v/>
      </c>
      <c r="G113" s="76" t="str">
        <f>IF(E113="","",IF(INDEX(Sheet1!$BM:$BM,INT((ROWS($A$10:$A113)+1)/2)+1)="","",INDEX(Sheet1!$BM:$BM,INT((ROWS($A$10:$A113)+1)/2)+1)))</f>
        <v/>
      </c>
      <c r="H113" s="78"/>
      <c r="I113" s="73"/>
      <c r="J113" s="90"/>
    </row>
    <row r="114" spans="1:10" s="71" customFormat="1" ht="30" customHeight="1" x14ac:dyDescent="0.15">
      <c r="A114" s="74" t="str">
        <f>IF(AND(INDEX(Sheet1!$AM:$AM,INT((ROWS($A$10:$A114)+1)/2)+1)="",INDEX(Sheet1!$BA:$BA,INT((ROWS($A$10:$A114)+1)/2)+1)&lt;&gt;""),"",INDEX(Sheet1!$AC:$AC,INT((ROWS($A$10:$A114)+1)/2)+1)&amp;"")</f>
        <v/>
      </c>
      <c r="B114" s="74" t="str">
        <f>IF(AND(INDEX(Sheet1!$AM:$AM,INT((ROWS($A$10:$A114)+1)/2)+1)="",INDEX(Sheet1!$BA:$BA,INT((ROWS($A$10:$A114)+1)/2)+1)&lt;&gt;""),"",INDEX(Sheet1!$B:$B,INT((ROWS($A$10:$A114)+1)/2)+1)&amp;"")</f>
        <v/>
      </c>
      <c r="C114" s="74" t="str">
        <f>IF(AND(INDEX(Sheet1!$AM:$AM,INT((ROWS($A$10:$A114)+1)/2)+1)="",INDEX(Sheet1!$BA:$BA,INT((ROWS($A$10:$A114)+1)/2)+1)&lt;&gt;""),"",INDEX(Sheet1!$CN:$CN,INT((ROWS($A$10:$A114)+1)/2)+1)&amp;"")</f>
        <v/>
      </c>
      <c r="D114" s="76" t="str">
        <f>IF(OR(AND(INDEX(Sheet1!$AM:$AM,INT((ROWS($A$10:$A114)+1)/2)+1)="",INDEX(Sheet1!$BA:$BA,INT((ROWS($A$10:$A114)+1)/2)+1)&lt;&gt;""),INDEX(Sheet1!$N:$N,INT((ROWS($A$10:$A114)+1)/2)+1)=""),"",INDEX(Sheet1!$N:$N,INT((ROWS($A$10:$A114)+1)/2)+1))</f>
        <v/>
      </c>
      <c r="E114" s="74" t="str">
        <f>IF(INDEX(Sheet1!$AM:$AM,INT((ROWS($A$10:$A114)+1)/2)+1)&lt;&gt;"","第一種","")</f>
        <v/>
      </c>
      <c r="F114" s="77" t="str">
        <f>IF(E114="","",INDEX(Sheet1!$AO:$AO,INT((ROWS($A$10:$A114)+1)/2)+1)&amp;"")</f>
        <v/>
      </c>
      <c r="G114" s="76" t="str">
        <f>IF(OR(E114="",INDEX(Sheet1!$AY:$AY,INT((ROWS($A$10:$A114)+1)/2)+1)=""),"",INDEX(Sheet1!$AY:$AY,INT((ROWS($A$10:$A114)+1)/2)+1))</f>
        <v/>
      </c>
      <c r="H114" s="74" t="str">
        <f>IF(INDEX(Sheet1!$AD:$AD,INT((ROWS($A$10:$A114)+1)/2)+1)="","",INDEX(Sheet1!$AD:$AD,INT((ROWS($A$10:$A114)+1)/2)+1))</f>
        <v/>
      </c>
      <c r="I114" s="76" t="str">
        <f>IF(INDEX(Sheet1!$AK:$AK,INT((ROWS($A$10:$A114)+1)/2)+1)="","",INDEX(Sheet1!$AK:$AK,INT((ROWS($A$10:$A114)+1)/2)+1))</f>
        <v/>
      </c>
      <c r="J114" s="90"/>
    </row>
    <row r="115" spans="1:10" ht="30" customHeight="1" x14ac:dyDescent="0.15">
      <c r="A115" s="74" t="str">
        <f>IF(E115="","",IF(E114="",INDEX(Sheet1!$AC:$AC,INT((ROWS($A$10:$A115)+1)/2)+1)&amp;"","〃"))</f>
        <v/>
      </c>
      <c r="B115" s="74" t="str">
        <f>IF(E115="","",IF(E114="",INDEX(Sheet1!$B:$B,INT((ROWS($A$10:$A115)+1)/2)+1)&amp;"","〃"))</f>
        <v/>
      </c>
      <c r="C115" s="74" t="str">
        <f>IF(E115="","",IF(E114="",INDEX(Sheet1!$CN:$CN,INT((ROWS($A$10:$A115)+1)/2)+1)&amp;"","〃"))</f>
        <v/>
      </c>
      <c r="D115" s="76" t="str">
        <f>IF(E115="","",IF(E114="",IF(INDEX(Sheet1!$N:$N,INT((ROWS($A$10:$A115)+1)/2)+1)="","",INDEX(Sheet1!$N:$N,INT((ROWS($A$10:$A115)+1)/2)+1)),"〃"))</f>
        <v/>
      </c>
      <c r="E115" s="74" t="str">
        <f>IF(INDEX(Sheet1!$BA:$BA,INT((ROWS($A$10:$A115)+1)/2)+1)&lt;&gt;"","わな猟","")</f>
        <v/>
      </c>
      <c r="F115" s="77" t="str">
        <f>IF(E115="","",INDEX(Sheet1!$BC:$BC,INT((ROWS($A$10:$A115)+1)/2)+1)&amp;"")</f>
        <v/>
      </c>
      <c r="G115" s="76" t="str">
        <f>IF(E115="","",IF(INDEX(Sheet1!$BM:$BM,INT((ROWS($A$10:$A115)+1)/2)+1)="","",INDEX(Sheet1!$BM:$BM,INT((ROWS($A$10:$A115)+1)/2)+1)))</f>
        <v/>
      </c>
      <c r="H115" s="78"/>
      <c r="I115" s="73"/>
      <c r="J115" s="90"/>
    </row>
    <row r="116" spans="1:10" s="71" customFormat="1" ht="30" customHeight="1" x14ac:dyDescent="0.15">
      <c r="A116" s="74" t="str">
        <f>IF(AND(INDEX(Sheet1!$AM:$AM,INT((ROWS($A$10:$A116)+1)/2)+1)="",INDEX(Sheet1!$BA:$BA,INT((ROWS($A$10:$A116)+1)/2)+1)&lt;&gt;""),"",INDEX(Sheet1!$AC:$AC,INT((ROWS($A$10:$A116)+1)/2)+1)&amp;"")</f>
        <v/>
      </c>
      <c r="B116" s="74" t="str">
        <f>IF(AND(INDEX(Sheet1!$AM:$AM,INT((ROWS($A$10:$A116)+1)/2)+1)="",INDEX(Sheet1!$BA:$BA,INT((ROWS($A$10:$A116)+1)/2)+1)&lt;&gt;""),"",INDEX(Sheet1!$B:$B,INT((ROWS($A$10:$A116)+1)/2)+1)&amp;"")</f>
        <v/>
      </c>
      <c r="C116" s="74" t="str">
        <f>IF(AND(INDEX(Sheet1!$AM:$AM,INT((ROWS($A$10:$A116)+1)/2)+1)="",INDEX(Sheet1!$BA:$BA,INT((ROWS($A$10:$A116)+1)/2)+1)&lt;&gt;""),"",INDEX(Sheet1!$CN:$CN,INT((ROWS($A$10:$A116)+1)/2)+1)&amp;"")</f>
        <v/>
      </c>
      <c r="D116" s="76" t="str">
        <f>IF(OR(AND(INDEX(Sheet1!$AM:$AM,INT((ROWS($A$10:$A116)+1)/2)+1)="",INDEX(Sheet1!$BA:$BA,INT((ROWS($A$10:$A116)+1)/2)+1)&lt;&gt;""),INDEX(Sheet1!$N:$N,INT((ROWS($A$10:$A116)+1)/2)+1)=""),"",INDEX(Sheet1!$N:$N,INT((ROWS($A$10:$A116)+1)/2)+1))</f>
        <v/>
      </c>
      <c r="E116" s="74" t="str">
        <f>IF(INDEX(Sheet1!$AM:$AM,INT((ROWS($A$10:$A116)+1)/2)+1)&lt;&gt;"","第一種","")</f>
        <v/>
      </c>
      <c r="F116" s="77" t="str">
        <f>IF(E116="","",INDEX(Sheet1!$AO:$AO,INT((ROWS($A$10:$A116)+1)/2)+1)&amp;"")</f>
        <v/>
      </c>
      <c r="G116" s="76" t="str">
        <f>IF(OR(E116="",INDEX(Sheet1!$AY:$AY,INT((ROWS($A$10:$A116)+1)/2)+1)=""),"",INDEX(Sheet1!$AY:$AY,INT((ROWS($A$10:$A116)+1)/2)+1))</f>
        <v/>
      </c>
      <c r="H116" s="74" t="str">
        <f>IF(INDEX(Sheet1!$AD:$AD,INT((ROWS($A$10:$A116)+1)/2)+1)="","",INDEX(Sheet1!$AD:$AD,INT((ROWS($A$10:$A116)+1)/2)+1))</f>
        <v/>
      </c>
      <c r="I116" s="76" t="str">
        <f>IF(INDEX(Sheet1!$AK:$AK,INT((ROWS($A$10:$A116)+1)/2)+1)="","",INDEX(Sheet1!$AK:$AK,INT((ROWS($A$10:$A116)+1)/2)+1))</f>
        <v/>
      </c>
      <c r="J116" s="90"/>
    </row>
    <row r="117" spans="1:10" ht="30" customHeight="1" x14ac:dyDescent="0.15">
      <c r="A117" s="74" t="str">
        <f>IF(E117="","",IF(E116="",INDEX(Sheet1!$AC:$AC,INT((ROWS($A$10:$A117)+1)/2)+1)&amp;"","〃"))</f>
        <v/>
      </c>
      <c r="B117" s="74" t="str">
        <f>IF(E117="","",IF(E116="",INDEX(Sheet1!$B:$B,INT((ROWS($A$10:$A117)+1)/2)+1)&amp;"","〃"))</f>
        <v/>
      </c>
      <c r="C117" s="74" t="str">
        <f>IF(E117="","",IF(E116="",INDEX(Sheet1!$CN:$CN,INT((ROWS($A$10:$A117)+1)/2)+1)&amp;"","〃"))</f>
        <v/>
      </c>
      <c r="D117" s="76" t="str">
        <f>IF(E117="","",IF(E116="",IF(INDEX(Sheet1!$N:$N,INT((ROWS($A$10:$A117)+1)/2)+1)="","",INDEX(Sheet1!$N:$N,INT((ROWS($A$10:$A117)+1)/2)+1)),"〃"))</f>
        <v/>
      </c>
      <c r="E117" s="74" t="str">
        <f>IF(INDEX(Sheet1!$BA:$BA,INT((ROWS($A$10:$A117)+1)/2)+1)&lt;&gt;"","わな猟","")</f>
        <v/>
      </c>
      <c r="F117" s="77" t="str">
        <f>IF(E117="","",INDEX(Sheet1!$BC:$BC,INT((ROWS($A$10:$A117)+1)/2)+1)&amp;"")</f>
        <v/>
      </c>
      <c r="G117" s="76" t="str">
        <f>IF(E117="","",IF(INDEX(Sheet1!$BM:$BM,INT((ROWS($A$10:$A117)+1)/2)+1)="","",INDEX(Sheet1!$BM:$BM,INT((ROWS($A$10:$A117)+1)/2)+1)))</f>
        <v/>
      </c>
      <c r="H117" s="78"/>
      <c r="I117" s="73"/>
      <c r="J117" s="90"/>
    </row>
    <row r="118" spans="1:10" s="71" customFormat="1" ht="30" customHeight="1" x14ac:dyDescent="0.15">
      <c r="A118" s="74" t="str">
        <f>IF(AND(INDEX(Sheet1!$AM:$AM,INT((ROWS($A$10:$A118)+1)/2)+1)="",INDEX(Sheet1!$BA:$BA,INT((ROWS($A$10:$A118)+1)/2)+1)&lt;&gt;""),"",INDEX(Sheet1!$AC:$AC,INT((ROWS($A$10:$A118)+1)/2)+1)&amp;"")</f>
        <v/>
      </c>
      <c r="B118" s="74" t="str">
        <f>IF(AND(INDEX(Sheet1!$AM:$AM,INT((ROWS($A$10:$A118)+1)/2)+1)="",INDEX(Sheet1!$BA:$BA,INT((ROWS($A$10:$A118)+1)/2)+1)&lt;&gt;""),"",INDEX(Sheet1!$B:$B,INT((ROWS($A$10:$A118)+1)/2)+1)&amp;"")</f>
        <v/>
      </c>
      <c r="C118" s="74" t="str">
        <f>IF(AND(INDEX(Sheet1!$AM:$AM,INT((ROWS($A$10:$A118)+1)/2)+1)="",INDEX(Sheet1!$BA:$BA,INT((ROWS($A$10:$A118)+1)/2)+1)&lt;&gt;""),"",INDEX(Sheet1!$CN:$CN,INT((ROWS($A$10:$A118)+1)/2)+1)&amp;"")</f>
        <v/>
      </c>
      <c r="D118" s="76" t="str">
        <f>IF(OR(AND(INDEX(Sheet1!$AM:$AM,INT((ROWS($A$10:$A118)+1)/2)+1)="",INDEX(Sheet1!$BA:$BA,INT((ROWS($A$10:$A118)+1)/2)+1)&lt;&gt;""),INDEX(Sheet1!$N:$N,INT((ROWS($A$10:$A118)+1)/2)+1)=""),"",INDEX(Sheet1!$N:$N,INT((ROWS($A$10:$A118)+1)/2)+1))</f>
        <v/>
      </c>
      <c r="E118" s="74" t="str">
        <f>IF(INDEX(Sheet1!$AM:$AM,INT((ROWS($A$10:$A118)+1)/2)+1)&lt;&gt;"","第一種","")</f>
        <v/>
      </c>
      <c r="F118" s="77" t="str">
        <f>IF(E118="","",INDEX(Sheet1!$AO:$AO,INT((ROWS($A$10:$A118)+1)/2)+1)&amp;"")</f>
        <v/>
      </c>
      <c r="G118" s="76" t="str">
        <f>IF(OR(E118="",INDEX(Sheet1!$AY:$AY,INT((ROWS($A$10:$A118)+1)/2)+1)=""),"",INDEX(Sheet1!$AY:$AY,INT((ROWS($A$10:$A118)+1)/2)+1))</f>
        <v/>
      </c>
      <c r="H118" s="74" t="str">
        <f>IF(INDEX(Sheet1!$AD:$AD,INT((ROWS($A$10:$A118)+1)/2)+1)="","",INDEX(Sheet1!$AD:$AD,INT((ROWS($A$10:$A118)+1)/2)+1))</f>
        <v/>
      </c>
      <c r="I118" s="76" t="str">
        <f>IF(INDEX(Sheet1!$AK:$AK,INT((ROWS($A$10:$A118)+1)/2)+1)="","",INDEX(Sheet1!$AK:$AK,INT((ROWS($A$10:$A118)+1)/2)+1))</f>
        <v/>
      </c>
      <c r="J118" s="90"/>
    </row>
    <row r="119" spans="1:10" ht="30" customHeight="1" x14ac:dyDescent="0.15">
      <c r="A119" s="74" t="str">
        <f>IF(E119="","",IF(E118="",INDEX(Sheet1!$AC:$AC,INT((ROWS($A$10:$A119)+1)/2)+1)&amp;"","〃"))</f>
        <v/>
      </c>
      <c r="B119" s="74" t="str">
        <f>IF(E119="","",IF(E118="",INDEX(Sheet1!$B:$B,INT((ROWS($A$10:$A119)+1)/2)+1)&amp;"","〃"))</f>
        <v/>
      </c>
      <c r="C119" s="74" t="str">
        <f>IF(E119="","",IF(E118="",INDEX(Sheet1!$CN:$CN,INT((ROWS($A$10:$A119)+1)/2)+1)&amp;"","〃"))</f>
        <v/>
      </c>
      <c r="D119" s="76" t="str">
        <f>IF(E119="","",IF(E118="",IF(INDEX(Sheet1!$N:$N,INT((ROWS($A$10:$A119)+1)/2)+1)="","",INDEX(Sheet1!$N:$N,INT((ROWS($A$10:$A119)+1)/2)+1)),"〃"))</f>
        <v/>
      </c>
      <c r="E119" s="74" t="str">
        <f>IF(INDEX(Sheet1!$BA:$BA,INT((ROWS($A$10:$A119)+1)/2)+1)&lt;&gt;"","わな猟","")</f>
        <v/>
      </c>
      <c r="F119" s="77" t="str">
        <f>IF(E119="","",INDEX(Sheet1!$BC:$BC,INT((ROWS($A$10:$A119)+1)/2)+1)&amp;"")</f>
        <v/>
      </c>
      <c r="G119" s="76" t="str">
        <f>IF(E119="","",IF(INDEX(Sheet1!$BM:$BM,INT((ROWS($A$10:$A119)+1)/2)+1)="","",INDEX(Sheet1!$BM:$BM,INT((ROWS($A$10:$A119)+1)/2)+1)))</f>
        <v/>
      </c>
      <c r="H119" s="78"/>
      <c r="I119" s="73"/>
      <c r="J119" s="90"/>
    </row>
    <row r="120" spans="1:10" s="71" customFormat="1" ht="30" customHeight="1" x14ac:dyDescent="0.15">
      <c r="A120" s="74" t="str">
        <f>IF(AND(INDEX(Sheet1!$AM:$AM,INT((ROWS($A$10:$A120)+1)/2)+1)="",INDEX(Sheet1!$BA:$BA,INT((ROWS($A$10:$A120)+1)/2)+1)&lt;&gt;""),"",INDEX(Sheet1!$AC:$AC,INT((ROWS($A$10:$A120)+1)/2)+1)&amp;"")</f>
        <v/>
      </c>
      <c r="B120" s="74" t="str">
        <f>IF(AND(INDEX(Sheet1!$AM:$AM,INT((ROWS($A$10:$A120)+1)/2)+1)="",INDEX(Sheet1!$BA:$BA,INT((ROWS($A$10:$A120)+1)/2)+1)&lt;&gt;""),"",INDEX(Sheet1!$B:$B,INT((ROWS($A$10:$A120)+1)/2)+1)&amp;"")</f>
        <v/>
      </c>
      <c r="C120" s="74" t="str">
        <f>IF(AND(INDEX(Sheet1!$AM:$AM,INT((ROWS($A$10:$A120)+1)/2)+1)="",INDEX(Sheet1!$BA:$BA,INT((ROWS($A$10:$A120)+1)/2)+1)&lt;&gt;""),"",INDEX(Sheet1!$CN:$CN,INT((ROWS($A$10:$A120)+1)/2)+1)&amp;"")</f>
        <v/>
      </c>
      <c r="D120" s="76" t="str">
        <f>IF(OR(AND(INDEX(Sheet1!$AM:$AM,INT((ROWS($A$10:$A120)+1)/2)+1)="",INDEX(Sheet1!$BA:$BA,INT((ROWS($A$10:$A120)+1)/2)+1)&lt;&gt;""),INDEX(Sheet1!$N:$N,INT((ROWS($A$10:$A120)+1)/2)+1)=""),"",INDEX(Sheet1!$N:$N,INT((ROWS($A$10:$A120)+1)/2)+1))</f>
        <v/>
      </c>
      <c r="E120" s="74" t="str">
        <f>IF(INDEX(Sheet1!$AM:$AM,INT((ROWS($A$10:$A120)+1)/2)+1)&lt;&gt;"","第一種","")</f>
        <v/>
      </c>
      <c r="F120" s="77" t="str">
        <f>IF(E120="","",INDEX(Sheet1!$AO:$AO,INT((ROWS($A$10:$A120)+1)/2)+1)&amp;"")</f>
        <v/>
      </c>
      <c r="G120" s="76" t="str">
        <f>IF(OR(E120="",INDEX(Sheet1!$AY:$AY,INT((ROWS($A$10:$A120)+1)/2)+1)=""),"",INDEX(Sheet1!$AY:$AY,INT((ROWS($A$10:$A120)+1)/2)+1))</f>
        <v/>
      </c>
      <c r="H120" s="74" t="str">
        <f>IF(INDEX(Sheet1!$AD:$AD,INT((ROWS($A$10:$A120)+1)/2)+1)="","",INDEX(Sheet1!$AD:$AD,INT((ROWS($A$10:$A120)+1)/2)+1))</f>
        <v/>
      </c>
      <c r="I120" s="76" t="str">
        <f>IF(INDEX(Sheet1!$AK:$AK,INT((ROWS($A$10:$A120)+1)/2)+1)="","",INDEX(Sheet1!$AK:$AK,INT((ROWS($A$10:$A120)+1)/2)+1))</f>
        <v/>
      </c>
      <c r="J120" s="90"/>
    </row>
    <row r="121" spans="1:10" ht="30" customHeight="1" x14ac:dyDescent="0.15">
      <c r="A121" s="74" t="str">
        <f>IF(E121="","",IF(E120="",INDEX(Sheet1!$AC:$AC,INT((ROWS($A$10:$A121)+1)/2)+1)&amp;"","〃"))</f>
        <v/>
      </c>
      <c r="B121" s="74" t="str">
        <f>IF(E121="","",IF(E120="",INDEX(Sheet1!$B:$B,INT((ROWS($A$10:$A121)+1)/2)+1)&amp;"","〃"))</f>
        <v/>
      </c>
      <c r="C121" s="74" t="str">
        <f>IF(E121="","",IF(E120="",INDEX(Sheet1!$CN:$CN,INT((ROWS($A$10:$A121)+1)/2)+1)&amp;"","〃"))</f>
        <v/>
      </c>
      <c r="D121" s="76" t="str">
        <f>IF(E121="","",IF(E120="",IF(INDEX(Sheet1!$N:$N,INT((ROWS($A$10:$A121)+1)/2)+1)="","",INDEX(Sheet1!$N:$N,INT((ROWS($A$10:$A121)+1)/2)+1)),"〃"))</f>
        <v/>
      </c>
      <c r="E121" s="74" t="str">
        <f>IF(INDEX(Sheet1!$BA:$BA,INT((ROWS($A$10:$A121)+1)/2)+1)&lt;&gt;"","わな猟","")</f>
        <v/>
      </c>
      <c r="F121" s="77" t="str">
        <f>IF(E121="","",INDEX(Sheet1!$BC:$BC,INT((ROWS($A$10:$A121)+1)/2)+1)&amp;"")</f>
        <v/>
      </c>
      <c r="G121" s="76" t="str">
        <f>IF(E121="","",IF(INDEX(Sheet1!$BM:$BM,INT((ROWS($A$10:$A121)+1)/2)+1)="","",INDEX(Sheet1!$BM:$BM,INT((ROWS($A$10:$A121)+1)/2)+1)))</f>
        <v/>
      </c>
      <c r="H121" s="78"/>
      <c r="I121" s="73"/>
      <c r="J121" s="90"/>
    </row>
    <row r="122" spans="1:10" s="71" customFormat="1" ht="30" customHeight="1" x14ac:dyDescent="0.15">
      <c r="A122" s="74" t="str">
        <f>IF(AND(INDEX(Sheet1!$AM:$AM,INT((ROWS($A$10:$A122)+1)/2)+1)="",INDEX(Sheet1!$BA:$BA,INT((ROWS($A$10:$A122)+1)/2)+1)&lt;&gt;""),"",INDEX(Sheet1!$AC:$AC,INT((ROWS($A$10:$A122)+1)/2)+1)&amp;"")</f>
        <v/>
      </c>
      <c r="B122" s="74" t="str">
        <f>IF(AND(INDEX(Sheet1!$AM:$AM,INT((ROWS($A$10:$A122)+1)/2)+1)="",INDEX(Sheet1!$BA:$BA,INT((ROWS($A$10:$A122)+1)/2)+1)&lt;&gt;""),"",INDEX(Sheet1!$B:$B,INT((ROWS($A$10:$A122)+1)/2)+1)&amp;"")</f>
        <v/>
      </c>
      <c r="C122" s="74" t="str">
        <f>IF(AND(INDEX(Sheet1!$AM:$AM,INT((ROWS($A$10:$A122)+1)/2)+1)="",INDEX(Sheet1!$BA:$BA,INT((ROWS($A$10:$A122)+1)/2)+1)&lt;&gt;""),"",INDEX(Sheet1!$CN:$CN,INT((ROWS($A$10:$A122)+1)/2)+1)&amp;"")</f>
        <v/>
      </c>
      <c r="D122" s="76" t="str">
        <f>IF(OR(AND(INDEX(Sheet1!$AM:$AM,INT((ROWS($A$10:$A122)+1)/2)+1)="",INDEX(Sheet1!$BA:$BA,INT((ROWS($A$10:$A122)+1)/2)+1)&lt;&gt;""),INDEX(Sheet1!$N:$N,INT((ROWS($A$10:$A122)+1)/2)+1)=""),"",INDEX(Sheet1!$N:$N,INT((ROWS($A$10:$A122)+1)/2)+1))</f>
        <v/>
      </c>
      <c r="E122" s="74" t="str">
        <f>IF(INDEX(Sheet1!$AM:$AM,INT((ROWS($A$10:$A122)+1)/2)+1)&lt;&gt;"","第一種","")</f>
        <v/>
      </c>
      <c r="F122" s="77" t="str">
        <f>IF(E122="","",INDEX(Sheet1!$AO:$AO,INT((ROWS($A$10:$A122)+1)/2)+1)&amp;"")</f>
        <v/>
      </c>
      <c r="G122" s="76" t="str">
        <f>IF(OR(E122="",INDEX(Sheet1!$AY:$AY,INT((ROWS($A$10:$A122)+1)/2)+1)=""),"",INDEX(Sheet1!$AY:$AY,INT((ROWS($A$10:$A122)+1)/2)+1))</f>
        <v/>
      </c>
      <c r="H122" s="74" t="str">
        <f>IF(INDEX(Sheet1!$AD:$AD,INT((ROWS($A$10:$A122)+1)/2)+1)="","",INDEX(Sheet1!$AD:$AD,INT((ROWS($A$10:$A122)+1)/2)+1))</f>
        <v/>
      </c>
      <c r="I122" s="76" t="str">
        <f>IF(INDEX(Sheet1!$AK:$AK,INT((ROWS($A$10:$A122)+1)/2)+1)="","",INDEX(Sheet1!$AK:$AK,INT((ROWS($A$10:$A122)+1)/2)+1))</f>
        <v/>
      </c>
      <c r="J122" s="90"/>
    </row>
    <row r="123" spans="1:10" ht="30" customHeight="1" x14ac:dyDescent="0.15">
      <c r="A123" s="74" t="str">
        <f>IF(E123="","",IF(E122="",INDEX(Sheet1!$AC:$AC,INT((ROWS($A$10:$A123)+1)/2)+1)&amp;"","〃"))</f>
        <v/>
      </c>
      <c r="B123" s="74" t="str">
        <f>IF(E123="","",IF(E122="",INDEX(Sheet1!$B:$B,INT((ROWS($A$10:$A123)+1)/2)+1)&amp;"","〃"))</f>
        <v/>
      </c>
      <c r="C123" s="74" t="str">
        <f>IF(E123="","",IF(E122="",INDEX(Sheet1!$CN:$CN,INT((ROWS($A$10:$A123)+1)/2)+1)&amp;"","〃"))</f>
        <v/>
      </c>
      <c r="D123" s="76" t="str">
        <f>IF(E123="","",IF(E122="",IF(INDEX(Sheet1!$N:$N,INT((ROWS($A$10:$A123)+1)/2)+1)="","",INDEX(Sheet1!$N:$N,INT((ROWS($A$10:$A123)+1)/2)+1)),"〃"))</f>
        <v/>
      </c>
      <c r="E123" s="74" t="str">
        <f>IF(INDEX(Sheet1!$BA:$BA,INT((ROWS($A$10:$A123)+1)/2)+1)&lt;&gt;"","わな猟","")</f>
        <v/>
      </c>
      <c r="F123" s="77" t="str">
        <f>IF(E123="","",INDEX(Sheet1!$BC:$BC,INT((ROWS($A$10:$A123)+1)/2)+1)&amp;"")</f>
        <v/>
      </c>
      <c r="G123" s="76" t="str">
        <f>IF(E123="","",IF(INDEX(Sheet1!$BM:$BM,INT((ROWS($A$10:$A123)+1)/2)+1)="","",INDEX(Sheet1!$BM:$BM,INT((ROWS($A$10:$A123)+1)/2)+1)))</f>
        <v/>
      </c>
      <c r="H123" s="78"/>
      <c r="I123" s="73"/>
      <c r="J123" s="90"/>
    </row>
    <row r="124" spans="1:10" s="71" customFormat="1" ht="30" customHeight="1" x14ac:dyDescent="0.15">
      <c r="A124" s="74" t="str">
        <f>IF(AND(INDEX(Sheet1!$AM:$AM,INT((ROWS($A$10:$A124)+1)/2)+1)="",INDEX(Sheet1!$BA:$BA,INT((ROWS($A$10:$A124)+1)/2)+1)&lt;&gt;""),"",INDEX(Sheet1!$AC:$AC,INT((ROWS($A$10:$A124)+1)/2)+1)&amp;"")</f>
        <v/>
      </c>
      <c r="B124" s="74" t="str">
        <f>IF(AND(INDEX(Sheet1!$AM:$AM,INT((ROWS($A$10:$A124)+1)/2)+1)="",INDEX(Sheet1!$BA:$BA,INT((ROWS($A$10:$A124)+1)/2)+1)&lt;&gt;""),"",INDEX(Sheet1!$B:$B,INT((ROWS($A$10:$A124)+1)/2)+1)&amp;"")</f>
        <v/>
      </c>
      <c r="C124" s="74" t="str">
        <f>IF(AND(INDEX(Sheet1!$AM:$AM,INT((ROWS($A$10:$A124)+1)/2)+1)="",INDEX(Sheet1!$BA:$BA,INT((ROWS($A$10:$A124)+1)/2)+1)&lt;&gt;""),"",INDEX(Sheet1!$CN:$CN,INT((ROWS($A$10:$A124)+1)/2)+1)&amp;"")</f>
        <v/>
      </c>
      <c r="D124" s="76" t="str">
        <f>IF(OR(AND(INDEX(Sheet1!$AM:$AM,INT((ROWS($A$10:$A124)+1)/2)+1)="",INDEX(Sheet1!$BA:$BA,INT((ROWS($A$10:$A124)+1)/2)+1)&lt;&gt;""),INDEX(Sheet1!$N:$N,INT((ROWS($A$10:$A124)+1)/2)+1)=""),"",INDEX(Sheet1!$N:$N,INT((ROWS($A$10:$A124)+1)/2)+1))</f>
        <v/>
      </c>
      <c r="E124" s="74" t="str">
        <f>IF(INDEX(Sheet1!$AM:$AM,INT((ROWS($A$10:$A124)+1)/2)+1)&lt;&gt;"","第一種","")</f>
        <v/>
      </c>
      <c r="F124" s="77" t="str">
        <f>IF(E124="","",INDEX(Sheet1!$AO:$AO,INT((ROWS($A$10:$A124)+1)/2)+1)&amp;"")</f>
        <v/>
      </c>
      <c r="G124" s="76" t="str">
        <f>IF(OR(E124="",INDEX(Sheet1!$AY:$AY,INT((ROWS($A$10:$A124)+1)/2)+1)=""),"",INDEX(Sheet1!$AY:$AY,INT((ROWS($A$10:$A124)+1)/2)+1))</f>
        <v/>
      </c>
      <c r="H124" s="74" t="str">
        <f>IF(INDEX(Sheet1!$AD:$AD,INT((ROWS($A$10:$A124)+1)/2)+1)="","",INDEX(Sheet1!$AD:$AD,INT((ROWS($A$10:$A124)+1)/2)+1))</f>
        <v/>
      </c>
      <c r="I124" s="76" t="str">
        <f>IF(INDEX(Sheet1!$AK:$AK,INT((ROWS($A$10:$A124)+1)/2)+1)="","",INDEX(Sheet1!$AK:$AK,INT((ROWS($A$10:$A124)+1)/2)+1))</f>
        <v/>
      </c>
      <c r="J124" s="90"/>
    </row>
    <row r="125" spans="1:10" ht="30" customHeight="1" x14ac:dyDescent="0.15">
      <c r="A125" s="74" t="str">
        <f>IF(E125="","",IF(E124="",INDEX(Sheet1!$AC:$AC,INT((ROWS($A$10:$A125)+1)/2)+1)&amp;"","〃"))</f>
        <v/>
      </c>
      <c r="B125" s="74" t="str">
        <f>IF(E125="","",IF(E124="",INDEX(Sheet1!$B:$B,INT((ROWS($A$10:$A125)+1)/2)+1)&amp;"","〃"))</f>
        <v/>
      </c>
      <c r="C125" s="74" t="str">
        <f>IF(E125="","",IF(E124="",INDEX(Sheet1!$CN:$CN,INT((ROWS($A$10:$A125)+1)/2)+1)&amp;"","〃"))</f>
        <v/>
      </c>
      <c r="D125" s="76" t="str">
        <f>IF(E125="","",IF(E124="",IF(INDEX(Sheet1!$N:$N,INT((ROWS($A$10:$A125)+1)/2)+1)="","",INDEX(Sheet1!$N:$N,INT((ROWS($A$10:$A125)+1)/2)+1)),"〃"))</f>
        <v/>
      </c>
      <c r="E125" s="74" t="str">
        <f>IF(INDEX(Sheet1!$BA:$BA,INT((ROWS($A$10:$A125)+1)/2)+1)&lt;&gt;"","わな猟","")</f>
        <v/>
      </c>
      <c r="F125" s="77" t="str">
        <f>IF(E125="","",INDEX(Sheet1!$BC:$BC,INT((ROWS($A$10:$A125)+1)/2)+1)&amp;"")</f>
        <v/>
      </c>
      <c r="G125" s="76" t="str">
        <f>IF(E125="","",IF(INDEX(Sheet1!$BM:$BM,INT((ROWS($A$10:$A125)+1)/2)+1)="","",INDEX(Sheet1!$BM:$BM,INT((ROWS($A$10:$A125)+1)/2)+1)))</f>
        <v/>
      </c>
      <c r="H125" s="78"/>
      <c r="I125" s="73"/>
      <c r="J125" s="90"/>
    </row>
    <row r="126" spans="1:10" s="71" customFormat="1" ht="30" customHeight="1" x14ac:dyDescent="0.15">
      <c r="A126" s="74" t="str">
        <f>IF(AND(INDEX(Sheet1!$AM:$AM,INT((ROWS($A$10:$A126)+1)/2)+1)="",INDEX(Sheet1!$BA:$BA,INT((ROWS($A$10:$A126)+1)/2)+1)&lt;&gt;""),"",INDEX(Sheet1!$AC:$AC,INT((ROWS($A$10:$A126)+1)/2)+1)&amp;"")</f>
        <v/>
      </c>
      <c r="B126" s="74" t="str">
        <f>IF(AND(INDEX(Sheet1!$AM:$AM,INT((ROWS($A$10:$A126)+1)/2)+1)="",INDEX(Sheet1!$BA:$BA,INT((ROWS($A$10:$A126)+1)/2)+1)&lt;&gt;""),"",INDEX(Sheet1!$B:$B,INT((ROWS($A$10:$A126)+1)/2)+1)&amp;"")</f>
        <v/>
      </c>
      <c r="C126" s="74" t="str">
        <f>IF(AND(INDEX(Sheet1!$AM:$AM,INT((ROWS($A$10:$A126)+1)/2)+1)="",INDEX(Sheet1!$BA:$BA,INT((ROWS($A$10:$A126)+1)/2)+1)&lt;&gt;""),"",INDEX(Sheet1!$CN:$CN,INT((ROWS($A$10:$A126)+1)/2)+1)&amp;"")</f>
        <v/>
      </c>
      <c r="D126" s="76" t="str">
        <f>IF(OR(AND(INDEX(Sheet1!$AM:$AM,INT((ROWS($A$10:$A126)+1)/2)+1)="",INDEX(Sheet1!$BA:$BA,INT((ROWS($A$10:$A126)+1)/2)+1)&lt;&gt;""),INDEX(Sheet1!$N:$N,INT((ROWS($A$10:$A126)+1)/2)+1)=""),"",INDEX(Sheet1!$N:$N,INT((ROWS($A$10:$A126)+1)/2)+1))</f>
        <v/>
      </c>
      <c r="E126" s="74" t="str">
        <f>IF(INDEX(Sheet1!$AM:$AM,INT((ROWS($A$10:$A126)+1)/2)+1)&lt;&gt;"","第一種","")</f>
        <v/>
      </c>
      <c r="F126" s="77" t="str">
        <f>IF(E126="","",INDEX(Sheet1!$AO:$AO,INT((ROWS($A$10:$A126)+1)/2)+1)&amp;"")</f>
        <v/>
      </c>
      <c r="G126" s="76" t="str">
        <f>IF(OR(E126="",INDEX(Sheet1!$AY:$AY,INT((ROWS($A$10:$A126)+1)/2)+1)=""),"",INDEX(Sheet1!$AY:$AY,INT((ROWS($A$10:$A126)+1)/2)+1))</f>
        <v/>
      </c>
      <c r="H126" s="74" t="str">
        <f>IF(INDEX(Sheet1!$AD:$AD,INT((ROWS($A$10:$A126)+1)/2)+1)="","",INDEX(Sheet1!$AD:$AD,INT((ROWS($A$10:$A126)+1)/2)+1))</f>
        <v/>
      </c>
      <c r="I126" s="76" t="str">
        <f>IF(INDEX(Sheet1!$AK:$AK,INT((ROWS($A$10:$A126)+1)/2)+1)="","",INDEX(Sheet1!$AK:$AK,INT((ROWS($A$10:$A126)+1)/2)+1))</f>
        <v/>
      </c>
      <c r="J126" s="90"/>
    </row>
    <row r="127" spans="1:10" ht="30" customHeight="1" x14ac:dyDescent="0.15">
      <c r="A127" s="74" t="str">
        <f>IF(E127="","",IF(E126="",INDEX(Sheet1!$AC:$AC,INT((ROWS($A$10:$A127)+1)/2)+1)&amp;"","〃"))</f>
        <v/>
      </c>
      <c r="B127" s="74" t="str">
        <f>IF(E127="","",IF(E126="",INDEX(Sheet1!$B:$B,INT((ROWS($A$10:$A127)+1)/2)+1)&amp;"","〃"))</f>
        <v/>
      </c>
      <c r="C127" s="74" t="str">
        <f>IF(E127="","",IF(E126="",INDEX(Sheet1!$CN:$CN,INT((ROWS($A$10:$A127)+1)/2)+1)&amp;"","〃"))</f>
        <v/>
      </c>
      <c r="D127" s="76" t="str">
        <f>IF(E127="","",IF(E126="",IF(INDEX(Sheet1!$N:$N,INT((ROWS($A$10:$A127)+1)/2)+1)="","",INDEX(Sheet1!$N:$N,INT((ROWS($A$10:$A127)+1)/2)+1)),"〃"))</f>
        <v/>
      </c>
      <c r="E127" s="74" t="str">
        <f>IF(INDEX(Sheet1!$BA:$BA,INT((ROWS($A$10:$A127)+1)/2)+1)&lt;&gt;"","わな猟","")</f>
        <v/>
      </c>
      <c r="F127" s="77" t="str">
        <f>IF(E127="","",INDEX(Sheet1!$BC:$BC,INT((ROWS($A$10:$A127)+1)/2)+1)&amp;"")</f>
        <v/>
      </c>
      <c r="G127" s="76" t="str">
        <f>IF(E127="","",IF(INDEX(Sheet1!$BM:$BM,INT((ROWS($A$10:$A127)+1)/2)+1)="","",INDEX(Sheet1!$BM:$BM,INT((ROWS($A$10:$A127)+1)/2)+1)))</f>
        <v/>
      </c>
      <c r="H127" s="78"/>
      <c r="I127" s="73"/>
      <c r="J127" s="90"/>
    </row>
    <row r="128" spans="1:10" s="71" customFormat="1" ht="30" customHeight="1" x14ac:dyDescent="0.15">
      <c r="A128" s="74" t="str">
        <f>IF(AND(INDEX(Sheet1!$AM:$AM,INT((ROWS($A$10:$A128)+1)/2)+1)="",INDEX(Sheet1!$BA:$BA,INT((ROWS($A$10:$A128)+1)/2)+1)&lt;&gt;""),"",INDEX(Sheet1!$AC:$AC,INT((ROWS($A$10:$A128)+1)/2)+1)&amp;"")</f>
        <v/>
      </c>
      <c r="B128" s="74" t="str">
        <f>IF(AND(INDEX(Sheet1!$AM:$AM,INT((ROWS($A$10:$A128)+1)/2)+1)="",INDEX(Sheet1!$BA:$BA,INT((ROWS($A$10:$A128)+1)/2)+1)&lt;&gt;""),"",INDEX(Sheet1!$B:$B,INT((ROWS($A$10:$A128)+1)/2)+1)&amp;"")</f>
        <v/>
      </c>
      <c r="C128" s="74" t="str">
        <f>IF(AND(INDEX(Sheet1!$AM:$AM,INT((ROWS($A$10:$A128)+1)/2)+1)="",INDEX(Sheet1!$BA:$BA,INT((ROWS($A$10:$A128)+1)/2)+1)&lt;&gt;""),"",INDEX(Sheet1!$CN:$CN,INT((ROWS($A$10:$A128)+1)/2)+1)&amp;"")</f>
        <v/>
      </c>
      <c r="D128" s="76" t="str">
        <f>IF(OR(AND(INDEX(Sheet1!$AM:$AM,INT((ROWS($A$10:$A128)+1)/2)+1)="",INDEX(Sheet1!$BA:$BA,INT((ROWS($A$10:$A128)+1)/2)+1)&lt;&gt;""),INDEX(Sheet1!$N:$N,INT((ROWS($A$10:$A128)+1)/2)+1)=""),"",INDEX(Sheet1!$N:$N,INT((ROWS($A$10:$A128)+1)/2)+1))</f>
        <v/>
      </c>
      <c r="E128" s="74" t="str">
        <f>IF(INDEX(Sheet1!$AM:$AM,INT((ROWS($A$10:$A128)+1)/2)+1)&lt;&gt;"","第一種","")</f>
        <v/>
      </c>
      <c r="F128" s="77" t="str">
        <f>IF(E128="","",INDEX(Sheet1!$AO:$AO,INT((ROWS($A$10:$A128)+1)/2)+1)&amp;"")</f>
        <v/>
      </c>
      <c r="G128" s="76" t="str">
        <f>IF(OR(E128="",INDEX(Sheet1!$AY:$AY,INT((ROWS($A$10:$A128)+1)/2)+1)=""),"",INDEX(Sheet1!$AY:$AY,INT((ROWS($A$10:$A128)+1)/2)+1))</f>
        <v/>
      </c>
      <c r="H128" s="74" t="str">
        <f>IF(INDEX(Sheet1!$AD:$AD,INT((ROWS($A$10:$A128)+1)/2)+1)="","",INDEX(Sheet1!$AD:$AD,INT((ROWS($A$10:$A128)+1)/2)+1))</f>
        <v/>
      </c>
      <c r="I128" s="76" t="str">
        <f>IF(INDEX(Sheet1!$AK:$AK,INT((ROWS($A$10:$A128)+1)/2)+1)="","",INDEX(Sheet1!$AK:$AK,INT((ROWS($A$10:$A128)+1)/2)+1))</f>
        <v/>
      </c>
      <c r="J128" s="90"/>
    </row>
    <row r="129" spans="1:10" ht="30" customHeight="1" x14ac:dyDescent="0.15">
      <c r="A129" s="74" t="str">
        <f>IF(E129="","",IF(E128="",INDEX(Sheet1!$AC:$AC,INT((ROWS($A$10:$A129)+1)/2)+1)&amp;"","〃"))</f>
        <v/>
      </c>
      <c r="B129" s="74" t="str">
        <f>IF(E129="","",IF(E128="",INDEX(Sheet1!$B:$B,INT((ROWS($A$10:$A129)+1)/2)+1)&amp;"","〃"))</f>
        <v/>
      </c>
      <c r="C129" s="74" t="str">
        <f>IF(E129="","",IF(E128="",INDEX(Sheet1!$CN:$CN,INT((ROWS($A$10:$A129)+1)/2)+1)&amp;"","〃"))</f>
        <v/>
      </c>
      <c r="D129" s="76" t="str">
        <f>IF(E129="","",IF(E128="",IF(INDEX(Sheet1!$N:$N,INT((ROWS($A$10:$A129)+1)/2)+1)="","",INDEX(Sheet1!$N:$N,INT((ROWS($A$10:$A129)+1)/2)+1)),"〃"))</f>
        <v/>
      </c>
      <c r="E129" s="74" t="str">
        <f>IF(INDEX(Sheet1!$BA:$BA,INT((ROWS($A$10:$A129)+1)/2)+1)&lt;&gt;"","わな猟","")</f>
        <v/>
      </c>
      <c r="F129" s="77" t="str">
        <f>IF(E129="","",INDEX(Sheet1!$BC:$BC,INT((ROWS($A$10:$A129)+1)/2)+1)&amp;"")</f>
        <v/>
      </c>
      <c r="G129" s="76" t="str">
        <f>IF(E129="","",IF(INDEX(Sheet1!$BM:$BM,INT((ROWS($A$10:$A129)+1)/2)+1)="","",INDEX(Sheet1!$BM:$BM,INT((ROWS($A$10:$A129)+1)/2)+1)))</f>
        <v/>
      </c>
      <c r="H129" s="78"/>
      <c r="I129" s="73"/>
      <c r="J129" s="90"/>
    </row>
    <row r="130" spans="1:10" s="71" customFormat="1" ht="30" customHeight="1" x14ac:dyDescent="0.15">
      <c r="A130" s="74" t="str">
        <f>IF(AND(INDEX(Sheet1!$AM:$AM,INT((ROWS($A$10:$A130)+1)/2)+1)="",INDEX(Sheet1!$BA:$BA,INT((ROWS($A$10:$A130)+1)/2)+1)&lt;&gt;""),"",INDEX(Sheet1!$AC:$AC,INT((ROWS($A$10:$A130)+1)/2)+1)&amp;"")</f>
        <v/>
      </c>
      <c r="B130" s="74" t="str">
        <f>IF(AND(INDEX(Sheet1!$AM:$AM,INT((ROWS($A$10:$A130)+1)/2)+1)="",INDEX(Sheet1!$BA:$BA,INT((ROWS($A$10:$A130)+1)/2)+1)&lt;&gt;""),"",INDEX(Sheet1!$B:$B,INT((ROWS($A$10:$A130)+1)/2)+1)&amp;"")</f>
        <v/>
      </c>
      <c r="C130" s="74" t="str">
        <f>IF(AND(INDEX(Sheet1!$AM:$AM,INT((ROWS($A$10:$A130)+1)/2)+1)="",INDEX(Sheet1!$BA:$BA,INT((ROWS($A$10:$A130)+1)/2)+1)&lt;&gt;""),"",INDEX(Sheet1!$CN:$CN,INT((ROWS($A$10:$A130)+1)/2)+1)&amp;"")</f>
        <v/>
      </c>
      <c r="D130" s="76" t="str">
        <f>IF(OR(AND(INDEX(Sheet1!$AM:$AM,INT((ROWS($A$10:$A130)+1)/2)+1)="",INDEX(Sheet1!$BA:$BA,INT((ROWS($A$10:$A130)+1)/2)+1)&lt;&gt;""),INDEX(Sheet1!$N:$N,INT((ROWS($A$10:$A130)+1)/2)+1)=""),"",INDEX(Sheet1!$N:$N,INT((ROWS($A$10:$A130)+1)/2)+1))</f>
        <v/>
      </c>
      <c r="E130" s="74" t="str">
        <f>IF(INDEX(Sheet1!$AM:$AM,INT((ROWS($A$10:$A130)+1)/2)+1)&lt;&gt;"","第一種","")</f>
        <v/>
      </c>
      <c r="F130" s="77" t="str">
        <f>IF(E130="","",INDEX(Sheet1!$AO:$AO,INT((ROWS($A$10:$A130)+1)/2)+1)&amp;"")</f>
        <v/>
      </c>
      <c r="G130" s="76" t="str">
        <f>IF(OR(E130="",INDEX(Sheet1!$AY:$AY,INT((ROWS($A$10:$A130)+1)/2)+1)=""),"",INDEX(Sheet1!$AY:$AY,INT((ROWS($A$10:$A130)+1)/2)+1))</f>
        <v/>
      </c>
      <c r="H130" s="74" t="str">
        <f>IF(INDEX(Sheet1!$AD:$AD,INT((ROWS($A$10:$A130)+1)/2)+1)="","",INDEX(Sheet1!$AD:$AD,INT((ROWS($A$10:$A130)+1)/2)+1))</f>
        <v/>
      </c>
      <c r="I130" s="76" t="str">
        <f>IF(INDEX(Sheet1!$AK:$AK,INT((ROWS($A$10:$A130)+1)/2)+1)="","",INDEX(Sheet1!$AK:$AK,INT((ROWS($A$10:$A130)+1)/2)+1))</f>
        <v/>
      </c>
      <c r="J130" s="90"/>
    </row>
    <row r="131" spans="1:10" ht="30" customHeight="1" x14ac:dyDescent="0.15">
      <c r="A131" s="74" t="str">
        <f>IF(E131="","",IF(E130="",INDEX(Sheet1!$AC:$AC,INT((ROWS($A$10:$A131)+1)/2)+1)&amp;"","〃"))</f>
        <v/>
      </c>
      <c r="B131" s="74" t="str">
        <f>IF(E131="","",IF(E130="",INDEX(Sheet1!$B:$B,INT((ROWS($A$10:$A131)+1)/2)+1)&amp;"","〃"))</f>
        <v/>
      </c>
      <c r="C131" s="74" t="str">
        <f>IF(E131="","",IF(E130="",INDEX(Sheet1!$CN:$CN,INT((ROWS($A$10:$A131)+1)/2)+1)&amp;"","〃"))</f>
        <v/>
      </c>
      <c r="D131" s="76" t="str">
        <f>IF(E131="","",IF(E130="",IF(INDEX(Sheet1!$N:$N,INT((ROWS($A$10:$A131)+1)/2)+1)="","",INDEX(Sheet1!$N:$N,INT((ROWS($A$10:$A131)+1)/2)+1)),"〃"))</f>
        <v/>
      </c>
      <c r="E131" s="74" t="str">
        <f>IF(INDEX(Sheet1!$BA:$BA,INT((ROWS($A$10:$A131)+1)/2)+1)&lt;&gt;"","わな猟","")</f>
        <v/>
      </c>
      <c r="F131" s="77" t="str">
        <f>IF(E131="","",INDEX(Sheet1!$BC:$BC,INT((ROWS($A$10:$A131)+1)/2)+1)&amp;"")</f>
        <v/>
      </c>
      <c r="G131" s="76" t="str">
        <f>IF(E131="","",IF(INDEX(Sheet1!$BM:$BM,INT((ROWS($A$10:$A131)+1)/2)+1)="","",INDEX(Sheet1!$BM:$BM,INT((ROWS($A$10:$A131)+1)/2)+1)))</f>
        <v/>
      </c>
      <c r="H131" s="78"/>
      <c r="I131" s="73"/>
      <c r="J131" s="90"/>
    </row>
    <row r="132" spans="1:10" s="71" customFormat="1" ht="30" customHeight="1" x14ac:dyDescent="0.15">
      <c r="A132" s="74" t="str">
        <f>IF(AND(INDEX(Sheet1!$AM:$AM,INT((ROWS($A$10:$A132)+1)/2)+1)="",INDEX(Sheet1!$BA:$BA,INT((ROWS($A$10:$A132)+1)/2)+1)&lt;&gt;""),"",INDEX(Sheet1!$AC:$AC,INT((ROWS($A$10:$A132)+1)/2)+1)&amp;"")</f>
        <v/>
      </c>
      <c r="B132" s="74" t="str">
        <f>IF(AND(INDEX(Sheet1!$AM:$AM,INT((ROWS($A$10:$A132)+1)/2)+1)="",INDEX(Sheet1!$BA:$BA,INT((ROWS($A$10:$A132)+1)/2)+1)&lt;&gt;""),"",INDEX(Sheet1!$B:$B,INT((ROWS($A$10:$A132)+1)/2)+1)&amp;"")</f>
        <v/>
      </c>
      <c r="C132" s="74" t="str">
        <f>IF(AND(INDEX(Sheet1!$AM:$AM,INT((ROWS($A$10:$A132)+1)/2)+1)="",INDEX(Sheet1!$BA:$BA,INT((ROWS($A$10:$A132)+1)/2)+1)&lt;&gt;""),"",INDEX(Sheet1!$CN:$CN,INT((ROWS($A$10:$A132)+1)/2)+1)&amp;"")</f>
        <v/>
      </c>
      <c r="D132" s="76" t="str">
        <f>IF(OR(AND(INDEX(Sheet1!$AM:$AM,INT((ROWS($A$10:$A132)+1)/2)+1)="",INDEX(Sheet1!$BA:$BA,INT((ROWS($A$10:$A132)+1)/2)+1)&lt;&gt;""),INDEX(Sheet1!$N:$N,INT((ROWS($A$10:$A132)+1)/2)+1)=""),"",INDEX(Sheet1!$N:$N,INT((ROWS($A$10:$A132)+1)/2)+1))</f>
        <v/>
      </c>
      <c r="E132" s="74" t="str">
        <f>IF(INDEX(Sheet1!$AM:$AM,INT((ROWS($A$10:$A132)+1)/2)+1)&lt;&gt;"","第一種","")</f>
        <v/>
      </c>
      <c r="F132" s="77" t="str">
        <f>IF(E132="","",INDEX(Sheet1!$AO:$AO,INT((ROWS($A$10:$A132)+1)/2)+1)&amp;"")</f>
        <v/>
      </c>
      <c r="G132" s="76" t="str">
        <f>IF(OR(E132="",INDEX(Sheet1!$AY:$AY,INT((ROWS($A$10:$A132)+1)/2)+1)=""),"",INDEX(Sheet1!$AY:$AY,INT((ROWS($A$10:$A132)+1)/2)+1))</f>
        <v/>
      </c>
      <c r="H132" s="74" t="str">
        <f>IF(INDEX(Sheet1!$AD:$AD,INT((ROWS($A$10:$A132)+1)/2)+1)="","",INDEX(Sheet1!$AD:$AD,INT((ROWS($A$10:$A132)+1)/2)+1))</f>
        <v/>
      </c>
      <c r="I132" s="76" t="str">
        <f>IF(INDEX(Sheet1!$AK:$AK,INT((ROWS($A$10:$A132)+1)/2)+1)="","",INDEX(Sheet1!$AK:$AK,INT((ROWS($A$10:$A132)+1)/2)+1))</f>
        <v/>
      </c>
      <c r="J132" s="90"/>
    </row>
    <row r="133" spans="1:10" ht="30" customHeight="1" x14ac:dyDescent="0.15">
      <c r="A133" s="74" t="str">
        <f>IF(E133="","",IF(E132="",INDEX(Sheet1!$AC:$AC,INT((ROWS($A$10:$A133)+1)/2)+1)&amp;"","〃"))</f>
        <v/>
      </c>
      <c r="B133" s="74" t="str">
        <f>IF(E133="","",IF(E132="",INDEX(Sheet1!$B:$B,INT((ROWS($A$10:$A133)+1)/2)+1)&amp;"","〃"))</f>
        <v/>
      </c>
      <c r="C133" s="74" t="str">
        <f>IF(E133="","",IF(E132="",INDEX(Sheet1!$CN:$CN,INT((ROWS($A$10:$A133)+1)/2)+1)&amp;"","〃"))</f>
        <v/>
      </c>
      <c r="D133" s="76" t="str">
        <f>IF(E133="","",IF(E132="",IF(INDEX(Sheet1!$N:$N,INT((ROWS($A$10:$A133)+1)/2)+1)="","",INDEX(Sheet1!$N:$N,INT((ROWS($A$10:$A133)+1)/2)+1)),"〃"))</f>
        <v/>
      </c>
      <c r="E133" s="74" t="str">
        <f>IF(INDEX(Sheet1!$BA:$BA,INT((ROWS($A$10:$A133)+1)/2)+1)&lt;&gt;"","わな猟","")</f>
        <v/>
      </c>
      <c r="F133" s="77" t="str">
        <f>IF(E133="","",INDEX(Sheet1!$BC:$BC,INT((ROWS($A$10:$A133)+1)/2)+1)&amp;"")</f>
        <v/>
      </c>
      <c r="G133" s="76" t="str">
        <f>IF(E133="","",IF(INDEX(Sheet1!$BM:$BM,INT((ROWS($A$10:$A133)+1)/2)+1)="","",INDEX(Sheet1!$BM:$BM,INT((ROWS($A$10:$A133)+1)/2)+1)))</f>
        <v/>
      </c>
      <c r="H133" s="78"/>
      <c r="I133" s="73"/>
      <c r="J133" s="90"/>
    </row>
    <row r="134" spans="1:10" s="71" customFormat="1" ht="30" customHeight="1" x14ac:dyDescent="0.15">
      <c r="A134" s="74" t="str">
        <f>IF(AND(INDEX(Sheet1!$AM:$AM,INT((ROWS($A$10:$A134)+1)/2)+1)="",INDEX(Sheet1!$BA:$BA,INT((ROWS($A$10:$A134)+1)/2)+1)&lt;&gt;""),"",INDEX(Sheet1!$AC:$AC,INT((ROWS($A$10:$A134)+1)/2)+1)&amp;"")</f>
        <v/>
      </c>
      <c r="B134" s="74" t="str">
        <f>IF(AND(INDEX(Sheet1!$AM:$AM,INT((ROWS($A$10:$A134)+1)/2)+1)="",INDEX(Sheet1!$BA:$BA,INT((ROWS($A$10:$A134)+1)/2)+1)&lt;&gt;""),"",INDEX(Sheet1!$B:$B,INT((ROWS($A$10:$A134)+1)/2)+1)&amp;"")</f>
        <v/>
      </c>
      <c r="C134" s="74" t="str">
        <f>IF(AND(INDEX(Sheet1!$AM:$AM,INT((ROWS($A$10:$A134)+1)/2)+1)="",INDEX(Sheet1!$BA:$BA,INT((ROWS($A$10:$A134)+1)/2)+1)&lt;&gt;""),"",INDEX(Sheet1!$CN:$CN,INT((ROWS($A$10:$A134)+1)/2)+1)&amp;"")</f>
        <v/>
      </c>
      <c r="D134" s="76" t="str">
        <f>IF(OR(AND(INDEX(Sheet1!$AM:$AM,INT((ROWS($A$10:$A134)+1)/2)+1)="",INDEX(Sheet1!$BA:$BA,INT((ROWS($A$10:$A134)+1)/2)+1)&lt;&gt;""),INDEX(Sheet1!$N:$N,INT((ROWS($A$10:$A134)+1)/2)+1)=""),"",INDEX(Sheet1!$N:$N,INT((ROWS($A$10:$A134)+1)/2)+1))</f>
        <v/>
      </c>
      <c r="E134" s="74" t="str">
        <f>IF(INDEX(Sheet1!$AM:$AM,INT((ROWS($A$10:$A134)+1)/2)+1)&lt;&gt;"","第一種","")</f>
        <v/>
      </c>
      <c r="F134" s="77" t="str">
        <f>IF(E134="","",INDEX(Sheet1!$AO:$AO,INT((ROWS($A$10:$A134)+1)/2)+1)&amp;"")</f>
        <v/>
      </c>
      <c r="G134" s="76" t="str">
        <f>IF(OR(E134="",INDEX(Sheet1!$AY:$AY,INT((ROWS($A$10:$A134)+1)/2)+1)=""),"",INDEX(Sheet1!$AY:$AY,INT((ROWS($A$10:$A134)+1)/2)+1))</f>
        <v/>
      </c>
      <c r="H134" s="74" t="str">
        <f>IF(INDEX(Sheet1!$AD:$AD,INT((ROWS($A$10:$A134)+1)/2)+1)="","",INDEX(Sheet1!$AD:$AD,INT((ROWS($A$10:$A134)+1)/2)+1))</f>
        <v/>
      </c>
      <c r="I134" s="76" t="str">
        <f>IF(INDEX(Sheet1!$AK:$AK,INT((ROWS($A$10:$A134)+1)/2)+1)="","",INDEX(Sheet1!$AK:$AK,INT((ROWS($A$10:$A134)+1)/2)+1))</f>
        <v/>
      </c>
      <c r="J134" s="90"/>
    </row>
    <row r="135" spans="1:10" ht="30" customHeight="1" x14ac:dyDescent="0.15">
      <c r="A135" s="74" t="str">
        <f>IF(E135="","",IF(E134="",INDEX(Sheet1!$AC:$AC,INT((ROWS($A$10:$A135)+1)/2)+1)&amp;"","〃"))</f>
        <v/>
      </c>
      <c r="B135" s="74" t="str">
        <f>IF(E135="","",IF(E134="",INDEX(Sheet1!$B:$B,INT((ROWS($A$10:$A135)+1)/2)+1)&amp;"","〃"))</f>
        <v/>
      </c>
      <c r="C135" s="74" t="str">
        <f>IF(E135="","",IF(E134="",INDEX(Sheet1!$CN:$CN,INT((ROWS($A$10:$A135)+1)/2)+1)&amp;"","〃"))</f>
        <v/>
      </c>
      <c r="D135" s="76" t="str">
        <f>IF(E135="","",IF(E134="",IF(INDEX(Sheet1!$N:$N,INT((ROWS($A$10:$A135)+1)/2)+1)="","",INDEX(Sheet1!$N:$N,INT((ROWS($A$10:$A135)+1)/2)+1)),"〃"))</f>
        <v/>
      </c>
      <c r="E135" s="74" t="str">
        <f>IF(INDEX(Sheet1!$BA:$BA,INT((ROWS($A$10:$A135)+1)/2)+1)&lt;&gt;"","わな猟","")</f>
        <v/>
      </c>
      <c r="F135" s="77" t="str">
        <f>IF(E135="","",INDEX(Sheet1!$BC:$BC,INT((ROWS($A$10:$A135)+1)/2)+1)&amp;"")</f>
        <v/>
      </c>
      <c r="G135" s="76" t="str">
        <f>IF(E135="","",IF(INDEX(Sheet1!$BM:$BM,INT((ROWS($A$10:$A135)+1)/2)+1)="","",INDEX(Sheet1!$BM:$BM,INT((ROWS($A$10:$A135)+1)/2)+1)))</f>
        <v/>
      </c>
      <c r="H135" s="78"/>
      <c r="I135" s="73"/>
      <c r="J135" s="90"/>
    </row>
    <row r="136" spans="1:10" s="71" customFormat="1" ht="30" customHeight="1" x14ac:dyDescent="0.15">
      <c r="A136" s="74" t="str">
        <f>IF(AND(INDEX(Sheet1!$AM:$AM,INT((ROWS($A$10:$A136)+1)/2)+1)="",INDEX(Sheet1!$BA:$BA,INT((ROWS($A$10:$A136)+1)/2)+1)&lt;&gt;""),"",INDEX(Sheet1!$AC:$AC,INT((ROWS($A$10:$A136)+1)/2)+1)&amp;"")</f>
        <v/>
      </c>
      <c r="B136" s="74" t="str">
        <f>IF(AND(INDEX(Sheet1!$AM:$AM,INT((ROWS($A$10:$A136)+1)/2)+1)="",INDEX(Sheet1!$BA:$BA,INT((ROWS($A$10:$A136)+1)/2)+1)&lt;&gt;""),"",INDEX(Sheet1!$B:$B,INT((ROWS($A$10:$A136)+1)/2)+1)&amp;"")</f>
        <v/>
      </c>
      <c r="C136" s="74" t="str">
        <f>IF(AND(INDEX(Sheet1!$AM:$AM,INT((ROWS($A$10:$A136)+1)/2)+1)="",INDEX(Sheet1!$BA:$BA,INT((ROWS($A$10:$A136)+1)/2)+1)&lt;&gt;""),"",INDEX(Sheet1!$CN:$CN,INT((ROWS($A$10:$A136)+1)/2)+1)&amp;"")</f>
        <v/>
      </c>
      <c r="D136" s="76" t="str">
        <f>IF(OR(AND(INDEX(Sheet1!$AM:$AM,INT((ROWS($A$10:$A136)+1)/2)+1)="",INDEX(Sheet1!$BA:$BA,INT((ROWS($A$10:$A136)+1)/2)+1)&lt;&gt;""),INDEX(Sheet1!$N:$N,INT((ROWS($A$10:$A136)+1)/2)+1)=""),"",INDEX(Sheet1!$N:$N,INT((ROWS($A$10:$A136)+1)/2)+1))</f>
        <v/>
      </c>
      <c r="E136" s="74" t="str">
        <f>IF(INDEX(Sheet1!$AM:$AM,INT((ROWS($A$10:$A136)+1)/2)+1)&lt;&gt;"","第一種","")</f>
        <v/>
      </c>
      <c r="F136" s="77" t="str">
        <f>IF(E136="","",INDEX(Sheet1!$AO:$AO,INT((ROWS($A$10:$A136)+1)/2)+1)&amp;"")</f>
        <v/>
      </c>
      <c r="G136" s="76" t="str">
        <f>IF(OR(E136="",INDEX(Sheet1!$AY:$AY,INT((ROWS($A$10:$A136)+1)/2)+1)=""),"",INDEX(Sheet1!$AY:$AY,INT((ROWS($A$10:$A136)+1)/2)+1))</f>
        <v/>
      </c>
      <c r="H136" s="74" t="str">
        <f>IF(INDEX(Sheet1!$AD:$AD,INT((ROWS($A$10:$A136)+1)/2)+1)="","",INDEX(Sheet1!$AD:$AD,INT((ROWS($A$10:$A136)+1)/2)+1))</f>
        <v/>
      </c>
      <c r="I136" s="76" t="str">
        <f>IF(INDEX(Sheet1!$AK:$AK,INT((ROWS($A$10:$A136)+1)/2)+1)="","",INDEX(Sheet1!$AK:$AK,INT((ROWS($A$10:$A136)+1)/2)+1))</f>
        <v/>
      </c>
      <c r="J136" s="90"/>
    </row>
    <row r="137" spans="1:10" ht="30" customHeight="1" x14ac:dyDescent="0.15">
      <c r="A137" s="74" t="str">
        <f>IF(E137="","",IF(E136="",INDEX(Sheet1!$AC:$AC,INT((ROWS($A$10:$A137)+1)/2)+1)&amp;"","〃"))</f>
        <v/>
      </c>
      <c r="B137" s="74" t="str">
        <f>IF(E137="","",IF(E136="",INDEX(Sheet1!$B:$B,INT((ROWS($A$10:$A137)+1)/2)+1)&amp;"","〃"))</f>
        <v/>
      </c>
      <c r="C137" s="74" t="str">
        <f>IF(E137="","",IF(E136="",INDEX(Sheet1!$CN:$CN,INT((ROWS($A$10:$A137)+1)/2)+1)&amp;"","〃"))</f>
        <v/>
      </c>
      <c r="D137" s="76" t="str">
        <f>IF(E137="","",IF(E136="",IF(INDEX(Sheet1!$N:$N,INT((ROWS($A$10:$A137)+1)/2)+1)="","",INDEX(Sheet1!$N:$N,INT((ROWS($A$10:$A137)+1)/2)+1)),"〃"))</f>
        <v/>
      </c>
      <c r="E137" s="74" t="str">
        <f>IF(INDEX(Sheet1!$BA:$BA,INT((ROWS($A$10:$A137)+1)/2)+1)&lt;&gt;"","わな猟","")</f>
        <v/>
      </c>
      <c r="F137" s="77" t="str">
        <f>IF(E137="","",INDEX(Sheet1!$BC:$BC,INT((ROWS($A$10:$A137)+1)/2)+1)&amp;"")</f>
        <v/>
      </c>
      <c r="G137" s="76" t="str">
        <f>IF(E137="","",IF(INDEX(Sheet1!$BM:$BM,INT((ROWS($A$10:$A137)+1)/2)+1)="","",INDEX(Sheet1!$BM:$BM,INT((ROWS($A$10:$A137)+1)/2)+1)))</f>
        <v/>
      </c>
      <c r="H137" s="78"/>
      <c r="I137" s="73"/>
      <c r="J137" s="90"/>
    </row>
    <row r="138" spans="1:10" s="71" customFormat="1" ht="30" customHeight="1" x14ac:dyDescent="0.15">
      <c r="A138" s="74" t="str">
        <f>IF(AND(INDEX(Sheet1!$AM:$AM,INT((ROWS($A$10:$A138)+1)/2)+1)="",INDEX(Sheet1!$BA:$BA,INT((ROWS($A$10:$A138)+1)/2)+1)&lt;&gt;""),"",INDEX(Sheet1!$AC:$AC,INT((ROWS($A$10:$A138)+1)/2)+1)&amp;"")</f>
        <v/>
      </c>
      <c r="B138" s="74" t="str">
        <f>IF(AND(INDEX(Sheet1!$AM:$AM,INT((ROWS($A$10:$A138)+1)/2)+1)="",INDEX(Sheet1!$BA:$BA,INT((ROWS($A$10:$A138)+1)/2)+1)&lt;&gt;""),"",INDEX(Sheet1!$B:$B,INT((ROWS($A$10:$A138)+1)/2)+1)&amp;"")</f>
        <v/>
      </c>
      <c r="C138" s="74" t="str">
        <f>IF(AND(INDEX(Sheet1!$AM:$AM,INT((ROWS($A$10:$A138)+1)/2)+1)="",INDEX(Sheet1!$BA:$BA,INT((ROWS($A$10:$A138)+1)/2)+1)&lt;&gt;""),"",INDEX(Sheet1!$CN:$CN,INT((ROWS($A$10:$A138)+1)/2)+1)&amp;"")</f>
        <v/>
      </c>
      <c r="D138" s="76" t="str">
        <f>IF(OR(AND(INDEX(Sheet1!$AM:$AM,INT((ROWS($A$10:$A138)+1)/2)+1)="",INDEX(Sheet1!$BA:$BA,INT((ROWS($A$10:$A138)+1)/2)+1)&lt;&gt;""),INDEX(Sheet1!$N:$N,INT((ROWS($A$10:$A138)+1)/2)+1)=""),"",INDEX(Sheet1!$N:$N,INT((ROWS($A$10:$A138)+1)/2)+1))</f>
        <v/>
      </c>
      <c r="E138" s="74" t="str">
        <f>IF(INDEX(Sheet1!$AM:$AM,INT((ROWS($A$10:$A138)+1)/2)+1)&lt;&gt;"","第一種","")</f>
        <v/>
      </c>
      <c r="F138" s="77" t="str">
        <f>IF(E138="","",INDEX(Sheet1!$AO:$AO,INT((ROWS($A$10:$A138)+1)/2)+1)&amp;"")</f>
        <v/>
      </c>
      <c r="G138" s="76" t="str">
        <f>IF(OR(E138="",INDEX(Sheet1!$AY:$AY,INT((ROWS($A$10:$A138)+1)/2)+1)=""),"",INDEX(Sheet1!$AY:$AY,INT((ROWS($A$10:$A138)+1)/2)+1))</f>
        <v/>
      </c>
      <c r="H138" s="74" t="str">
        <f>IF(INDEX(Sheet1!$AD:$AD,INT((ROWS($A$10:$A138)+1)/2)+1)="","",INDEX(Sheet1!$AD:$AD,INT((ROWS($A$10:$A138)+1)/2)+1))</f>
        <v/>
      </c>
      <c r="I138" s="76" t="str">
        <f>IF(INDEX(Sheet1!$AK:$AK,INT((ROWS($A$10:$A138)+1)/2)+1)="","",INDEX(Sheet1!$AK:$AK,INT((ROWS($A$10:$A138)+1)/2)+1))</f>
        <v/>
      </c>
      <c r="J138" s="90"/>
    </row>
    <row r="139" spans="1:10" ht="30" customHeight="1" x14ac:dyDescent="0.15">
      <c r="A139" s="74" t="str">
        <f>IF(E139="","",IF(E138="",INDEX(Sheet1!$AC:$AC,INT((ROWS($A$10:$A139)+1)/2)+1)&amp;"","〃"))</f>
        <v/>
      </c>
      <c r="B139" s="74" t="str">
        <f>IF(E139="","",IF(E138="",INDEX(Sheet1!$B:$B,INT((ROWS($A$10:$A139)+1)/2)+1)&amp;"","〃"))</f>
        <v/>
      </c>
      <c r="C139" s="74" t="str">
        <f>IF(E139="","",IF(E138="",INDEX(Sheet1!$CN:$CN,INT((ROWS($A$10:$A139)+1)/2)+1)&amp;"","〃"))</f>
        <v/>
      </c>
      <c r="D139" s="76" t="str">
        <f>IF(E139="","",IF(E138="",IF(INDEX(Sheet1!$N:$N,INT((ROWS($A$10:$A139)+1)/2)+1)="","",INDEX(Sheet1!$N:$N,INT((ROWS($A$10:$A139)+1)/2)+1)),"〃"))</f>
        <v/>
      </c>
      <c r="E139" s="74" t="str">
        <f>IF(INDEX(Sheet1!$BA:$BA,INT((ROWS($A$10:$A139)+1)/2)+1)&lt;&gt;"","わな猟","")</f>
        <v/>
      </c>
      <c r="F139" s="77" t="str">
        <f>IF(E139="","",INDEX(Sheet1!$BC:$BC,INT((ROWS($A$10:$A139)+1)/2)+1)&amp;"")</f>
        <v/>
      </c>
      <c r="G139" s="76" t="str">
        <f>IF(E139="","",IF(INDEX(Sheet1!$BM:$BM,INT((ROWS($A$10:$A139)+1)/2)+1)="","",INDEX(Sheet1!$BM:$BM,INT((ROWS($A$10:$A139)+1)/2)+1)))</f>
        <v/>
      </c>
      <c r="H139" s="78"/>
      <c r="I139" s="73"/>
      <c r="J139" s="90"/>
    </row>
    <row r="140" spans="1:10" s="71" customFormat="1" ht="30" customHeight="1" x14ac:dyDescent="0.15">
      <c r="A140" s="74" t="str">
        <f>IF(AND(INDEX(Sheet1!$AM:$AM,INT((ROWS($A$10:$A140)+1)/2)+1)="",INDEX(Sheet1!$BA:$BA,INT((ROWS($A$10:$A140)+1)/2)+1)&lt;&gt;""),"",INDEX(Sheet1!$AC:$AC,INT((ROWS($A$10:$A140)+1)/2)+1)&amp;"")</f>
        <v/>
      </c>
      <c r="B140" s="74" t="str">
        <f>IF(AND(INDEX(Sheet1!$AM:$AM,INT((ROWS($A$10:$A140)+1)/2)+1)="",INDEX(Sheet1!$BA:$BA,INT((ROWS($A$10:$A140)+1)/2)+1)&lt;&gt;""),"",INDEX(Sheet1!$B:$B,INT((ROWS($A$10:$A140)+1)/2)+1)&amp;"")</f>
        <v/>
      </c>
      <c r="C140" s="74" t="str">
        <f>IF(AND(INDEX(Sheet1!$AM:$AM,INT((ROWS($A$10:$A140)+1)/2)+1)="",INDEX(Sheet1!$BA:$BA,INT((ROWS($A$10:$A140)+1)/2)+1)&lt;&gt;""),"",INDEX(Sheet1!$CN:$CN,INT((ROWS($A$10:$A140)+1)/2)+1)&amp;"")</f>
        <v/>
      </c>
      <c r="D140" s="76" t="str">
        <f>IF(OR(AND(INDEX(Sheet1!$AM:$AM,INT((ROWS($A$10:$A140)+1)/2)+1)="",INDEX(Sheet1!$BA:$BA,INT((ROWS($A$10:$A140)+1)/2)+1)&lt;&gt;""),INDEX(Sheet1!$N:$N,INT((ROWS($A$10:$A140)+1)/2)+1)=""),"",INDEX(Sheet1!$N:$N,INT((ROWS($A$10:$A140)+1)/2)+1))</f>
        <v/>
      </c>
      <c r="E140" s="74" t="str">
        <f>IF(INDEX(Sheet1!$AM:$AM,INT((ROWS($A$10:$A140)+1)/2)+1)&lt;&gt;"","第一種","")</f>
        <v/>
      </c>
      <c r="F140" s="77" t="str">
        <f>IF(E140="","",INDEX(Sheet1!$AO:$AO,INT((ROWS($A$10:$A140)+1)/2)+1)&amp;"")</f>
        <v/>
      </c>
      <c r="G140" s="76" t="str">
        <f>IF(OR(E140="",INDEX(Sheet1!$AY:$AY,INT((ROWS($A$10:$A140)+1)/2)+1)=""),"",INDEX(Sheet1!$AY:$AY,INT((ROWS($A$10:$A140)+1)/2)+1))</f>
        <v/>
      </c>
      <c r="H140" s="74" t="str">
        <f>IF(INDEX(Sheet1!$AD:$AD,INT((ROWS($A$10:$A140)+1)/2)+1)="","",INDEX(Sheet1!$AD:$AD,INT((ROWS($A$10:$A140)+1)/2)+1))</f>
        <v/>
      </c>
      <c r="I140" s="76" t="str">
        <f>IF(INDEX(Sheet1!$AK:$AK,INT((ROWS($A$10:$A140)+1)/2)+1)="","",INDEX(Sheet1!$AK:$AK,INT((ROWS($A$10:$A140)+1)/2)+1))</f>
        <v/>
      </c>
      <c r="J140" s="90"/>
    </row>
    <row r="141" spans="1:10" ht="30" customHeight="1" x14ac:dyDescent="0.15">
      <c r="A141" s="74" t="str">
        <f>IF(E141="","",IF(E140="",INDEX(Sheet1!$AC:$AC,INT((ROWS($A$10:$A141)+1)/2)+1)&amp;"","〃"))</f>
        <v/>
      </c>
      <c r="B141" s="74" t="str">
        <f>IF(E141="","",IF(E140="",INDEX(Sheet1!$B:$B,INT((ROWS($A$10:$A141)+1)/2)+1)&amp;"","〃"))</f>
        <v/>
      </c>
      <c r="C141" s="74" t="str">
        <f>IF(E141="","",IF(E140="",INDEX(Sheet1!$CN:$CN,INT((ROWS($A$10:$A141)+1)/2)+1)&amp;"","〃"))</f>
        <v/>
      </c>
      <c r="D141" s="76" t="str">
        <f>IF(E141="","",IF(E140="",IF(INDEX(Sheet1!$N:$N,INT((ROWS($A$10:$A141)+1)/2)+1)="","",INDEX(Sheet1!$N:$N,INT((ROWS($A$10:$A141)+1)/2)+1)),"〃"))</f>
        <v/>
      </c>
      <c r="E141" s="74" t="str">
        <f>IF(INDEX(Sheet1!$BA:$BA,INT((ROWS($A$10:$A141)+1)/2)+1)&lt;&gt;"","わな猟","")</f>
        <v/>
      </c>
      <c r="F141" s="77" t="str">
        <f>IF(E141="","",INDEX(Sheet1!$BC:$BC,INT((ROWS($A$10:$A141)+1)/2)+1)&amp;"")</f>
        <v/>
      </c>
      <c r="G141" s="76" t="str">
        <f>IF(E141="","",IF(INDEX(Sheet1!$BM:$BM,INT((ROWS($A$10:$A141)+1)/2)+1)="","",INDEX(Sheet1!$BM:$BM,INT((ROWS($A$10:$A141)+1)/2)+1)))</f>
        <v/>
      </c>
      <c r="H141" s="78"/>
      <c r="I141" s="73"/>
      <c r="J141" s="90"/>
    </row>
    <row r="142" spans="1:10" s="71" customFormat="1" ht="30" customHeight="1" x14ac:dyDescent="0.15">
      <c r="A142" s="74" t="str">
        <f>IF(AND(INDEX(Sheet1!$AM:$AM,INT((ROWS($A$10:$A142)+1)/2)+1)="",INDEX(Sheet1!$BA:$BA,INT((ROWS($A$10:$A142)+1)/2)+1)&lt;&gt;""),"",INDEX(Sheet1!$AC:$AC,INT((ROWS($A$10:$A142)+1)/2)+1)&amp;"")</f>
        <v/>
      </c>
      <c r="B142" s="74" t="str">
        <f>IF(AND(INDEX(Sheet1!$AM:$AM,INT((ROWS($A$10:$A142)+1)/2)+1)="",INDEX(Sheet1!$BA:$BA,INT((ROWS($A$10:$A142)+1)/2)+1)&lt;&gt;""),"",INDEX(Sheet1!$B:$B,INT((ROWS($A$10:$A142)+1)/2)+1)&amp;"")</f>
        <v/>
      </c>
      <c r="C142" s="74" t="str">
        <f>IF(AND(INDEX(Sheet1!$AM:$AM,INT((ROWS($A$10:$A142)+1)/2)+1)="",INDEX(Sheet1!$BA:$BA,INT((ROWS($A$10:$A142)+1)/2)+1)&lt;&gt;""),"",INDEX(Sheet1!$CN:$CN,INT((ROWS($A$10:$A142)+1)/2)+1)&amp;"")</f>
        <v/>
      </c>
      <c r="D142" s="76" t="str">
        <f>IF(OR(AND(INDEX(Sheet1!$AM:$AM,INT((ROWS($A$10:$A142)+1)/2)+1)="",INDEX(Sheet1!$BA:$BA,INT((ROWS($A$10:$A142)+1)/2)+1)&lt;&gt;""),INDEX(Sheet1!$N:$N,INT((ROWS($A$10:$A142)+1)/2)+1)=""),"",INDEX(Sheet1!$N:$N,INT((ROWS($A$10:$A142)+1)/2)+1))</f>
        <v/>
      </c>
      <c r="E142" s="74" t="str">
        <f>IF(INDEX(Sheet1!$AM:$AM,INT((ROWS($A$10:$A142)+1)/2)+1)&lt;&gt;"","第一種","")</f>
        <v/>
      </c>
      <c r="F142" s="77" t="str">
        <f>IF(E142="","",INDEX(Sheet1!$AO:$AO,INT((ROWS($A$10:$A142)+1)/2)+1)&amp;"")</f>
        <v/>
      </c>
      <c r="G142" s="76" t="str">
        <f>IF(OR(E142="",INDEX(Sheet1!$AY:$AY,INT((ROWS($A$10:$A142)+1)/2)+1)=""),"",INDEX(Sheet1!$AY:$AY,INT((ROWS($A$10:$A142)+1)/2)+1))</f>
        <v/>
      </c>
      <c r="H142" s="74" t="str">
        <f>IF(INDEX(Sheet1!$AD:$AD,INT((ROWS($A$10:$A142)+1)/2)+1)="","",INDEX(Sheet1!$AD:$AD,INT((ROWS($A$10:$A142)+1)/2)+1))</f>
        <v/>
      </c>
      <c r="I142" s="76" t="str">
        <f>IF(INDEX(Sheet1!$AK:$AK,INT((ROWS($A$10:$A142)+1)/2)+1)="","",INDEX(Sheet1!$AK:$AK,INT((ROWS($A$10:$A142)+1)/2)+1))</f>
        <v/>
      </c>
      <c r="J142" s="90"/>
    </row>
    <row r="143" spans="1:10" ht="30" customHeight="1" x14ac:dyDescent="0.15">
      <c r="A143" s="74" t="str">
        <f>IF(E143="","",IF(E142="",INDEX(Sheet1!$AC:$AC,INT((ROWS($A$10:$A143)+1)/2)+1)&amp;"","〃"))</f>
        <v/>
      </c>
      <c r="B143" s="74" t="str">
        <f>IF(E143="","",IF(E142="",INDEX(Sheet1!$B:$B,INT((ROWS($A$10:$A143)+1)/2)+1)&amp;"","〃"))</f>
        <v/>
      </c>
      <c r="C143" s="74" t="str">
        <f>IF(E143="","",IF(E142="",INDEX(Sheet1!$CN:$CN,INT((ROWS($A$10:$A143)+1)/2)+1)&amp;"","〃"))</f>
        <v/>
      </c>
      <c r="D143" s="76" t="str">
        <f>IF(E143="","",IF(E142="",IF(INDEX(Sheet1!$N:$N,INT((ROWS($A$10:$A143)+1)/2)+1)="","",INDEX(Sheet1!$N:$N,INT((ROWS($A$10:$A143)+1)/2)+1)),"〃"))</f>
        <v/>
      </c>
      <c r="E143" s="74" t="str">
        <f>IF(INDEX(Sheet1!$BA:$BA,INT((ROWS($A$10:$A143)+1)/2)+1)&lt;&gt;"","わな猟","")</f>
        <v/>
      </c>
      <c r="F143" s="77" t="str">
        <f>IF(E143="","",INDEX(Sheet1!$BC:$BC,INT((ROWS($A$10:$A143)+1)/2)+1)&amp;"")</f>
        <v/>
      </c>
      <c r="G143" s="76" t="str">
        <f>IF(E143="","",IF(INDEX(Sheet1!$BM:$BM,INT((ROWS($A$10:$A143)+1)/2)+1)="","",INDEX(Sheet1!$BM:$BM,INT((ROWS($A$10:$A143)+1)/2)+1)))</f>
        <v/>
      </c>
      <c r="H143" s="78"/>
      <c r="I143" s="73"/>
      <c r="J143" s="90"/>
    </row>
    <row r="144" spans="1:10" s="71" customFormat="1" ht="30" customHeight="1" x14ac:dyDescent="0.15">
      <c r="A144" s="74" t="str">
        <f>IF(AND(INDEX(Sheet1!$AM:$AM,INT((ROWS($A$10:$A144)+1)/2)+1)="",INDEX(Sheet1!$BA:$BA,INT((ROWS($A$10:$A144)+1)/2)+1)&lt;&gt;""),"",INDEX(Sheet1!$AC:$AC,INT((ROWS($A$10:$A144)+1)/2)+1)&amp;"")</f>
        <v/>
      </c>
      <c r="B144" s="74" t="str">
        <f>IF(AND(INDEX(Sheet1!$AM:$AM,INT((ROWS($A$10:$A144)+1)/2)+1)="",INDEX(Sheet1!$BA:$BA,INT((ROWS($A$10:$A144)+1)/2)+1)&lt;&gt;""),"",INDEX(Sheet1!$B:$B,INT((ROWS($A$10:$A144)+1)/2)+1)&amp;"")</f>
        <v/>
      </c>
      <c r="C144" s="74" t="str">
        <f>IF(AND(INDEX(Sheet1!$AM:$AM,INT((ROWS($A$10:$A144)+1)/2)+1)="",INDEX(Sheet1!$BA:$BA,INT((ROWS($A$10:$A144)+1)/2)+1)&lt;&gt;""),"",INDEX(Sheet1!$CN:$CN,INT((ROWS($A$10:$A144)+1)/2)+1)&amp;"")</f>
        <v/>
      </c>
      <c r="D144" s="76" t="str">
        <f>IF(OR(AND(INDEX(Sheet1!$AM:$AM,INT((ROWS($A$10:$A144)+1)/2)+1)="",INDEX(Sheet1!$BA:$BA,INT((ROWS($A$10:$A144)+1)/2)+1)&lt;&gt;""),INDEX(Sheet1!$N:$N,INT((ROWS($A$10:$A144)+1)/2)+1)=""),"",INDEX(Sheet1!$N:$N,INT((ROWS($A$10:$A144)+1)/2)+1))</f>
        <v/>
      </c>
      <c r="E144" s="74" t="str">
        <f>IF(INDEX(Sheet1!$AM:$AM,INT((ROWS($A$10:$A144)+1)/2)+1)&lt;&gt;"","第一種","")</f>
        <v/>
      </c>
      <c r="F144" s="77" t="str">
        <f>IF(E144="","",INDEX(Sheet1!$AO:$AO,INT((ROWS($A$10:$A144)+1)/2)+1)&amp;"")</f>
        <v/>
      </c>
      <c r="G144" s="76" t="str">
        <f>IF(OR(E144="",INDEX(Sheet1!$AY:$AY,INT((ROWS($A$10:$A144)+1)/2)+1)=""),"",INDEX(Sheet1!$AY:$AY,INT((ROWS($A$10:$A144)+1)/2)+1))</f>
        <v/>
      </c>
      <c r="H144" s="74" t="str">
        <f>IF(INDEX(Sheet1!$AD:$AD,INT((ROWS($A$10:$A144)+1)/2)+1)="","",INDEX(Sheet1!$AD:$AD,INT((ROWS($A$10:$A144)+1)/2)+1))</f>
        <v/>
      </c>
      <c r="I144" s="76" t="str">
        <f>IF(INDEX(Sheet1!$AK:$AK,INT((ROWS($A$10:$A144)+1)/2)+1)="","",INDEX(Sheet1!$AK:$AK,INT((ROWS($A$10:$A144)+1)/2)+1))</f>
        <v/>
      </c>
      <c r="J144" s="90"/>
    </row>
    <row r="145" spans="1:10" ht="30" customHeight="1" x14ac:dyDescent="0.15">
      <c r="A145" s="74" t="str">
        <f>IF(E145="","",IF(E144="",INDEX(Sheet1!$AC:$AC,INT((ROWS($A$10:$A145)+1)/2)+1)&amp;"","〃"))</f>
        <v/>
      </c>
      <c r="B145" s="74" t="str">
        <f>IF(E145="","",IF(E144="",INDEX(Sheet1!$B:$B,INT((ROWS($A$10:$A145)+1)/2)+1)&amp;"","〃"))</f>
        <v/>
      </c>
      <c r="C145" s="74" t="str">
        <f>IF(E145="","",IF(E144="",INDEX(Sheet1!$CN:$CN,INT((ROWS($A$10:$A145)+1)/2)+1)&amp;"","〃"))</f>
        <v/>
      </c>
      <c r="D145" s="76" t="str">
        <f>IF(E145="","",IF(E144="",IF(INDEX(Sheet1!$N:$N,INT((ROWS($A$10:$A145)+1)/2)+1)="","",INDEX(Sheet1!$N:$N,INT((ROWS($A$10:$A145)+1)/2)+1)),"〃"))</f>
        <v/>
      </c>
      <c r="E145" s="74" t="str">
        <f>IF(INDEX(Sheet1!$BA:$BA,INT((ROWS($A$10:$A145)+1)/2)+1)&lt;&gt;"","わな猟","")</f>
        <v/>
      </c>
      <c r="F145" s="77" t="str">
        <f>IF(E145="","",INDEX(Sheet1!$BC:$BC,INT((ROWS($A$10:$A145)+1)/2)+1)&amp;"")</f>
        <v/>
      </c>
      <c r="G145" s="76" t="str">
        <f>IF(E145="","",IF(INDEX(Sheet1!$BM:$BM,INT((ROWS($A$10:$A145)+1)/2)+1)="","",INDEX(Sheet1!$BM:$BM,INT((ROWS($A$10:$A145)+1)/2)+1)))</f>
        <v/>
      </c>
      <c r="H145" s="78"/>
      <c r="I145" s="73"/>
      <c r="J145" s="90"/>
    </row>
    <row r="146" spans="1:10" s="71" customFormat="1" ht="30" customHeight="1" x14ac:dyDescent="0.15">
      <c r="A146" s="74" t="str">
        <f>IF(AND(INDEX(Sheet1!$AM:$AM,INT((ROWS($A$10:$A146)+1)/2)+1)="",INDEX(Sheet1!$BA:$BA,INT((ROWS($A$10:$A146)+1)/2)+1)&lt;&gt;""),"",INDEX(Sheet1!$AC:$AC,INT((ROWS($A$10:$A146)+1)/2)+1)&amp;"")</f>
        <v/>
      </c>
      <c r="B146" s="74" t="str">
        <f>IF(AND(INDEX(Sheet1!$AM:$AM,INT((ROWS($A$10:$A146)+1)/2)+1)="",INDEX(Sheet1!$BA:$BA,INT((ROWS($A$10:$A146)+1)/2)+1)&lt;&gt;""),"",INDEX(Sheet1!$B:$B,INT((ROWS($A$10:$A146)+1)/2)+1)&amp;"")</f>
        <v/>
      </c>
      <c r="C146" s="74" t="str">
        <f>IF(AND(INDEX(Sheet1!$AM:$AM,INT((ROWS($A$10:$A146)+1)/2)+1)="",INDEX(Sheet1!$BA:$BA,INT((ROWS($A$10:$A146)+1)/2)+1)&lt;&gt;""),"",INDEX(Sheet1!$CN:$CN,INT((ROWS($A$10:$A146)+1)/2)+1)&amp;"")</f>
        <v/>
      </c>
      <c r="D146" s="76" t="str">
        <f>IF(OR(AND(INDEX(Sheet1!$AM:$AM,INT((ROWS($A$10:$A146)+1)/2)+1)="",INDEX(Sheet1!$BA:$BA,INT((ROWS($A$10:$A146)+1)/2)+1)&lt;&gt;""),INDEX(Sheet1!$N:$N,INT((ROWS($A$10:$A146)+1)/2)+1)=""),"",INDEX(Sheet1!$N:$N,INT((ROWS($A$10:$A146)+1)/2)+1))</f>
        <v/>
      </c>
      <c r="E146" s="74" t="str">
        <f>IF(INDEX(Sheet1!$AM:$AM,INT((ROWS($A$10:$A146)+1)/2)+1)&lt;&gt;"","第一種","")</f>
        <v/>
      </c>
      <c r="F146" s="77" t="str">
        <f>IF(E146="","",INDEX(Sheet1!$AO:$AO,INT((ROWS($A$10:$A146)+1)/2)+1)&amp;"")</f>
        <v/>
      </c>
      <c r="G146" s="76" t="str">
        <f>IF(OR(E146="",INDEX(Sheet1!$AY:$AY,INT((ROWS($A$10:$A146)+1)/2)+1)=""),"",INDEX(Sheet1!$AY:$AY,INT((ROWS($A$10:$A146)+1)/2)+1))</f>
        <v/>
      </c>
      <c r="H146" s="74" t="str">
        <f>IF(INDEX(Sheet1!$AD:$AD,INT((ROWS($A$10:$A146)+1)/2)+1)="","",INDEX(Sheet1!$AD:$AD,INT((ROWS($A$10:$A146)+1)/2)+1))</f>
        <v/>
      </c>
      <c r="I146" s="76" t="str">
        <f>IF(INDEX(Sheet1!$AK:$AK,INT((ROWS($A$10:$A146)+1)/2)+1)="","",INDEX(Sheet1!$AK:$AK,INT((ROWS($A$10:$A146)+1)/2)+1))</f>
        <v/>
      </c>
      <c r="J146" s="90"/>
    </row>
    <row r="147" spans="1:10" ht="30" customHeight="1" x14ac:dyDescent="0.15">
      <c r="A147" s="74" t="str">
        <f>IF(E147="","",IF(E146="",INDEX(Sheet1!$AC:$AC,INT((ROWS($A$10:$A147)+1)/2)+1)&amp;"","〃"))</f>
        <v/>
      </c>
      <c r="B147" s="74" t="str">
        <f>IF(E147="","",IF(E146="",INDEX(Sheet1!$B:$B,INT((ROWS($A$10:$A147)+1)/2)+1)&amp;"","〃"))</f>
        <v/>
      </c>
      <c r="C147" s="74" t="str">
        <f>IF(E147="","",IF(E146="",INDEX(Sheet1!$CN:$CN,INT((ROWS($A$10:$A147)+1)/2)+1)&amp;"","〃"))</f>
        <v/>
      </c>
      <c r="D147" s="76" t="str">
        <f>IF(E147="","",IF(E146="",IF(INDEX(Sheet1!$N:$N,INT((ROWS($A$10:$A147)+1)/2)+1)="","",INDEX(Sheet1!$N:$N,INT((ROWS($A$10:$A147)+1)/2)+1)),"〃"))</f>
        <v/>
      </c>
      <c r="E147" s="74" t="str">
        <f>IF(INDEX(Sheet1!$BA:$BA,INT((ROWS($A$10:$A147)+1)/2)+1)&lt;&gt;"","わな猟","")</f>
        <v/>
      </c>
      <c r="F147" s="77" t="str">
        <f>IF(E147="","",INDEX(Sheet1!$BC:$BC,INT((ROWS($A$10:$A147)+1)/2)+1)&amp;"")</f>
        <v/>
      </c>
      <c r="G147" s="76" t="str">
        <f>IF(E147="","",IF(INDEX(Sheet1!$BM:$BM,INT((ROWS($A$10:$A147)+1)/2)+1)="","",INDEX(Sheet1!$BM:$BM,INT((ROWS($A$10:$A147)+1)/2)+1)))</f>
        <v/>
      </c>
      <c r="H147" s="78"/>
      <c r="I147" s="73"/>
      <c r="J147" s="90"/>
    </row>
    <row r="148" spans="1:10" s="71" customFormat="1" ht="30" customHeight="1" x14ac:dyDescent="0.15">
      <c r="A148" s="74" t="str">
        <f>IF(AND(INDEX(Sheet1!$AM:$AM,INT((ROWS($A$10:$A148)+1)/2)+1)="",INDEX(Sheet1!$BA:$BA,INT((ROWS($A$10:$A148)+1)/2)+1)&lt;&gt;""),"",INDEX(Sheet1!$AC:$AC,INT((ROWS($A$10:$A148)+1)/2)+1)&amp;"")</f>
        <v/>
      </c>
      <c r="B148" s="74" t="str">
        <f>IF(AND(INDEX(Sheet1!$AM:$AM,INT((ROWS($A$10:$A148)+1)/2)+1)="",INDEX(Sheet1!$BA:$BA,INT((ROWS($A$10:$A148)+1)/2)+1)&lt;&gt;""),"",INDEX(Sheet1!$B:$B,INT((ROWS($A$10:$A148)+1)/2)+1)&amp;"")</f>
        <v/>
      </c>
      <c r="C148" s="74" t="str">
        <f>IF(AND(INDEX(Sheet1!$AM:$AM,INT((ROWS($A$10:$A148)+1)/2)+1)="",INDEX(Sheet1!$BA:$BA,INT((ROWS($A$10:$A148)+1)/2)+1)&lt;&gt;""),"",INDEX(Sheet1!$CN:$CN,INT((ROWS($A$10:$A148)+1)/2)+1)&amp;"")</f>
        <v/>
      </c>
      <c r="D148" s="76" t="str">
        <f>IF(OR(AND(INDEX(Sheet1!$AM:$AM,INT((ROWS($A$10:$A148)+1)/2)+1)="",INDEX(Sheet1!$BA:$BA,INT((ROWS($A$10:$A148)+1)/2)+1)&lt;&gt;""),INDEX(Sheet1!$N:$N,INT((ROWS($A$10:$A148)+1)/2)+1)=""),"",INDEX(Sheet1!$N:$N,INT((ROWS($A$10:$A148)+1)/2)+1))</f>
        <v/>
      </c>
      <c r="E148" s="74" t="str">
        <f>IF(INDEX(Sheet1!$AM:$AM,INT((ROWS($A$10:$A148)+1)/2)+1)&lt;&gt;"","第一種","")</f>
        <v/>
      </c>
      <c r="F148" s="77" t="str">
        <f>IF(E148="","",INDEX(Sheet1!$AO:$AO,INT((ROWS($A$10:$A148)+1)/2)+1)&amp;"")</f>
        <v/>
      </c>
      <c r="G148" s="76" t="str">
        <f>IF(OR(E148="",INDEX(Sheet1!$AY:$AY,INT((ROWS($A$10:$A148)+1)/2)+1)=""),"",INDEX(Sheet1!$AY:$AY,INT((ROWS($A$10:$A148)+1)/2)+1))</f>
        <v/>
      </c>
      <c r="H148" s="74" t="str">
        <f>IF(INDEX(Sheet1!$AD:$AD,INT((ROWS($A$10:$A148)+1)/2)+1)="","",INDEX(Sheet1!$AD:$AD,INT((ROWS($A$10:$A148)+1)/2)+1))</f>
        <v/>
      </c>
      <c r="I148" s="76" t="str">
        <f>IF(INDEX(Sheet1!$AK:$AK,INT((ROWS($A$10:$A148)+1)/2)+1)="","",INDEX(Sheet1!$AK:$AK,INT((ROWS($A$10:$A148)+1)/2)+1))</f>
        <v/>
      </c>
      <c r="J148" s="90"/>
    </row>
    <row r="149" spans="1:10" ht="30" customHeight="1" x14ac:dyDescent="0.15">
      <c r="A149" s="74" t="str">
        <f>IF(E149="","",IF(E148="",INDEX(Sheet1!$AC:$AC,INT((ROWS($A$10:$A149)+1)/2)+1)&amp;"","〃"))</f>
        <v/>
      </c>
      <c r="B149" s="74" t="str">
        <f>IF(E149="","",IF(E148="",INDEX(Sheet1!$B:$B,INT((ROWS($A$10:$A149)+1)/2)+1)&amp;"","〃"))</f>
        <v/>
      </c>
      <c r="C149" s="74" t="str">
        <f>IF(E149="","",IF(E148="",INDEX(Sheet1!$CN:$CN,INT((ROWS($A$10:$A149)+1)/2)+1)&amp;"","〃"))</f>
        <v/>
      </c>
      <c r="D149" s="76" t="str">
        <f>IF(E149="","",IF(E148="",IF(INDEX(Sheet1!$N:$N,INT((ROWS($A$10:$A149)+1)/2)+1)="","",INDEX(Sheet1!$N:$N,INT((ROWS($A$10:$A149)+1)/2)+1)),"〃"))</f>
        <v/>
      </c>
      <c r="E149" s="74" t="str">
        <f>IF(INDEX(Sheet1!$BA:$BA,INT((ROWS($A$10:$A149)+1)/2)+1)&lt;&gt;"","わな猟","")</f>
        <v/>
      </c>
      <c r="F149" s="77" t="str">
        <f>IF(E149="","",INDEX(Sheet1!$BC:$BC,INT((ROWS($A$10:$A149)+1)/2)+1)&amp;"")</f>
        <v/>
      </c>
      <c r="G149" s="76" t="str">
        <f>IF(E149="","",IF(INDEX(Sheet1!$BM:$BM,INT((ROWS($A$10:$A149)+1)/2)+1)="","",INDEX(Sheet1!$BM:$BM,INT((ROWS($A$10:$A149)+1)/2)+1)))</f>
        <v/>
      </c>
      <c r="H149" s="78"/>
      <c r="I149" s="73"/>
      <c r="J149" s="90"/>
    </row>
    <row r="150" spans="1:10" s="71" customFormat="1" ht="30" customHeight="1" x14ac:dyDescent="0.15">
      <c r="A150" s="74" t="str">
        <f>IF(AND(INDEX(Sheet1!$AM:$AM,INT((ROWS($A$10:$A150)+1)/2)+1)="",INDEX(Sheet1!$BA:$BA,INT((ROWS($A$10:$A150)+1)/2)+1)&lt;&gt;""),"",INDEX(Sheet1!$AC:$AC,INT((ROWS($A$10:$A150)+1)/2)+1)&amp;"")</f>
        <v/>
      </c>
      <c r="B150" s="74" t="str">
        <f>IF(AND(INDEX(Sheet1!$AM:$AM,INT((ROWS($A$10:$A150)+1)/2)+1)="",INDEX(Sheet1!$BA:$BA,INT((ROWS($A$10:$A150)+1)/2)+1)&lt;&gt;""),"",INDEX(Sheet1!$B:$B,INT((ROWS($A$10:$A150)+1)/2)+1)&amp;"")</f>
        <v/>
      </c>
      <c r="C150" s="74" t="str">
        <f>IF(AND(INDEX(Sheet1!$AM:$AM,INT((ROWS($A$10:$A150)+1)/2)+1)="",INDEX(Sheet1!$BA:$BA,INT((ROWS($A$10:$A150)+1)/2)+1)&lt;&gt;""),"",INDEX(Sheet1!$CN:$CN,INT((ROWS($A$10:$A150)+1)/2)+1)&amp;"")</f>
        <v/>
      </c>
      <c r="D150" s="76" t="str">
        <f>IF(OR(AND(INDEX(Sheet1!$AM:$AM,INT((ROWS($A$10:$A150)+1)/2)+1)="",INDEX(Sheet1!$BA:$BA,INT((ROWS($A$10:$A150)+1)/2)+1)&lt;&gt;""),INDEX(Sheet1!$N:$N,INT((ROWS($A$10:$A150)+1)/2)+1)=""),"",INDEX(Sheet1!$N:$N,INT((ROWS($A$10:$A150)+1)/2)+1))</f>
        <v/>
      </c>
      <c r="E150" s="74" t="str">
        <f>IF(INDEX(Sheet1!$AM:$AM,INT((ROWS($A$10:$A150)+1)/2)+1)&lt;&gt;"","第一種","")</f>
        <v/>
      </c>
      <c r="F150" s="77" t="str">
        <f>IF(E150="","",INDEX(Sheet1!$AO:$AO,INT((ROWS($A$10:$A150)+1)/2)+1)&amp;"")</f>
        <v/>
      </c>
      <c r="G150" s="76" t="str">
        <f>IF(OR(E150="",INDEX(Sheet1!$AY:$AY,INT((ROWS($A$10:$A150)+1)/2)+1)=""),"",INDEX(Sheet1!$AY:$AY,INT((ROWS($A$10:$A150)+1)/2)+1))</f>
        <v/>
      </c>
      <c r="H150" s="74" t="str">
        <f>IF(INDEX(Sheet1!$AD:$AD,INT((ROWS($A$10:$A150)+1)/2)+1)="","",INDEX(Sheet1!$AD:$AD,INT((ROWS($A$10:$A150)+1)/2)+1))</f>
        <v/>
      </c>
      <c r="I150" s="76" t="str">
        <f>IF(INDEX(Sheet1!$AK:$AK,INT((ROWS($A$10:$A150)+1)/2)+1)="","",INDEX(Sheet1!$AK:$AK,INT((ROWS($A$10:$A150)+1)/2)+1))</f>
        <v/>
      </c>
      <c r="J150" s="90"/>
    </row>
    <row r="151" spans="1:10" ht="30" customHeight="1" x14ac:dyDescent="0.15">
      <c r="A151" s="74" t="str">
        <f>IF(E151="","",IF(E150="",INDEX(Sheet1!$AC:$AC,INT((ROWS($A$10:$A151)+1)/2)+1)&amp;"","〃"))</f>
        <v/>
      </c>
      <c r="B151" s="74" t="str">
        <f>IF(E151="","",IF(E150="",INDEX(Sheet1!$B:$B,INT((ROWS($A$10:$A151)+1)/2)+1)&amp;"","〃"))</f>
        <v/>
      </c>
      <c r="C151" s="74" t="str">
        <f>IF(E151="","",IF(E150="",INDEX(Sheet1!$CN:$CN,INT((ROWS($A$10:$A151)+1)/2)+1)&amp;"","〃"))</f>
        <v/>
      </c>
      <c r="D151" s="76" t="str">
        <f>IF(E151="","",IF(E150="",IF(INDEX(Sheet1!$N:$N,INT((ROWS($A$10:$A151)+1)/2)+1)="","",INDEX(Sheet1!$N:$N,INT((ROWS($A$10:$A151)+1)/2)+1)),"〃"))</f>
        <v/>
      </c>
      <c r="E151" s="74" t="str">
        <f>IF(INDEX(Sheet1!$BA:$BA,INT((ROWS($A$10:$A151)+1)/2)+1)&lt;&gt;"","わな猟","")</f>
        <v/>
      </c>
      <c r="F151" s="77" t="str">
        <f>IF(E151="","",INDEX(Sheet1!$BC:$BC,INT((ROWS($A$10:$A151)+1)/2)+1)&amp;"")</f>
        <v/>
      </c>
      <c r="G151" s="76" t="str">
        <f>IF(E151="","",IF(INDEX(Sheet1!$BM:$BM,INT((ROWS($A$10:$A151)+1)/2)+1)="","",INDEX(Sheet1!$BM:$BM,INT((ROWS($A$10:$A151)+1)/2)+1)))</f>
        <v/>
      </c>
      <c r="H151" s="78"/>
      <c r="I151" s="73"/>
      <c r="J151" s="90"/>
    </row>
    <row r="152" spans="1:10" s="71" customFormat="1" ht="30" customHeight="1" x14ac:dyDescent="0.15">
      <c r="A152" s="74" t="str">
        <f>IF(AND(INDEX(Sheet1!$AM:$AM,INT((ROWS($A$10:$A152)+1)/2)+1)="",INDEX(Sheet1!$BA:$BA,INT((ROWS($A$10:$A152)+1)/2)+1)&lt;&gt;""),"",INDEX(Sheet1!$AC:$AC,INT((ROWS($A$10:$A152)+1)/2)+1)&amp;"")</f>
        <v/>
      </c>
      <c r="B152" s="74" t="str">
        <f>IF(AND(INDEX(Sheet1!$AM:$AM,INT((ROWS($A$10:$A152)+1)/2)+1)="",INDEX(Sheet1!$BA:$BA,INT((ROWS($A$10:$A152)+1)/2)+1)&lt;&gt;""),"",INDEX(Sheet1!$B:$B,INT((ROWS($A$10:$A152)+1)/2)+1)&amp;"")</f>
        <v/>
      </c>
      <c r="C152" s="74" t="str">
        <f>IF(AND(INDEX(Sheet1!$AM:$AM,INT((ROWS($A$10:$A152)+1)/2)+1)="",INDEX(Sheet1!$BA:$BA,INT((ROWS($A$10:$A152)+1)/2)+1)&lt;&gt;""),"",INDEX(Sheet1!$CN:$CN,INT((ROWS($A$10:$A152)+1)/2)+1)&amp;"")</f>
        <v/>
      </c>
      <c r="D152" s="76" t="str">
        <f>IF(OR(AND(INDEX(Sheet1!$AM:$AM,INT((ROWS($A$10:$A152)+1)/2)+1)="",INDEX(Sheet1!$BA:$BA,INT((ROWS($A$10:$A152)+1)/2)+1)&lt;&gt;""),INDEX(Sheet1!$N:$N,INT((ROWS($A$10:$A152)+1)/2)+1)=""),"",INDEX(Sheet1!$N:$N,INT((ROWS($A$10:$A152)+1)/2)+1))</f>
        <v/>
      </c>
      <c r="E152" s="74" t="str">
        <f>IF(INDEX(Sheet1!$AM:$AM,INT((ROWS($A$10:$A152)+1)/2)+1)&lt;&gt;"","第一種","")</f>
        <v/>
      </c>
      <c r="F152" s="77" t="str">
        <f>IF(E152="","",INDEX(Sheet1!$AO:$AO,INT((ROWS($A$10:$A152)+1)/2)+1)&amp;"")</f>
        <v/>
      </c>
      <c r="G152" s="76" t="str">
        <f>IF(OR(E152="",INDEX(Sheet1!$AY:$AY,INT((ROWS($A$10:$A152)+1)/2)+1)=""),"",INDEX(Sheet1!$AY:$AY,INT((ROWS($A$10:$A152)+1)/2)+1))</f>
        <v/>
      </c>
      <c r="H152" s="74" t="str">
        <f>IF(INDEX(Sheet1!$AD:$AD,INT((ROWS($A$10:$A152)+1)/2)+1)="","",INDEX(Sheet1!$AD:$AD,INT((ROWS($A$10:$A152)+1)/2)+1))</f>
        <v/>
      </c>
      <c r="I152" s="76" t="str">
        <f>IF(INDEX(Sheet1!$AK:$AK,INT((ROWS($A$10:$A152)+1)/2)+1)="","",INDEX(Sheet1!$AK:$AK,INT((ROWS($A$10:$A152)+1)/2)+1))</f>
        <v/>
      </c>
      <c r="J152" s="90"/>
    </row>
    <row r="153" spans="1:10" ht="30" customHeight="1" x14ac:dyDescent="0.15">
      <c r="A153" s="74" t="str">
        <f>IF(E153="","",IF(E152="",INDEX(Sheet1!$AC:$AC,INT((ROWS($A$10:$A153)+1)/2)+1)&amp;"","〃"))</f>
        <v/>
      </c>
      <c r="B153" s="74" t="str">
        <f>IF(E153="","",IF(E152="",INDEX(Sheet1!$B:$B,INT((ROWS($A$10:$A153)+1)/2)+1)&amp;"","〃"))</f>
        <v/>
      </c>
      <c r="C153" s="74" t="str">
        <f>IF(E153="","",IF(E152="",INDEX(Sheet1!$CN:$CN,INT((ROWS($A$10:$A153)+1)/2)+1)&amp;"","〃"))</f>
        <v/>
      </c>
      <c r="D153" s="76" t="str">
        <f>IF(E153="","",IF(E152="",IF(INDEX(Sheet1!$N:$N,INT((ROWS($A$10:$A153)+1)/2)+1)="","",INDEX(Sheet1!$N:$N,INT((ROWS($A$10:$A153)+1)/2)+1)),"〃"))</f>
        <v/>
      </c>
      <c r="E153" s="74" t="str">
        <f>IF(INDEX(Sheet1!$BA:$BA,INT((ROWS($A$10:$A153)+1)/2)+1)&lt;&gt;"","わな猟","")</f>
        <v/>
      </c>
      <c r="F153" s="77" t="str">
        <f>IF(E153="","",INDEX(Sheet1!$BC:$BC,INT((ROWS($A$10:$A153)+1)/2)+1)&amp;"")</f>
        <v/>
      </c>
      <c r="G153" s="76" t="str">
        <f>IF(E153="","",IF(INDEX(Sheet1!$BM:$BM,INT((ROWS($A$10:$A153)+1)/2)+1)="","",INDEX(Sheet1!$BM:$BM,INT((ROWS($A$10:$A153)+1)/2)+1)))</f>
        <v/>
      </c>
      <c r="H153" s="78"/>
      <c r="I153" s="73"/>
      <c r="J153" s="90"/>
    </row>
    <row r="154" spans="1:10" s="71" customFormat="1" ht="30" customHeight="1" x14ac:dyDescent="0.15">
      <c r="A154" s="74" t="str">
        <f>IF(AND(INDEX(Sheet1!$AM:$AM,INT((ROWS($A$10:$A154)+1)/2)+1)="",INDEX(Sheet1!$BA:$BA,INT((ROWS($A$10:$A154)+1)/2)+1)&lt;&gt;""),"",INDEX(Sheet1!$AC:$AC,INT((ROWS($A$10:$A154)+1)/2)+1)&amp;"")</f>
        <v/>
      </c>
      <c r="B154" s="74" t="str">
        <f>IF(AND(INDEX(Sheet1!$AM:$AM,INT((ROWS($A$10:$A154)+1)/2)+1)="",INDEX(Sheet1!$BA:$BA,INT((ROWS($A$10:$A154)+1)/2)+1)&lt;&gt;""),"",INDEX(Sheet1!$B:$B,INT((ROWS($A$10:$A154)+1)/2)+1)&amp;"")</f>
        <v/>
      </c>
      <c r="C154" s="74" t="str">
        <f>IF(AND(INDEX(Sheet1!$AM:$AM,INT((ROWS($A$10:$A154)+1)/2)+1)="",INDEX(Sheet1!$BA:$BA,INT((ROWS($A$10:$A154)+1)/2)+1)&lt;&gt;""),"",INDEX(Sheet1!$CN:$CN,INT((ROWS($A$10:$A154)+1)/2)+1)&amp;"")</f>
        <v/>
      </c>
      <c r="D154" s="76" t="str">
        <f>IF(OR(AND(INDEX(Sheet1!$AM:$AM,INT((ROWS($A$10:$A154)+1)/2)+1)="",INDEX(Sheet1!$BA:$BA,INT((ROWS($A$10:$A154)+1)/2)+1)&lt;&gt;""),INDEX(Sheet1!$N:$N,INT((ROWS($A$10:$A154)+1)/2)+1)=""),"",INDEX(Sheet1!$N:$N,INT((ROWS($A$10:$A154)+1)/2)+1))</f>
        <v/>
      </c>
      <c r="E154" s="74" t="str">
        <f>IF(INDEX(Sheet1!$AM:$AM,INT((ROWS($A$10:$A154)+1)/2)+1)&lt;&gt;"","第一種","")</f>
        <v/>
      </c>
      <c r="F154" s="77" t="str">
        <f>IF(E154="","",INDEX(Sheet1!$AO:$AO,INT((ROWS($A$10:$A154)+1)/2)+1)&amp;"")</f>
        <v/>
      </c>
      <c r="G154" s="76" t="str">
        <f>IF(OR(E154="",INDEX(Sheet1!$AY:$AY,INT((ROWS($A$10:$A154)+1)/2)+1)=""),"",INDEX(Sheet1!$AY:$AY,INT((ROWS($A$10:$A154)+1)/2)+1))</f>
        <v/>
      </c>
      <c r="H154" s="74" t="str">
        <f>IF(INDEX(Sheet1!$AD:$AD,INT((ROWS($A$10:$A154)+1)/2)+1)="","",INDEX(Sheet1!$AD:$AD,INT((ROWS($A$10:$A154)+1)/2)+1))</f>
        <v/>
      </c>
      <c r="I154" s="76" t="str">
        <f>IF(INDEX(Sheet1!$AK:$AK,INT((ROWS($A$10:$A154)+1)/2)+1)="","",INDEX(Sheet1!$AK:$AK,INT((ROWS($A$10:$A154)+1)/2)+1))</f>
        <v/>
      </c>
      <c r="J154" s="90"/>
    </row>
    <row r="155" spans="1:10" ht="30" customHeight="1" x14ac:dyDescent="0.15">
      <c r="A155" s="74" t="str">
        <f>IF(E155="","",IF(E154="",INDEX(Sheet1!$AC:$AC,INT((ROWS($A$10:$A155)+1)/2)+1)&amp;"","〃"))</f>
        <v/>
      </c>
      <c r="B155" s="74" t="str">
        <f>IF(E155="","",IF(E154="",INDEX(Sheet1!$B:$B,INT((ROWS($A$10:$A155)+1)/2)+1)&amp;"","〃"))</f>
        <v/>
      </c>
      <c r="C155" s="74" t="str">
        <f>IF(E155="","",IF(E154="",INDEX(Sheet1!$CN:$CN,INT((ROWS($A$10:$A155)+1)/2)+1)&amp;"","〃"))</f>
        <v/>
      </c>
      <c r="D155" s="76" t="str">
        <f>IF(E155="","",IF(E154="",IF(INDEX(Sheet1!$N:$N,INT((ROWS($A$10:$A155)+1)/2)+1)="","",INDEX(Sheet1!$N:$N,INT((ROWS($A$10:$A155)+1)/2)+1)),"〃"))</f>
        <v/>
      </c>
      <c r="E155" s="74" t="str">
        <f>IF(INDEX(Sheet1!$BA:$BA,INT((ROWS($A$10:$A155)+1)/2)+1)&lt;&gt;"","わな猟","")</f>
        <v/>
      </c>
      <c r="F155" s="77" t="str">
        <f>IF(E155="","",INDEX(Sheet1!$BC:$BC,INT((ROWS($A$10:$A155)+1)/2)+1)&amp;"")</f>
        <v/>
      </c>
      <c r="G155" s="76" t="str">
        <f>IF(E155="","",IF(INDEX(Sheet1!$BM:$BM,INT((ROWS($A$10:$A155)+1)/2)+1)="","",INDEX(Sheet1!$BM:$BM,INT((ROWS($A$10:$A155)+1)/2)+1)))</f>
        <v/>
      </c>
      <c r="H155" s="78"/>
      <c r="I155" s="73"/>
      <c r="J155" s="90"/>
    </row>
    <row r="156" spans="1:10" s="71" customFormat="1" ht="30" customHeight="1" x14ac:dyDescent="0.15">
      <c r="A156" s="74" t="str">
        <f>IF(AND(INDEX(Sheet1!$AM:$AM,INT((ROWS($A$10:$A156)+1)/2)+1)="",INDEX(Sheet1!$BA:$BA,INT((ROWS($A$10:$A156)+1)/2)+1)&lt;&gt;""),"",INDEX(Sheet1!$AC:$AC,INT((ROWS($A$10:$A156)+1)/2)+1)&amp;"")</f>
        <v/>
      </c>
      <c r="B156" s="74" t="str">
        <f>IF(AND(INDEX(Sheet1!$AM:$AM,INT((ROWS($A$10:$A156)+1)/2)+1)="",INDEX(Sheet1!$BA:$BA,INT((ROWS($A$10:$A156)+1)/2)+1)&lt;&gt;""),"",INDEX(Sheet1!$B:$B,INT((ROWS($A$10:$A156)+1)/2)+1)&amp;"")</f>
        <v/>
      </c>
      <c r="C156" s="74" t="str">
        <f>IF(AND(INDEX(Sheet1!$AM:$AM,INT((ROWS($A$10:$A156)+1)/2)+1)="",INDEX(Sheet1!$BA:$BA,INT((ROWS($A$10:$A156)+1)/2)+1)&lt;&gt;""),"",INDEX(Sheet1!$CN:$CN,INT((ROWS($A$10:$A156)+1)/2)+1)&amp;"")</f>
        <v/>
      </c>
      <c r="D156" s="76" t="str">
        <f>IF(OR(AND(INDEX(Sheet1!$AM:$AM,INT((ROWS($A$10:$A156)+1)/2)+1)="",INDEX(Sheet1!$BA:$BA,INT((ROWS($A$10:$A156)+1)/2)+1)&lt;&gt;""),INDEX(Sheet1!$N:$N,INT((ROWS($A$10:$A156)+1)/2)+1)=""),"",INDEX(Sheet1!$N:$N,INT((ROWS($A$10:$A156)+1)/2)+1))</f>
        <v/>
      </c>
      <c r="E156" s="74" t="str">
        <f>IF(INDEX(Sheet1!$AM:$AM,INT((ROWS($A$10:$A156)+1)/2)+1)&lt;&gt;"","第一種","")</f>
        <v/>
      </c>
      <c r="F156" s="77" t="str">
        <f>IF(E156="","",INDEX(Sheet1!$AO:$AO,INT((ROWS($A$10:$A156)+1)/2)+1)&amp;"")</f>
        <v/>
      </c>
      <c r="G156" s="76" t="str">
        <f>IF(OR(E156="",INDEX(Sheet1!$AY:$AY,INT((ROWS($A$10:$A156)+1)/2)+1)=""),"",INDEX(Sheet1!$AY:$AY,INT((ROWS($A$10:$A156)+1)/2)+1))</f>
        <v/>
      </c>
      <c r="H156" s="74" t="str">
        <f>IF(INDEX(Sheet1!$AD:$AD,INT((ROWS($A$10:$A156)+1)/2)+1)="","",INDEX(Sheet1!$AD:$AD,INT((ROWS($A$10:$A156)+1)/2)+1))</f>
        <v/>
      </c>
      <c r="I156" s="76" t="str">
        <f>IF(INDEX(Sheet1!$AK:$AK,INT((ROWS($A$10:$A156)+1)/2)+1)="","",INDEX(Sheet1!$AK:$AK,INT((ROWS($A$10:$A156)+1)/2)+1))</f>
        <v/>
      </c>
      <c r="J156" s="90"/>
    </row>
    <row r="157" spans="1:10" ht="30" customHeight="1" x14ac:dyDescent="0.15">
      <c r="A157" s="74" t="str">
        <f>IF(E157="","",IF(E156="",INDEX(Sheet1!$AC:$AC,INT((ROWS($A$10:$A157)+1)/2)+1)&amp;"","〃"))</f>
        <v/>
      </c>
      <c r="B157" s="74" t="str">
        <f>IF(E157="","",IF(E156="",INDEX(Sheet1!$B:$B,INT((ROWS($A$10:$A157)+1)/2)+1)&amp;"","〃"))</f>
        <v/>
      </c>
      <c r="C157" s="74" t="str">
        <f>IF(E157="","",IF(E156="",INDEX(Sheet1!$CN:$CN,INT((ROWS($A$10:$A157)+1)/2)+1)&amp;"","〃"))</f>
        <v/>
      </c>
      <c r="D157" s="76" t="str">
        <f>IF(E157="","",IF(E156="",IF(INDEX(Sheet1!$N:$N,INT((ROWS($A$10:$A157)+1)/2)+1)="","",INDEX(Sheet1!$N:$N,INT((ROWS($A$10:$A157)+1)/2)+1)),"〃"))</f>
        <v/>
      </c>
      <c r="E157" s="74" t="str">
        <f>IF(INDEX(Sheet1!$BA:$BA,INT((ROWS($A$10:$A157)+1)/2)+1)&lt;&gt;"","わな猟","")</f>
        <v/>
      </c>
      <c r="F157" s="77" t="str">
        <f>IF(E157="","",INDEX(Sheet1!$BC:$BC,INT((ROWS($A$10:$A157)+1)/2)+1)&amp;"")</f>
        <v/>
      </c>
      <c r="G157" s="76" t="str">
        <f>IF(E157="","",IF(INDEX(Sheet1!$BM:$BM,INT((ROWS($A$10:$A157)+1)/2)+1)="","",INDEX(Sheet1!$BM:$BM,INT((ROWS($A$10:$A157)+1)/2)+1)))</f>
        <v/>
      </c>
      <c r="H157" s="78"/>
      <c r="I157" s="73"/>
      <c r="J157" s="90"/>
    </row>
    <row r="158" spans="1:10" s="71" customFormat="1" ht="30" customHeight="1" x14ac:dyDescent="0.15">
      <c r="A158" s="74" t="str">
        <f>IF(AND(INDEX(Sheet1!$AM:$AM,INT((ROWS($A$10:$A158)+1)/2)+1)="",INDEX(Sheet1!$BA:$BA,INT((ROWS($A$10:$A158)+1)/2)+1)&lt;&gt;""),"",INDEX(Sheet1!$AC:$AC,INT((ROWS($A$10:$A158)+1)/2)+1)&amp;"")</f>
        <v/>
      </c>
      <c r="B158" s="74" t="str">
        <f>IF(AND(INDEX(Sheet1!$AM:$AM,INT((ROWS($A$10:$A158)+1)/2)+1)="",INDEX(Sheet1!$BA:$BA,INT((ROWS($A$10:$A158)+1)/2)+1)&lt;&gt;""),"",INDEX(Sheet1!$B:$B,INT((ROWS($A$10:$A158)+1)/2)+1)&amp;"")</f>
        <v/>
      </c>
      <c r="C158" s="74" t="str">
        <f>IF(AND(INDEX(Sheet1!$AM:$AM,INT((ROWS($A$10:$A158)+1)/2)+1)="",INDEX(Sheet1!$BA:$BA,INT((ROWS($A$10:$A158)+1)/2)+1)&lt;&gt;""),"",INDEX(Sheet1!$CN:$CN,INT((ROWS($A$10:$A158)+1)/2)+1)&amp;"")</f>
        <v/>
      </c>
      <c r="D158" s="76" t="str">
        <f>IF(OR(AND(INDEX(Sheet1!$AM:$AM,INT((ROWS($A$10:$A158)+1)/2)+1)="",INDEX(Sheet1!$BA:$BA,INT((ROWS($A$10:$A158)+1)/2)+1)&lt;&gt;""),INDEX(Sheet1!$N:$N,INT((ROWS($A$10:$A158)+1)/2)+1)=""),"",INDEX(Sheet1!$N:$N,INT((ROWS($A$10:$A158)+1)/2)+1))</f>
        <v/>
      </c>
      <c r="E158" s="74" t="str">
        <f>IF(INDEX(Sheet1!$AM:$AM,INT((ROWS($A$10:$A158)+1)/2)+1)&lt;&gt;"","第一種","")</f>
        <v/>
      </c>
      <c r="F158" s="77" t="str">
        <f>IF(E158="","",INDEX(Sheet1!$AO:$AO,INT((ROWS($A$10:$A158)+1)/2)+1)&amp;"")</f>
        <v/>
      </c>
      <c r="G158" s="76" t="str">
        <f>IF(OR(E158="",INDEX(Sheet1!$AY:$AY,INT((ROWS($A$10:$A158)+1)/2)+1)=""),"",INDEX(Sheet1!$AY:$AY,INT((ROWS($A$10:$A158)+1)/2)+1))</f>
        <v/>
      </c>
      <c r="H158" s="74" t="str">
        <f>IF(INDEX(Sheet1!$AD:$AD,INT((ROWS($A$10:$A158)+1)/2)+1)="","",INDEX(Sheet1!$AD:$AD,INT((ROWS($A$10:$A158)+1)/2)+1))</f>
        <v/>
      </c>
      <c r="I158" s="76" t="str">
        <f>IF(INDEX(Sheet1!$AK:$AK,INT((ROWS($A$10:$A158)+1)/2)+1)="","",INDEX(Sheet1!$AK:$AK,INT((ROWS($A$10:$A158)+1)/2)+1))</f>
        <v/>
      </c>
      <c r="J158" s="90"/>
    </row>
    <row r="159" spans="1:10" ht="30" customHeight="1" x14ac:dyDescent="0.15">
      <c r="A159" s="74" t="str">
        <f>IF(E159="","",IF(E158="",INDEX(Sheet1!$AC:$AC,INT((ROWS($A$10:$A159)+1)/2)+1)&amp;"","〃"))</f>
        <v/>
      </c>
      <c r="B159" s="74" t="str">
        <f>IF(E159="","",IF(E158="",INDEX(Sheet1!$B:$B,INT((ROWS($A$10:$A159)+1)/2)+1)&amp;"","〃"))</f>
        <v/>
      </c>
      <c r="C159" s="74" t="str">
        <f>IF(E159="","",IF(E158="",INDEX(Sheet1!$CN:$CN,INT((ROWS($A$10:$A159)+1)/2)+1)&amp;"","〃"))</f>
        <v/>
      </c>
      <c r="D159" s="76" t="str">
        <f>IF(E159="","",IF(E158="",IF(INDEX(Sheet1!$N:$N,INT((ROWS($A$10:$A159)+1)/2)+1)="","",INDEX(Sheet1!$N:$N,INT((ROWS($A$10:$A159)+1)/2)+1)),"〃"))</f>
        <v/>
      </c>
      <c r="E159" s="74" t="str">
        <f>IF(INDEX(Sheet1!$BA:$BA,INT((ROWS($A$10:$A159)+1)/2)+1)&lt;&gt;"","わな猟","")</f>
        <v/>
      </c>
      <c r="F159" s="77" t="str">
        <f>IF(E159="","",INDEX(Sheet1!$BC:$BC,INT((ROWS($A$10:$A159)+1)/2)+1)&amp;"")</f>
        <v/>
      </c>
      <c r="G159" s="76" t="str">
        <f>IF(E159="","",IF(INDEX(Sheet1!$BM:$BM,INT((ROWS($A$10:$A159)+1)/2)+1)="","",INDEX(Sheet1!$BM:$BM,INT((ROWS($A$10:$A159)+1)/2)+1)))</f>
        <v/>
      </c>
      <c r="H159" s="78"/>
      <c r="I159" s="73"/>
      <c r="J159" s="90"/>
    </row>
    <row r="160" spans="1:10" s="71" customFormat="1" ht="30" customHeight="1" x14ac:dyDescent="0.15">
      <c r="A160" s="74" t="str">
        <f>IF(AND(INDEX(Sheet1!$AM:$AM,INT((ROWS($A$10:$A160)+1)/2)+1)="",INDEX(Sheet1!$BA:$BA,INT((ROWS($A$10:$A160)+1)/2)+1)&lt;&gt;""),"",INDEX(Sheet1!$AC:$AC,INT((ROWS($A$10:$A160)+1)/2)+1)&amp;"")</f>
        <v/>
      </c>
      <c r="B160" s="74" t="str">
        <f>IF(AND(INDEX(Sheet1!$AM:$AM,INT((ROWS($A$10:$A160)+1)/2)+1)="",INDEX(Sheet1!$BA:$BA,INT((ROWS($A$10:$A160)+1)/2)+1)&lt;&gt;""),"",INDEX(Sheet1!$B:$B,INT((ROWS($A$10:$A160)+1)/2)+1)&amp;"")</f>
        <v/>
      </c>
      <c r="C160" s="74" t="str">
        <f>IF(AND(INDEX(Sheet1!$AM:$AM,INT((ROWS($A$10:$A160)+1)/2)+1)="",INDEX(Sheet1!$BA:$BA,INT((ROWS($A$10:$A160)+1)/2)+1)&lt;&gt;""),"",INDEX(Sheet1!$CN:$CN,INT((ROWS($A$10:$A160)+1)/2)+1)&amp;"")</f>
        <v/>
      </c>
      <c r="D160" s="76" t="str">
        <f>IF(OR(AND(INDEX(Sheet1!$AM:$AM,INT((ROWS($A$10:$A160)+1)/2)+1)="",INDEX(Sheet1!$BA:$BA,INT((ROWS($A$10:$A160)+1)/2)+1)&lt;&gt;""),INDEX(Sheet1!$N:$N,INT((ROWS($A$10:$A160)+1)/2)+1)=""),"",INDEX(Sheet1!$N:$N,INT((ROWS($A$10:$A160)+1)/2)+1))</f>
        <v/>
      </c>
      <c r="E160" s="74" t="str">
        <f>IF(INDEX(Sheet1!$AM:$AM,INT((ROWS($A$10:$A160)+1)/2)+1)&lt;&gt;"","第一種","")</f>
        <v/>
      </c>
      <c r="F160" s="77" t="str">
        <f>IF(E160="","",INDEX(Sheet1!$AO:$AO,INT((ROWS($A$10:$A160)+1)/2)+1)&amp;"")</f>
        <v/>
      </c>
      <c r="G160" s="76" t="str">
        <f>IF(OR(E160="",INDEX(Sheet1!$AY:$AY,INT((ROWS($A$10:$A160)+1)/2)+1)=""),"",INDEX(Sheet1!$AY:$AY,INT((ROWS($A$10:$A160)+1)/2)+1))</f>
        <v/>
      </c>
      <c r="H160" s="74" t="str">
        <f>IF(INDEX(Sheet1!$AD:$AD,INT((ROWS($A$10:$A160)+1)/2)+1)="","",INDEX(Sheet1!$AD:$AD,INT((ROWS($A$10:$A160)+1)/2)+1))</f>
        <v/>
      </c>
      <c r="I160" s="76" t="str">
        <f>IF(INDEX(Sheet1!$AK:$AK,INT((ROWS($A$10:$A160)+1)/2)+1)="","",INDEX(Sheet1!$AK:$AK,INT((ROWS($A$10:$A160)+1)/2)+1))</f>
        <v/>
      </c>
      <c r="J160" s="90"/>
    </row>
    <row r="161" spans="1:10" ht="30" customHeight="1" x14ac:dyDescent="0.15">
      <c r="A161" s="74" t="str">
        <f>IF(E161="","",IF(E160="",INDEX(Sheet1!$AC:$AC,INT((ROWS($A$10:$A161)+1)/2)+1)&amp;"","〃"))</f>
        <v/>
      </c>
      <c r="B161" s="74" t="str">
        <f>IF(E161="","",IF(E160="",INDEX(Sheet1!$B:$B,INT((ROWS($A$10:$A161)+1)/2)+1)&amp;"","〃"))</f>
        <v/>
      </c>
      <c r="C161" s="74" t="str">
        <f>IF(E161="","",IF(E160="",INDEX(Sheet1!$CN:$CN,INT((ROWS($A$10:$A161)+1)/2)+1)&amp;"","〃"))</f>
        <v/>
      </c>
      <c r="D161" s="76" t="str">
        <f>IF(E161="","",IF(E160="",IF(INDEX(Sheet1!$N:$N,INT((ROWS($A$10:$A161)+1)/2)+1)="","",INDEX(Sheet1!$N:$N,INT((ROWS($A$10:$A161)+1)/2)+1)),"〃"))</f>
        <v/>
      </c>
      <c r="E161" s="74" t="str">
        <f>IF(INDEX(Sheet1!$BA:$BA,INT((ROWS($A$10:$A161)+1)/2)+1)&lt;&gt;"","わな猟","")</f>
        <v/>
      </c>
      <c r="F161" s="77" t="str">
        <f>IF(E161="","",INDEX(Sheet1!$BC:$BC,INT((ROWS($A$10:$A161)+1)/2)+1)&amp;"")</f>
        <v/>
      </c>
      <c r="G161" s="76" t="str">
        <f>IF(E161="","",IF(INDEX(Sheet1!$BM:$BM,INT((ROWS($A$10:$A161)+1)/2)+1)="","",INDEX(Sheet1!$BM:$BM,INT((ROWS($A$10:$A161)+1)/2)+1)))</f>
        <v/>
      </c>
      <c r="H161" s="78"/>
      <c r="I161" s="73"/>
      <c r="J161" s="90"/>
    </row>
    <row r="162" spans="1:10" s="71" customFormat="1" ht="30" customHeight="1" x14ac:dyDescent="0.15">
      <c r="A162" s="74" t="str">
        <f>IF(AND(INDEX(Sheet1!$AM:$AM,INT((ROWS($A$10:$A162)+1)/2)+1)="",INDEX(Sheet1!$BA:$BA,INT((ROWS($A$10:$A162)+1)/2)+1)&lt;&gt;""),"",INDEX(Sheet1!$AC:$AC,INT((ROWS($A$10:$A162)+1)/2)+1)&amp;"")</f>
        <v/>
      </c>
      <c r="B162" s="74" t="str">
        <f>IF(AND(INDEX(Sheet1!$AM:$AM,INT((ROWS($A$10:$A162)+1)/2)+1)="",INDEX(Sheet1!$BA:$BA,INT((ROWS($A$10:$A162)+1)/2)+1)&lt;&gt;""),"",INDEX(Sheet1!$B:$B,INT((ROWS($A$10:$A162)+1)/2)+1)&amp;"")</f>
        <v/>
      </c>
      <c r="C162" s="74" t="str">
        <f>IF(AND(INDEX(Sheet1!$AM:$AM,INT((ROWS($A$10:$A162)+1)/2)+1)="",INDEX(Sheet1!$BA:$BA,INT((ROWS($A$10:$A162)+1)/2)+1)&lt;&gt;""),"",INDEX(Sheet1!$CN:$CN,INT((ROWS($A$10:$A162)+1)/2)+1)&amp;"")</f>
        <v/>
      </c>
      <c r="D162" s="76" t="str">
        <f>IF(OR(AND(INDEX(Sheet1!$AM:$AM,INT((ROWS($A$10:$A162)+1)/2)+1)="",INDEX(Sheet1!$BA:$BA,INT((ROWS($A$10:$A162)+1)/2)+1)&lt;&gt;""),INDEX(Sheet1!$N:$N,INT((ROWS($A$10:$A162)+1)/2)+1)=""),"",INDEX(Sheet1!$N:$N,INT((ROWS($A$10:$A162)+1)/2)+1))</f>
        <v/>
      </c>
      <c r="E162" s="74" t="str">
        <f>IF(INDEX(Sheet1!$AM:$AM,INT((ROWS($A$10:$A162)+1)/2)+1)&lt;&gt;"","第一種","")</f>
        <v/>
      </c>
      <c r="F162" s="77" t="str">
        <f>IF(E162="","",INDEX(Sheet1!$AO:$AO,INT((ROWS($A$10:$A162)+1)/2)+1)&amp;"")</f>
        <v/>
      </c>
      <c r="G162" s="76" t="str">
        <f>IF(OR(E162="",INDEX(Sheet1!$AY:$AY,INT((ROWS($A$10:$A162)+1)/2)+1)=""),"",INDEX(Sheet1!$AY:$AY,INT((ROWS($A$10:$A162)+1)/2)+1))</f>
        <v/>
      </c>
      <c r="H162" s="74" t="str">
        <f>IF(INDEX(Sheet1!$AD:$AD,INT((ROWS($A$10:$A162)+1)/2)+1)="","",INDEX(Sheet1!$AD:$AD,INT((ROWS($A$10:$A162)+1)/2)+1))</f>
        <v/>
      </c>
      <c r="I162" s="76" t="str">
        <f>IF(INDEX(Sheet1!$AK:$AK,INT((ROWS($A$10:$A162)+1)/2)+1)="","",INDEX(Sheet1!$AK:$AK,INT((ROWS($A$10:$A162)+1)/2)+1))</f>
        <v/>
      </c>
      <c r="J162" s="90"/>
    </row>
    <row r="163" spans="1:10" ht="30" customHeight="1" x14ac:dyDescent="0.15">
      <c r="A163" s="74" t="str">
        <f>IF(E163="","",IF(E162="",INDEX(Sheet1!$AC:$AC,INT((ROWS($A$10:$A163)+1)/2)+1)&amp;"","〃"))</f>
        <v/>
      </c>
      <c r="B163" s="74" t="str">
        <f>IF(E163="","",IF(E162="",INDEX(Sheet1!$B:$B,INT((ROWS($A$10:$A163)+1)/2)+1)&amp;"","〃"))</f>
        <v/>
      </c>
      <c r="C163" s="74" t="str">
        <f>IF(E163="","",IF(E162="",INDEX(Sheet1!$CN:$CN,INT((ROWS($A$10:$A163)+1)/2)+1)&amp;"","〃"))</f>
        <v/>
      </c>
      <c r="D163" s="76" t="str">
        <f>IF(E163="","",IF(E162="",IF(INDEX(Sheet1!$N:$N,INT((ROWS($A$10:$A163)+1)/2)+1)="","",INDEX(Sheet1!$N:$N,INT((ROWS($A$10:$A163)+1)/2)+1)),"〃"))</f>
        <v/>
      </c>
      <c r="E163" s="74" t="str">
        <f>IF(INDEX(Sheet1!$BA:$BA,INT((ROWS($A$10:$A163)+1)/2)+1)&lt;&gt;"","わな猟","")</f>
        <v/>
      </c>
      <c r="F163" s="77" t="str">
        <f>IF(E163="","",INDEX(Sheet1!$BC:$BC,INT((ROWS($A$10:$A163)+1)/2)+1)&amp;"")</f>
        <v/>
      </c>
      <c r="G163" s="76" t="str">
        <f>IF(E163="","",IF(INDEX(Sheet1!$BM:$BM,INT((ROWS($A$10:$A163)+1)/2)+1)="","",INDEX(Sheet1!$BM:$BM,INT((ROWS($A$10:$A163)+1)/2)+1)))</f>
        <v/>
      </c>
      <c r="H163" s="78"/>
      <c r="I163" s="73"/>
      <c r="J163" s="90"/>
    </row>
    <row r="164" spans="1:10" s="71" customFormat="1" ht="30" customHeight="1" x14ac:dyDescent="0.15">
      <c r="A164" s="74" t="str">
        <f>IF(AND(INDEX(Sheet1!$AM:$AM,INT((ROWS($A$10:$A164)+1)/2)+1)="",INDEX(Sheet1!$BA:$BA,INT((ROWS($A$10:$A164)+1)/2)+1)&lt;&gt;""),"",INDEX(Sheet1!$AC:$AC,INT((ROWS($A$10:$A164)+1)/2)+1)&amp;"")</f>
        <v/>
      </c>
      <c r="B164" s="74" t="str">
        <f>IF(AND(INDEX(Sheet1!$AM:$AM,INT((ROWS($A$10:$A164)+1)/2)+1)="",INDEX(Sheet1!$BA:$BA,INT((ROWS($A$10:$A164)+1)/2)+1)&lt;&gt;""),"",INDEX(Sheet1!$B:$B,INT((ROWS($A$10:$A164)+1)/2)+1)&amp;"")</f>
        <v/>
      </c>
      <c r="C164" s="74" t="str">
        <f>IF(AND(INDEX(Sheet1!$AM:$AM,INT((ROWS($A$10:$A164)+1)/2)+1)="",INDEX(Sheet1!$BA:$BA,INT((ROWS($A$10:$A164)+1)/2)+1)&lt;&gt;""),"",INDEX(Sheet1!$CN:$CN,INT((ROWS($A$10:$A164)+1)/2)+1)&amp;"")</f>
        <v/>
      </c>
      <c r="D164" s="76" t="str">
        <f>IF(OR(AND(INDEX(Sheet1!$AM:$AM,INT((ROWS($A$10:$A164)+1)/2)+1)="",INDEX(Sheet1!$BA:$BA,INT((ROWS($A$10:$A164)+1)/2)+1)&lt;&gt;""),INDEX(Sheet1!$N:$N,INT((ROWS($A$10:$A164)+1)/2)+1)=""),"",INDEX(Sheet1!$N:$N,INT((ROWS($A$10:$A164)+1)/2)+1))</f>
        <v/>
      </c>
      <c r="E164" s="74" t="str">
        <f>IF(INDEX(Sheet1!$AM:$AM,INT((ROWS($A$10:$A164)+1)/2)+1)&lt;&gt;"","第一種","")</f>
        <v/>
      </c>
      <c r="F164" s="77" t="str">
        <f>IF(E164="","",INDEX(Sheet1!$AO:$AO,INT((ROWS($A$10:$A164)+1)/2)+1)&amp;"")</f>
        <v/>
      </c>
      <c r="G164" s="76" t="str">
        <f>IF(OR(E164="",INDEX(Sheet1!$AY:$AY,INT((ROWS($A$10:$A164)+1)/2)+1)=""),"",INDEX(Sheet1!$AY:$AY,INT((ROWS($A$10:$A164)+1)/2)+1))</f>
        <v/>
      </c>
      <c r="H164" s="74" t="str">
        <f>IF(INDEX(Sheet1!$AD:$AD,INT((ROWS($A$10:$A164)+1)/2)+1)="","",INDEX(Sheet1!$AD:$AD,INT((ROWS($A$10:$A164)+1)/2)+1))</f>
        <v/>
      </c>
      <c r="I164" s="76" t="str">
        <f>IF(INDEX(Sheet1!$AK:$AK,INT((ROWS($A$10:$A164)+1)/2)+1)="","",INDEX(Sheet1!$AK:$AK,INT((ROWS($A$10:$A164)+1)/2)+1))</f>
        <v/>
      </c>
      <c r="J164" s="90"/>
    </row>
    <row r="165" spans="1:10" ht="30" customHeight="1" x14ac:dyDescent="0.15">
      <c r="A165" s="74" t="str">
        <f>IF(E165="","",IF(E164="",INDEX(Sheet1!$AC:$AC,INT((ROWS($A$10:$A165)+1)/2)+1)&amp;"","〃"))</f>
        <v/>
      </c>
      <c r="B165" s="74" t="str">
        <f>IF(E165="","",IF(E164="",INDEX(Sheet1!$B:$B,INT((ROWS($A$10:$A165)+1)/2)+1)&amp;"","〃"))</f>
        <v/>
      </c>
      <c r="C165" s="74" t="str">
        <f>IF(E165="","",IF(E164="",INDEX(Sheet1!$CN:$CN,INT((ROWS($A$10:$A165)+1)/2)+1)&amp;"","〃"))</f>
        <v/>
      </c>
      <c r="D165" s="76" t="str">
        <f>IF(E165="","",IF(E164="",IF(INDEX(Sheet1!$N:$N,INT((ROWS($A$10:$A165)+1)/2)+1)="","",INDEX(Sheet1!$N:$N,INT((ROWS($A$10:$A165)+1)/2)+1)),"〃"))</f>
        <v/>
      </c>
      <c r="E165" s="74" t="str">
        <f>IF(INDEX(Sheet1!$BA:$BA,INT((ROWS($A$10:$A165)+1)/2)+1)&lt;&gt;"","わな猟","")</f>
        <v/>
      </c>
      <c r="F165" s="77" t="str">
        <f>IF(E165="","",INDEX(Sheet1!$BC:$BC,INT((ROWS($A$10:$A165)+1)/2)+1)&amp;"")</f>
        <v/>
      </c>
      <c r="G165" s="76" t="str">
        <f>IF(E165="","",IF(INDEX(Sheet1!$BM:$BM,INT((ROWS($A$10:$A165)+1)/2)+1)="","",INDEX(Sheet1!$BM:$BM,INT((ROWS($A$10:$A165)+1)/2)+1)))</f>
        <v/>
      </c>
      <c r="H165" s="78"/>
      <c r="I165" s="73"/>
      <c r="J165" s="90"/>
    </row>
    <row r="166" spans="1:10" s="71" customFormat="1" ht="30" customHeight="1" x14ac:dyDescent="0.15">
      <c r="A166" s="74" t="str">
        <f>IF(AND(INDEX(Sheet1!$AM:$AM,INT((ROWS($A$10:$A166)+1)/2)+1)="",INDEX(Sheet1!$BA:$BA,INT((ROWS($A$10:$A166)+1)/2)+1)&lt;&gt;""),"",INDEX(Sheet1!$AC:$AC,INT((ROWS($A$10:$A166)+1)/2)+1)&amp;"")</f>
        <v/>
      </c>
      <c r="B166" s="74" t="str">
        <f>IF(AND(INDEX(Sheet1!$AM:$AM,INT((ROWS($A$10:$A166)+1)/2)+1)="",INDEX(Sheet1!$BA:$BA,INT((ROWS($A$10:$A166)+1)/2)+1)&lt;&gt;""),"",INDEX(Sheet1!$B:$B,INT((ROWS($A$10:$A166)+1)/2)+1)&amp;"")</f>
        <v/>
      </c>
      <c r="C166" s="74" t="str">
        <f>IF(AND(INDEX(Sheet1!$AM:$AM,INT((ROWS($A$10:$A166)+1)/2)+1)="",INDEX(Sheet1!$BA:$BA,INT((ROWS($A$10:$A166)+1)/2)+1)&lt;&gt;""),"",INDEX(Sheet1!$CN:$CN,INT((ROWS($A$10:$A166)+1)/2)+1)&amp;"")</f>
        <v/>
      </c>
      <c r="D166" s="76" t="str">
        <f>IF(OR(AND(INDEX(Sheet1!$AM:$AM,INT((ROWS($A$10:$A166)+1)/2)+1)="",INDEX(Sheet1!$BA:$BA,INT((ROWS($A$10:$A166)+1)/2)+1)&lt;&gt;""),INDEX(Sheet1!$N:$N,INT((ROWS($A$10:$A166)+1)/2)+1)=""),"",INDEX(Sheet1!$N:$N,INT((ROWS($A$10:$A166)+1)/2)+1))</f>
        <v/>
      </c>
      <c r="E166" s="74" t="str">
        <f>IF(INDEX(Sheet1!$AM:$AM,INT((ROWS($A$10:$A166)+1)/2)+1)&lt;&gt;"","第一種","")</f>
        <v/>
      </c>
      <c r="F166" s="77" t="str">
        <f>IF(E166="","",INDEX(Sheet1!$AO:$AO,INT((ROWS($A$10:$A166)+1)/2)+1)&amp;"")</f>
        <v/>
      </c>
      <c r="G166" s="76" t="str">
        <f>IF(OR(E166="",INDEX(Sheet1!$AY:$AY,INT((ROWS($A$10:$A166)+1)/2)+1)=""),"",INDEX(Sheet1!$AY:$AY,INT((ROWS($A$10:$A166)+1)/2)+1))</f>
        <v/>
      </c>
      <c r="H166" s="74" t="str">
        <f>IF(INDEX(Sheet1!$AD:$AD,INT((ROWS($A$10:$A166)+1)/2)+1)="","",INDEX(Sheet1!$AD:$AD,INT((ROWS($A$10:$A166)+1)/2)+1))</f>
        <v/>
      </c>
      <c r="I166" s="76" t="str">
        <f>IF(INDEX(Sheet1!$AK:$AK,INT((ROWS($A$10:$A166)+1)/2)+1)="","",INDEX(Sheet1!$AK:$AK,INT((ROWS($A$10:$A166)+1)/2)+1))</f>
        <v/>
      </c>
      <c r="J166" s="90"/>
    </row>
    <row r="167" spans="1:10" ht="30" customHeight="1" x14ac:dyDescent="0.15">
      <c r="A167" s="74" t="str">
        <f>IF(E167="","",IF(E166="",INDEX(Sheet1!$AC:$AC,INT((ROWS($A$10:$A167)+1)/2)+1)&amp;"","〃"))</f>
        <v/>
      </c>
      <c r="B167" s="74" t="str">
        <f>IF(E167="","",IF(E166="",INDEX(Sheet1!$B:$B,INT((ROWS($A$10:$A167)+1)/2)+1)&amp;"","〃"))</f>
        <v/>
      </c>
      <c r="C167" s="74" t="str">
        <f>IF(E167="","",IF(E166="",INDEX(Sheet1!$CN:$CN,INT((ROWS($A$10:$A167)+1)/2)+1)&amp;"","〃"))</f>
        <v/>
      </c>
      <c r="D167" s="76" t="str">
        <f>IF(E167="","",IF(E166="",IF(INDEX(Sheet1!$N:$N,INT((ROWS($A$10:$A167)+1)/2)+1)="","",INDEX(Sheet1!$N:$N,INT((ROWS($A$10:$A167)+1)/2)+1)),"〃"))</f>
        <v/>
      </c>
      <c r="E167" s="74" t="str">
        <f>IF(INDEX(Sheet1!$BA:$BA,INT((ROWS($A$10:$A167)+1)/2)+1)&lt;&gt;"","わな猟","")</f>
        <v/>
      </c>
      <c r="F167" s="77" t="str">
        <f>IF(E167="","",INDEX(Sheet1!$BC:$BC,INT((ROWS($A$10:$A167)+1)/2)+1)&amp;"")</f>
        <v/>
      </c>
      <c r="G167" s="76" t="str">
        <f>IF(E167="","",IF(INDEX(Sheet1!$BM:$BM,INT((ROWS($A$10:$A167)+1)/2)+1)="","",INDEX(Sheet1!$BM:$BM,INT((ROWS($A$10:$A167)+1)/2)+1)))</f>
        <v/>
      </c>
      <c r="H167" s="78"/>
      <c r="I167" s="73"/>
      <c r="J167" s="90"/>
    </row>
    <row r="168" spans="1:10" s="71" customFormat="1" ht="30" customHeight="1" x14ac:dyDescent="0.15">
      <c r="A168" s="74" t="str">
        <f>IF(AND(INDEX(Sheet1!$AM:$AM,INT((ROWS($A$10:$A168)+1)/2)+1)="",INDEX(Sheet1!$BA:$BA,INT((ROWS($A$10:$A168)+1)/2)+1)&lt;&gt;""),"",INDEX(Sheet1!$AC:$AC,INT((ROWS($A$10:$A168)+1)/2)+1)&amp;"")</f>
        <v/>
      </c>
      <c r="B168" s="74" t="str">
        <f>IF(AND(INDEX(Sheet1!$AM:$AM,INT((ROWS($A$10:$A168)+1)/2)+1)="",INDEX(Sheet1!$BA:$BA,INT((ROWS($A$10:$A168)+1)/2)+1)&lt;&gt;""),"",INDEX(Sheet1!$B:$B,INT((ROWS($A$10:$A168)+1)/2)+1)&amp;"")</f>
        <v/>
      </c>
      <c r="C168" s="74" t="str">
        <f>IF(AND(INDEX(Sheet1!$AM:$AM,INT((ROWS($A$10:$A168)+1)/2)+1)="",INDEX(Sheet1!$BA:$BA,INT((ROWS($A$10:$A168)+1)/2)+1)&lt;&gt;""),"",INDEX(Sheet1!$CN:$CN,INT((ROWS($A$10:$A168)+1)/2)+1)&amp;"")</f>
        <v/>
      </c>
      <c r="D168" s="76" t="str">
        <f>IF(OR(AND(INDEX(Sheet1!$AM:$AM,INT((ROWS($A$10:$A168)+1)/2)+1)="",INDEX(Sheet1!$BA:$BA,INT((ROWS($A$10:$A168)+1)/2)+1)&lt;&gt;""),INDEX(Sheet1!$N:$N,INT((ROWS($A$10:$A168)+1)/2)+1)=""),"",INDEX(Sheet1!$N:$N,INT((ROWS($A$10:$A168)+1)/2)+1))</f>
        <v/>
      </c>
      <c r="E168" s="74" t="str">
        <f>IF(INDEX(Sheet1!$AM:$AM,INT((ROWS($A$10:$A168)+1)/2)+1)&lt;&gt;"","第一種","")</f>
        <v/>
      </c>
      <c r="F168" s="77" t="str">
        <f>IF(E168="","",INDEX(Sheet1!$AO:$AO,INT((ROWS($A$10:$A168)+1)/2)+1)&amp;"")</f>
        <v/>
      </c>
      <c r="G168" s="76" t="str">
        <f>IF(OR(E168="",INDEX(Sheet1!$AY:$AY,INT((ROWS($A$10:$A168)+1)/2)+1)=""),"",INDEX(Sheet1!$AY:$AY,INT((ROWS($A$10:$A168)+1)/2)+1))</f>
        <v/>
      </c>
      <c r="H168" s="74" t="str">
        <f>IF(INDEX(Sheet1!$AD:$AD,INT((ROWS($A$10:$A168)+1)/2)+1)="","",INDEX(Sheet1!$AD:$AD,INT((ROWS($A$10:$A168)+1)/2)+1))</f>
        <v/>
      </c>
      <c r="I168" s="76" t="str">
        <f>IF(INDEX(Sheet1!$AK:$AK,INT((ROWS($A$10:$A168)+1)/2)+1)="","",INDEX(Sheet1!$AK:$AK,INT((ROWS($A$10:$A168)+1)/2)+1))</f>
        <v/>
      </c>
      <c r="J168" s="90"/>
    </row>
    <row r="169" spans="1:10" ht="30" customHeight="1" x14ac:dyDescent="0.15">
      <c r="A169" s="74" t="str">
        <f>IF(E169="","",IF(E168="",INDEX(Sheet1!$AC:$AC,INT((ROWS($A$10:$A169)+1)/2)+1)&amp;"","〃"))</f>
        <v/>
      </c>
      <c r="B169" s="74" t="str">
        <f>IF(E169="","",IF(E168="",INDEX(Sheet1!$B:$B,INT((ROWS($A$10:$A169)+1)/2)+1)&amp;"","〃"))</f>
        <v/>
      </c>
      <c r="C169" s="74" t="str">
        <f>IF(E169="","",IF(E168="",INDEX(Sheet1!$CN:$CN,INT((ROWS($A$10:$A169)+1)/2)+1)&amp;"","〃"))</f>
        <v/>
      </c>
      <c r="D169" s="76" t="str">
        <f>IF(E169="","",IF(E168="",IF(INDEX(Sheet1!$N:$N,INT((ROWS($A$10:$A169)+1)/2)+1)="","",INDEX(Sheet1!$N:$N,INT((ROWS($A$10:$A169)+1)/2)+1)),"〃"))</f>
        <v/>
      </c>
      <c r="E169" s="74" t="str">
        <f>IF(INDEX(Sheet1!$BA:$BA,INT((ROWS($A$10:$A169)+1)/2)+1)&lt;&gt;"","わな猟","")</f>
        <v/>
      </c>
      <c r="F169" s="77" t="str">
        <f>IF(E169="","",INDEX(Sheet1!$BC:$BC,INT((ROWS($A$10:$A169)+1)/2)+1)&amp;"")</f>
        <v/>
      </c>
      <c r="G169" s="76" t="str">
        <f>IF(E169="","",IF(INDEX(Sheet1!$BM:$BM,INT((ROWS($A$10:$A169)+1)/2)+1)="","",INDEX(Sheet1!$BM:$BM,INT((ROWS($A$10:$A169)+1)/2)+1)))</f>
        <v/>
      </c>
      <c r="H169" s="78"/>
      <c r="I169" s="73"/>
      <c r="J169" s="90"/>
    </row>
    <row r="170" spans="1:10" s="71" customFormat="1" ht="30" customHeight="1" x14ac:dyDescent="0.15">
      <c r="A170" s="74" t="str">
        <f>IF(AND(INDEX(Sheet1!$AM:$AM,INT((ROWS($A$10:$A170)+1)/2)+1)="",INDEX(Sheet1!$BA:$BA,INT((ROWS($A$10:$A170)+1)/2)+1)&lt;&gt;""),"",INDEX(Sheet1!$AC:$AC,INT((ROWS($A$10:$A170)+1)/2)+1)&amp;"")</f>
        <v/>
      </c>
      <c r="B170" s="74" t="str">
        <f>IF(AND(INDEX(Sheet1!$AM:$AM,INT((ROWS($A$10:$A170)+1)/2)+1)="",INDEX(Sheet1!$BA:$BA,INT((ROWS($A$10:$A170)+1)/2)+1)&lt;&gt;""),"",INDEX(Sheet1!$B:$B,INT((ROWS($A$10:$A170)+1)/2)+1)&amp;"")</f>
        <v/>
      </c>
      <c r="C170" s="74" t="str">
        <f>IF(AND(INDEX(Sheet1!$AM:$AM,INT((ROWS($A$10:$A170)+1)/2)+1)="",INDEX(Sheet1!$BA:$BA,INT((ROWS($A$10:$A170)+1)/2)+1)&lt;&gt;""),"",INDEX(Sheet1!$CN:$CN,INT((ROWS($A$10:$A170)+1)/2)+1)&amp;"")</f>
        <v/>
      </c>
      <c r="D170" s="76" t="str">
        <f>IF(OR(AND(INDEX(Sheet1!$AM:$AM,INT((ROWS($A$10:$A170)+1)/2)+1)="",INDEX(Sheet1!$BA:$BA,INT((ROWS($A$10:$A170)+1)/2)+1)&lt;&gt;""),INDEX(Sheet1!$N:$N,INT((ROWS($A$10:$A170)+1)/2)+1)=""),"",INDEX(Sheet1!$N:$N,INT((ROWS($A$10:$A170)+1)/2)+1))</f>
        <v/>
      </c>
      <c r="E170" s="74" t="str">
        <f>IF(INDEX(Sheet1!$AM:$AM,INT((ROWS($A$10:$A170)+1)/2)+1)&lt;&gt;"","第一種","")</f>
        <v/>
      </c>
      <c r="F170" s="77" t="str">
        <f>IF(E170="","",INDEX(Sheet1!$AO:$AO,INT((ROWS($A$10:$A170)+1)/2)+1)&amp;"")</f>
        <v/>
      </c>
      <c r="G170" s="76" t="str">
        <f>IF(OR(E170="",INDEX(Sheet1!$AY:$AY,INT((ROWS($A$10:$A170)+1)/2)+1)=""),"",INDEX(Sheet1!$AY:$AY,INT((ROWS($A$10:$A170)+1)/2)+1))</f>
        <v/>
      </c>
      <c r="H170" s="74" t="str">
        <f>IF(INDEX(Sheet1!$AD:$AD,INT((ROWS($A$10:$A170)+1)/2)+1)="","",INDEX(Sheet1!$AD:$AD,INT((ROWS($A$10:$A170)+1)/2)+1))</f>
        <v/>
      </c>
      <c r="I170" s="76" t="str">
        <f>IF(INDEX(Sheet1!$AK:$AK,INT((ROWS($A$10:$A170)+1)/2)+1)="","",INDEX(Sheet1!$AK:$AK,INT((ROWS($A$10:$A170)+1)/2)+1))</f>
        <v/>
      </c>
      <c r="J170" s="90"/>
    </row>
    <row r="171" spans="1:10" ht="30" customHeight="1" x14ac:dyDescent="0.15">
      <c r="A171" s="74" t="str">
        <f>IF(E171="","",IF(E170="",INDEX(Sheet1!$AC:$AC,INT((ROWS($A$10:$A171)+1)/2)+1)&amp;"","〃"))</f>
        <v/>
      </c>
      <c r="B171" s="74" t="str">
        <f>IF(E171="","",IF(E170="",INDEX(Sheet1!$B:$B,INT((ROWS($A$10:$A171)+1)/2)+1)&amp;"","〃"))</f>
        <v/>
      </c>
      <c r="C171" s="74" t="str">
        <f>IF(E171="","",IF(E170="",INDEX(Sheet1!$CN:$CN,INT((ROWS($A$10:$A171)+1)/2)+1)&amp;"","〃"))</f>
        <v/>
      </c>
      <c r="D171" s="76" t="str">
        <f>IF(E171="","",IF(E170="",IF(INDEX(Sheet1!$N:$N,INT((ROWS($A$10:$A171)+1)/2)+1)="","",INDEX(Sheet1!$N:$N,INT((ROWS($A$10:$A171)+1)/2)+1)),"〃"))</f>
        <v/>
      </c>
      <c r="E171" s="74" t="str">
        <f>IF(INDEX(Sheet1!$BA:$BA,INT((ROWS($A$10:$A171)+1)/2)+1)&lt;&gt;"","わな猟","")</f>
        <v/>
      </c>
      <c r="F171" s="77" t="str">
        <f>IF(E171="","",INDEX(Sheet1!$BC:$BC,INT((ROWS($A$10:$A171)+1)/2)+1)&amp;"")</f>
        <v/>
      </c>
      <c r="G171" s="76" t="str">
        <f>IF(E171="","",IF(INDEX(Sheet1!$BM:$BM,INT((ROWS($A$10:$A171)+1)/2)+1)="","",INDEX(Sheet1!$BM:$BM,INT((ROWS($A$10:$A171)+1)/2)+1)))</f>
        <v/>
      </c>
      <c r="H171" s="78"/>
      <c r="I171" s="73"/>
      <c r="J171" s="90"/>
    </row>
    <row r="172" spans="1:10" s="71" customFormat="1" ht="30" customHeight="1" x14ac:dyDescent="0.15">
      <c r="A172" s="74" t="str">
        <f>IF(AND(INDEX(Sheet1!$AM:$AM,INT((ROWS($A$10:$A172)+1)/2)+1)="",INDEX(Sheet1!$BA:$BA,INT((ROWS($A$10:$A172)+1)/2)+1)&lt;&gt;""),"",INDEX(Sheet1!$AC:$AC,INT((ROWS($A$10:$A172)+1)/2)+1)&amp;"")</f>
        <v/>
      </c>
      <c r="B172" s="74" t="str">
        <f>IF(AND(INDEX(Sheet1!$AM:$AM,INT((ROWS($A$10:$A172)+1)/2)+1)="",INDEX(Sheet1!$BA:$BA,INT((ROWS($A$10:$A172)+1)/2)+1)&lt;&gt;""),"",INDEX(Sheet1!$B:$B,INT((ROWS($A$10:$A172)+1)/2)+1)&amp;"")</f>
        <v/>
      </c>
      <c r="C172" s="74" t="str">
        <f>IF(AND(INDEX(Sheet1!$AM:$AM,INT((ROWS($A$10:$A172)+1)/2)+1)="",INDEX(Sheet1!$BA:$BA,INT((ROWS($A$10:$A172)+1)/2)+1)&lt;&gt;""),"",INDEX(Sheet1!$CN:$CN,INT((ROWS($A$10:$A172)+1)/2)+1)&amp;"")</f>
        <v/>
      </c>
      <c r="D172" s="76" t="str">
        <f>IF(OR(AND(INDEX(Sheet1!$AM:$AM,INT((ROWS($A$10:$A172)+1)/2)+1)="",INDEX(Sheet1!$BA:$BA,INT((ROWS($A$10:$A172)+1)/2)+1)&lt;&gt;""),INDEX(Sheet1!$N:$N,INT((ROWS($A$10:$A172)+1)/2)+1)=""),"",INDEX(Sheet1!$N:$N,INT((ROWS($A$10:$A172)+1)/2)+1))</f>
        <v/>
      </c>
      <c r="E172" s="74" t="str">
        <f>IF(INDEX(Sheet1!$AM:$AM,INT((ROWS($A$10:$A172)+1)/2)+1)&lt;&gt;"","第一種","")</f>
        <v/>
      </c>
      <c r="F172" s="77" t="str">
        <f>IF(E172="","",INDEX(Sheet1!$AO:$AO,INT((ROWS($A$10:$A172)+1)/2)+1)&amp;"")</f>
        <v/>
      </c>
      <c r="G172" s="76" t="str">
        <f>IF(OR(E172="",INDEX(Sheet1!$AY:$AY,INT((ROWS($A$10:$A172)+1)/2)+1)=""),"",INDEX(Sheet1!$AY:$AY,INT((ROWS($A$10:$A172)+1)/2)+1))</f>
        <v/>
      </c>
      <c r="H172" s="74" t="str">
        <f>IF(INDEX(Sheet1!$AD:$AD,INT((ROWS($A$10:$A172)+1)/2)+1)="","",INDEX(Sheet1!$AD:$AD,INT((ROWS($A$10:$A172)+1)/2)+1))</f>
        <v/>
      </c>
      <c r="I172" s="76" t="str">
        <f>IF(INDEX(Sheet1!$AK:$AK,INT((ROWS($A$10:$A172)+1)/2)+1)="","",INDEX(Sheet1!$AK:$AK,INT((ROWS($A$10:$A172)+1)/2)+1))</f>
        <v/>
      </c>
      <c r="J172" s="90"/>
    </row>
    <row r="173" spans="1:10" ht="30" customHeight="1" x14ac:dyDescent="0.15">
      <c r="A173" s="74" t="str">
        <f>IF(E173="","",IF(E172="",INDEX(Sheet1!$AC:$AC,INT((ROWS($A$10:$A173)+1)/2)+1)&amp;"","〃"))</f>
        <v/>
      </c>
      <c r="B173" s="74" t="str">
        <f>IF(E173="","",IF(E172="",INDEX(Sheet1!$B:$B,INT((ROWS($A$10:$A173)+1)/2)+1)&amp;"","〃"))</f>
        <v/>
      </c>
      <c r="C173" s="74" t="str">
        <f>IF(E173="","",IF(E172="",INDEX(Sheet1!$CN:$CN,INT((ROWS($A$10:$A173)+1)/2)+1)&amp;"","〃"))</f>
        <v/>
      </c>
      <c r="D173" s="76" t="str">
        <f>IF(E173="","",IF(E172="",IF(INDEX(Sheet1!$N:$N,INT((ROWS($A$10:$A173)+1)/2)+1)="","",INDEX(Sheet1!$N:$N,INT((ROWS($A$10:$A173)+1)/2)+1)),"〃"))</f>
        <v/>
      </c>
      <c r="E173" s="74" t="str">
        <f>IF(INDEX(Sheet1!$BA:$BA,INT((ROWS($A$10:$A173)+1)/2)+1)&lt;&gt;"","わな猟","")</f>
        <v/>
      </c>
      <c r="F173" s="77" t="str">
        <f>IF(E173="","",INDEX(Sheet1!$BC:$BC,INT((ROWS($A$10:$A173)+1)/2)+1)&amp;"")</f>
        <v/>
      </c>
      <c r="G173" s="76" t="str">
        <f>IF(E173="","",IF(INDEX(Sheet1!$BM:$BM,INT((ROWS($A$10:$A173)+1)/2)+1)="","",INDEX(Sheet1!$BM:$BM,INT((ROWS($A$10:$A173)+1)/2)+1)))</f>
        <v/>
      </c>
      <c r="H173" s="78"/>
      <c r="I173" s="73"/>
      <c r="J173" s="90"/>
    </row>
    <row r="174" spans="1:10" s="71" customFormat="1" ht="30" customHeight="1" x14ac:dyDescent="0.15">
      <c r="A174" s="74" t="str">
        <f>IF(AND(INDEX(Sheet1!$AM:$AM,INT((ROWS($A$10:$A174)+1)/2)+1)="",INDEX(Sheet1!$BA:$BA,INT((ROWS($A$10:$A174)+1)/2)+1)&lt;&gt;""),"",INDEX(Sheet1!$AC:$AC,INT((ROWS($A$10:$A174)+1)/2)+1)&amp;"")</f>
        <v/>
      </c>
      <c r="B174" s="74" t="str">
        <f>IF(AND(INDEX(Sheet1!$AM:$AM,INT((ROWS($A$10:$A174)+1)/2)+1)="",INDEX(Sheet1!$BA:$BA,INT((ROWS($A$10:$A174)+1)/2)+1)&lt;&gt;""),"",INDEX(Sheet1!$B:$B,INT((ROWS($A$10:$A174)+1)/2)+1)&amp;"")</f>
        <v/>
      </c>
      <c r="C174" s="74" t="str">
        <f>IF(AND(INDEX(Sheet1!$AM:$AM,INT((ROWS($A$10:$A174)+1)/2)+1)="",INDEX(Sheet1!$BA:$BA,INT((ROWS($A$10:$A174)+1)/2)+1)&lt;&gt;""),"",INDEX(Sheet1!$CN:$CN,INT((ROWS($A$10:$A174)+1)/2)+1)&amp;"")</f>
        <v/>
      </c>
      <c r="D174" s="76" t="str">
        <f>IF(OR(AND(INDEX(Sheet1!$AM:$AM,INT((ROWS($A$10:$A174)+1)/2)+1)="",INDEX(Sheet1!$BA:$BA,INT((ROWS($A$10:$A174)+1)/2)+1)&lt;&gt;""),INDEX(Sheet1!$N:$N,INT((ROWS($A$10:$A174)+1)/2)+1)=""),"",INDEX(Sheet1!$N:$N,INT((ROWS($A$10:$A174)+1)/2)+1))</f>
        <v/>
      </c>
      <c r="E174" s="74" t="str">
        <f>IF(INDEX(Sheet1!$AM:$AM,INT((ROWS($A$10:$A174)+1)/2)+1)&lt;&gt;"","第一種","")</f>
        <v/>
      </c>
      <c r="F174" s="77" t="str">
        <f>IF(E174="","",INDEX(Sheet1!$AO:$AO,INT((ROWS($A$10:$A174)+1)/2)+1)&amp;"")</f>
        <v/>
      </c>
      <c r="G174" s="76" t="str">
        <f>IF(OR(E174="",INDEX(Sheet1!$AY:$AY,INT((ROWS($A$10:$A174)+1)/2)+1)=""),"",INDEX(Sheet1!$AY:$AY,INT((ROWS($A$10:$A174)+1)/2)+1))</f>
        <v/>
      </c>
      <c r="H174" s="74" t="str">
        <f>IF(INDEX(Sheet1!$AD:$AD,INT((ROWS($A$10:$A174)+1)/2)+1)="","",INDEX(Sheet1!$AD:$AD,INT((ROWS($A$10:$A174)+1)/2)+1))</f>
        <v/>
      </c>
      <c r="I174" s="76" t="str">
        <f>IF(INDEX(Sheet1!$AK:$AK,INT((ROWS($A$10:$A174)+1)/2)+1)="","",INDEX(Sheet1!$AK:$AK,INT((ROWS($A$10:$A174)+1)/2)+1))</f>
        <v/>
      </c>
      <c r="J174" s="90"/>
    </row>
    <row r="175" spans="1:10" ht="30" customHeight="1" x14ac:dyDescent="0.15">
      <c r="A175" s="74" t="str">
        <f>IF(E175="","",IF(E174="",INDEX(Sheet1!$AC:$AC,INT((ROWS($A$10:$A175)+1)/2)+1)&amp;"","〃"))</f>
        <v/>
      </c>
      <c r="B175" s="74" t="str">
        <f>IF(E175="","",IF(E174="",INDEX(Sheet1!$B:$B,INT((ROWS($A$10:$A175)+1)/2)+1)&amp;"","〃"))</f>
        <v/>
      </c>
      <c r="C175" s="74" t="str">
        <f>IF(E175="","",IF(E174="",INDEX(Sheet1!$CN:$CN,INT((ROWS($A$10:$A175)+1)/2)+1)&amp;"","〃"))</f>
        <v/>
      </c>
      <c r="D175" s="76" t="str">
        <f>IF(E175="","",IF(E174="",IF(INDEX(Sheet1!$N:$N,INT((ROWS($A$10:$A175)+1)/2)+1)="","",INDEX(Sheet1!$N:$N,INT((ROWS($A$10:$A175)+1)/2)+1)),"〃"))</f>
        <v/>
      </c>
      <c r="E175" s="74" t="str">
        <f>IF(INDEX(Sheet1!$BA:$BA,INT((ROWS($A$10:$A175)+1)/2)+1)&lt;&gt;"","わな猟","")</f>
        <v/>
      </c>
      <c r="F175" s="77" t="str">
        <f>IF(E175="","",INDEX(Sheet1!$BC:$BC,INT((ROWS($A$10:$A175)+1)/2)+1)&amp;"")</f>
        <v/>
      </c>
      <c r="G175" s="76" t="str">
        <f>IF(E175="","",IF(INDEX(Sheet1!$BM:$BM,INT((ROWS($A$10:$A175)+1)/2)+1)="","",INDEX(Sheet1!$BM:$BM,INT((ROWS($A$10:$A175)+1)/2)+1)))</f>
        <v/>
      </c>
      <c r="H175" s="78"/>
      <c r="I175" s="73"/>
      <c r="J175" s="90"/>
    </row>
    <row r="176" spans="1:10" s="71" customFormat="1" ht="30" customHeight="1" x14ac:dyDescent="0.15">
      <c r="A176" s="74" t="str">
        <f>IF(AND(INDEX(Sheet1!$AM:$AM,INT((ROWS($A$10:$A176)+1)/2)+1)="",INDEX(Sheet1!$BA:$BA,INT((ROWS($A$10:$A176)+1)/2)+1)&lt;&gt;""),"",INDEX(Sheet1!$AC:$AC,INT((ROWS($A$10:$A176)+1)/2)+1)&amp;"")</f>
        <v/>
      </c>
      <c r="B176" s="74" t="str">
        <f>IF(AND(INDEX(Sheet1!$AM:$AM,INT((ROWS($A$10:$A176)+1)/2)+1)="",INDEX(Sheet1!$BA:$BA,INT((ROWS($A$10:$A176)+1)/2)+1)&lt;&gt;""),"",INDEX(Sheet1!$B:$B,INT((ROWS($A$10:$A176)+1)/2)+1)&amp;"")</f>
        <v/>
      </c>
      <c r="C176" s="74" t="str">
        <f>IF(AND(INDEX(Sheet1!$AM:$AM,INT((ROWS($A$10:$A176)+1)/2)+1)="",INDEX(Sheet1!$BA:$BA,INT((ROWS($A$10:$A176)+1)/2)+1)&lt;&gt;""),"",INDEX(Sheet1!$CN:$CN,INT((ROWS($A$10:$A176)+1)/2)+1)&amp;"")</f>
        <v/>
      </c>
      <c r="D176" s="76" t="str">
        <f>IF(OR(AND(INDEX(Sheet1!$AM:$AM,INT((ROWS($A$10:$A176)+1)/2)+1)="",INDEX(Sheet1!$BA:$BA,INT((ROWS($A$10:$A176)+1)/2)+1)&lt;&gt;""),INDEX(Sheet1!$N:$N,INT((ROWS($A$10:$A176)+1)/2)+1)=""),"",INDEX(Sheet1!$N:$N,INT((ROWS($A$10:$A176)+1)/2)+1))</f>
        <v/>
      </c>
      <c r="E176" s="74" t="str">
        <f>IF(INDEX(Sheet1!$AM:$AM,INT((ROWS($A$10:$A176)+1)/2)+1)&lt;&gt;"","第一種","")</f>
        <v/>
      </c>
      <c r="F176" s="77" t="str">
        <f>IF(E176="","",INDEX(Sheet1!$AO:$AO,INT((ROWS($A$10:$A176)+1)/2)+1)&amp;"")</f>
        <v/>
      </c>
      <c r="G176" s="76" t="str">
        <f>IF(OR(E176="",INDEX(Sheet1!$AY:$AY,INT((ROWS($A$10:$A176)+1)/2)+1)=""),"",INDEX(Sheet1!$AY:$AY,INT((ROWS($A$10:$A176)+1)/2)+1))</f>
        <v/>
      </c>
      <c r="H176" s="74" t="str">
        <f>IF(INDEX(Sheet1!$AD:$AD,INT((ROWS($A$10:$A176)+1)/2)+1)="","",INDEX(Sheet1!$AD:$AD,INT((ROWS($A$10:$A176)+1)/2)+1))</f>
        <v/>
      </c>
      <c r="I176" s="76" t="str">
        <f>IF(INDEX(Sheet1!$AK:$AK,INT((ROWS($A$10:$A176)+1)/2)+1)="","",INDEX(Sheet1!$AK:$AK,INT((ROWS($A$10:$A176)+1)/2)+1))</f>
        <v/>
      </c>
      <c r="J176" s="90"/>
    </row>
    <row r="177" spans="1:10" ht="30" customHeight="1" x14ac:dyDescent="0.15">
      <c r="A177" s="74" t="str">
        <f>IF(E177="","",IF(E176="",INDEX(Sheet1!$AC:$AC,INT((ROWS($A$10:$A177)+1)/2)+1)&amp;"","〃"))</f>
        <v/>
      </c>
      <c r="B177" s="74" t="str">
        <f>IF(E177="","",IF(E176="",INDEX(Sheet1!$B:$B,INT((ROWS($A$10:$A177)+1)/2)+1)&amp;"","〃"))</f>
        <v/>
      </c>
      <c r="C177" s="74" t="str">
        <f>IF(E177="","",IF(E176="",INDEX(Sheet1!$CN:$CN,INT((ROWS($A$10:$A177)+1)/2)+1)&amp;"","〃"))</f>
        <v/>
      </c>
      <c r="D177" s="76" t="str">
        <f>IF(E177="","",IF(E176="",IF(INDEX(Sheet1!$N:$N,INT((ROWS($A$10:$A177)+1)/2)+1)="","",INDEX(Sheet1!$N:$N,INT((ROWS($A$10:$A177)+1)/2)+1)),"〃"))</f>
        <v/>
      </c>
      <c r="E177" s="74" t="str">
        <f>IF(INDEX(Sheet1!$BA:$BA,INT((ROWS($A$10:$A177)+1)/2)+1)&lt;&gt;"","わな猟","")</f>
        <v/>
      </c>
      <c r="F177" s="77" t="str">
        <f>IF(E177="","",INDEX(Sheet1!$BC:$BC,INT((ROWS($A$10:$A177)+1)/2)+1)&amp;"")</f>
        <v/>
      </c>
      <c r="G177" s="76" t="str">
        <f>IF(E177="","",IF(INDEX(Sheet1!$BM:$BM,INT((ROWS($A$10:$A177)+1)/2)+1)="","",INDEX(Sheet1!$BM:$BM,INT((ROWS($A$10:$A177)+1)/2)+1)))</f>
        <v/>
      </c>
      <c r="H177" s="78"/>
      <c r="I177" s="73"/>
      <c r="J177" s="90"/>
    </row>
    <row r="178" spans="1:10" s="71" customFormat="1" ht="30" customHeight="1" x14ac:dyDescent="0.15">
      <c r="A178" s="74" t="str">
        <f>IF(AND(INDEX(Sheet1!$AM:$AM,INT((ROWS($A$10:$A178)+1)/2)+1)="",INDEX(Sheet1!$BA:$BA,INT((ROWS($A$10:$A178)+1)/2)+1)&lt;&gt;""),"",INDEX(Sheet1!$AC:$AC,INT((ROWS($A$10:$A178)+1)/2)+1)&amp;"")</f>
        <v/>
      </c>
      <c r="B178" s="74" t="str">
        <f>IF(AND(INDEX(Sheet1!$AM:$AM,INT((ROWS($A$10:$A178)+1)/2)+1)="",INDEX(Sheet1!$BA:$BA,INT((ROWS($A$10:$A178)+1)/2)+1)&lt;&gt;""),"",INDEX(Sheet1!$B:$B,INT((ROWS($A$10:$A178)+1)/2)+1)&amp;"")</f>
        <v/>
      </c>
      <c r="C178" s="74" t="str">
        <f>IF(AND(INDEX(Sheet1!$AM:$AM,INT((ROWS($A$10:$A178)+1)/2)+1)="",INDEX(Sheet1!$BA:$BA,INT((ROWS($A$10:$A178)+1)/2)+1)&lt;&gt;""),"",INDEX(Sheet1!$CN:$CN,INT((ROWS($A$10:$A178)+1)/2)+1)&amp;"")</f>
        <v/>
      </c>
      <c r="D178" s="76" t="str">
        <f>IF(OR(AND(INDEX(Sheet1!$AM:$AM,INT((ROWS($A$10:$A178)+1)/2)+1)="",INDEX(Sheet1!$BA:$BA,INT((ROWS($A$10:$A178)+1)/2)+1)&lt;&gt;""),INDEX(Sheet1!$N:$N,INT((ROWS($A$10:$A178)+1)/2)+1)=""),"",INDEX(Sheet1!$N:$N,INT((ROWS($A$10:$A178)+1)/2)+1))</f>
        <v/>
      </c>
      <c r="E178" s="74" t="str">
        <f>IF(INDEX(Sheet1!$AM:$AM,INT((ROWS($A$10:$A178)+1)/2)+1)&lt;&gt;"","第一種","")</f>
        <v/>
      </c>
      <c r="F178" s="77" t="str">
        <f>IF(E178="","",INDEX(Sheet1!$AO:$AO,INT((ROWS($A$10:$A178)+1)/2)+1)&amp;"")</f>
        <v/>
      </c>
      <c r="G178" s="76" t="str">
        <f>IF(OR(E178="",INDEX(Sheet1!$AY:$AY,INT((ROWS($A$10:$A178)+1)/2)+1)=""),"",INDEX(Sheet1!$AY:$AY,INT((ROWS($A$10:$A178)+1)/2)+1))</f>
        <v/>
      </c>
      <c r="H178" s="74" t="str">
        <f>IF(INDEX(Sheet1!$AD:$AD,INT((ROWS($A$10:$A178)+1)/2)+1)="","",INDEX(Sheet1!$AD:$AD,INT((ROWS($A$10:$A178)+1)/2)+1))</f>
        <v/>
      </c>
      <c r="I178" s="76" t="str">
        <f>IF(INDEX(Sheet1!$AK:$AK,INT((ROWS($A$10:$A178)+1)/2)+1)="","",INDEX(Sheet1!$AK:$AK,INT((ROWS($A$10:$A178)+1)/2)+1))</f>
        <v/>
      </c>
      <c r="J178" s="90"/>
    </row>
    <row r="179" spans="1:10" ht="30" customHeight="1" x14ac:dyDescent="0.15">
      <c r="A179" s="74" t="str">
        <f>IF(E179="","",IF(E178="",INDEX(Sheet1!$AC:$AC,INT((ROWS($A$10:$A179)+1)/2)+1)&amp;"","〃"))</f>
        <v/>
      </c>
      <c r="B179" s="74" t="str">
        <f>IF(E179="","",IF(E178="",INDEX(Sheet1!$B:$B,INT((ROWS($A$10:$A179)+1)/2)+1)&amp;"","〃"))</f>
        <v/>
      </c>
      <c r="C179" s="74" t="str">
        <f>IF(E179="","",IF(E178="",INDEX(Sheet1!$CN:$CN,INT((ROWS($A$10:$A179)+1)/2)+1)&amp;"","〃"))</f>
        <v/>
      </c>
      <c r="D179" s="76" t="str">
        <f>IF(E179="","",IF(E178="",IF(INDEX(Sheet1!$N:$N,INT((ROWS($A$10:$A179)+1)/2)+1)="","",INDEX(Sheet1!$N:$N,INT((ROWS($A$10:$A179)+1)/2)+1)),"〃"))</f>
        <v/>
      </c>
      <c r="E179" s="74" t="str">
        <f>IF(INDEX(Sheet1!$BA:$BA,INT((ROWS($A$10:$A179)+1)/2)+1)&lt;&gt;"","わな猟","")</f>
        <v/>
      </c>
      <c r="F179" s="77" t="str">
        <f>IF(E179="","",INDEX(Sheet1!$BC:$BC,INT((ROWS($A$10:$A179)+1)/2)+1)&amp;"")</f>
        <v/>
      </c>
      <c r="G179" s="76" t="str">
        <f>IF(E179="","",IF(INDEX(Sheet1!$BM:$BM,INT((ROWS($A$10:$A179)+1)/2)+1)="","",INDEX(Sheet1!$BM:$BM,INT((ROWS($A$10:$A179)+1)/2)+1)))</f>
        <v/>
      </c>
      <c r="H179" s="78"/>
      <c r="I179" s="73"/>
      <c r="J179" s="90"/>
    </row>
    <row r="180" spans="1:10" s="71" customFormat="1" ht="30" customHeight="1" x14ac:dyDescent="0.15">
      <c r="A180" s="74" t="str">
        <f>IF(AND(INDEX(Sheet1!$AM:$AM,INT((ROWS($A$10:$A180)+1)/2)+1)="",INDEX(Sheet1!$BA:$BA,INT((ROWS($A$10:$A180)+1)/2)+1)&lt;&gt;""),"",INDEX(Sheet1!$AC:$AC,INT((ROWS($A$10:$A180)+1)/2)+1)&amp;"")</f>
        <v/>
      </c>
      <c r="B180" s="74" t="str">
        <f>IF(AND(INDEX(Sheet1!$AM:$AM,INT((ROWS($A$10:$A180)+1)/2)+1)="",INDEX(Sheet1!$BA:$BA,INT((ROWS($A$10:$A180)+1)/2)+1)&lt;&gt;""),"",INDEX(Sheet1!$B:$B,INT((ROWS($A$10:$A180)+1)/2)+1)&amp;"")</f>
        <v/>
      </c>
      <c r="C180" s="74" t="str">
        <f>IF(AND(INDEX(Sheet1!$AM:$AM,INT((ROWS($A$10:$A180)+1)/2)+1)="",INDEX(Sheet1!$BA:$BA,INT((ROWS($A$10:$A180)+1)/2)+1)&lt;&gt;""),"",INDEX(Sheet1!$CN:$CN,INT((ROWS($A$10:$A180)+1)/2)+1)&amp;"")</f>
        <v/>
      </c>
      <c r="D180" s="76" t="str">
        <f>IF(OR(AND(INDEX(Sheet1!$AM:$AM,INT((ROWS($A$10:$A180)+1)/2)+1)="",INDEX(Sheet1!$BA:$BA,INT((ROWS($A$10:$A180)+1)/2)+1)&lt;&gt;""),INDEX(Sheet1!$N:$N,INT((ROWS($A$10:$A180)+1)/2)+1)=""),"",INDEX(Sheet1!$N:$N,INT((ROWS($A$10:$A180)+1)/2)+1))</f>
        <v/>
      </c>
      <c r="E180" s="74" t="str">
        <f>IF(INDEX(Sheet1!$AM:$AM,INT((ROWS($A$10:$A180)+1)/2)+1)&lt;&gt;"","第一種","")</f>
        <v/>
      </c>
      <c r="F180" s="77" t="str">
        <f>IF(E180="","",INDEX(Sheet1!$AO:$AO,INT((ROWS($A$10:$A180)+1)/2)+1)&amp;"")</f>
        <v/>
      </c>
      <c r="G180" s="76" t="str">
        <f>IF(OR(E180="",INDEX(Sheet1!$AY:$AY,INT((ROWS($A$10:$A180)+1)/2)+1)=""),"",INDEX(Sheet1!$AY:$AY,INT((ROWS($A$10:$A180)+1)/2)+1))</f>
        <v/>
      </c>
      <c r="H180" s="74" t="str">
        <f>IF(INDEX(Sheet1!$AD:$AD,INT((ROWS($A$10:$A180)+1)/2)+1)="","",INDEX(Sheet1!$AD:$AD,INT((ROWS($A$10:$A180)+1)/2)+1))</f>
        <v/>
      </c>
      <c r="I180" s="76" t="str">
        <f>IF(INDEX(Sheet1!$AK:$AK,INT((ROWS($A$10:$A180)+1)/2)+1)="","",INDEX(Sheet1!$AK:$AK,INT((ROWS($A$10:$A180)+1)/2)+1))</f>
        <v/>
      </c>
      <c r="J180" s="90"/>
    </row>
    <row r="181" spans="1:10" ht="30" customHeight="1" x14ac:dyDescent="0.15">
      <c r="A181" s="74" t="str">
        <f>IF(E181="","",IF(E180="",INDEX(Sheet1!$AC:$AC,INT((ROWS($A$10:$A181)+1)/2)+1)&amp;"","〃"))</f>
        <v/>
      </c>
      <c r="B181" s="74" t="str">
        <f>IF(E181="","",IF(E180="",INDEX(Sheet1!$B:$B,INT((ROWS($A$10:$A181)+1)/2)+1)&amp;"","〃"))</f>
        <v/>
      </c>
      <c r="C181" s="74" t="str">
        <f>IF(E181="","",IF(E180="",INDEX(Sheet1!$CN:$CN,INT((ROWS($A$10:$A181)+1)/2)+1)&amp;"","〃"))</f>
        <v/>
      </c>
      <c r="D181" s="76" t="str">
        <f>IF(E181="","",IF(E180="",IF(INDEX(Sheet1!$N:$N,INT((ROWS($A$10:$A181)+1)/2)+1)="","",INDEX(Sheet1!$N:$N,INT((ROWS($A$10:$A181)+1)/2)+1)),"〃"))</f>
        <v/>
      </c>
      <c r="E181" s="74" t="str">
        <f>IF(INDEX(Sheet1!$BA:$BA,INT((ROWS($A$10:$A181)+1)/2)+1)&lt;&gt;"","わな猟","")</f>
        <v/>
      </c>
      <c r="F181" s="77" t="str">
        <f>IF(E181="","",INDEX(Sheet1!$BC:$BC,INT((ROWS($A$10:$A181)+1)/2)+1)&amp;"")</f>
        <v/>
      </c>
      <c r="G181" s="76" t="str">
        <f>IF(E181="","",IF(INDEX(Sheet1!$BM:$BM,INT((ROWS($A$10:$A181)+1)/2)+1)="","",INDEX(Sheet1!$BM:$BM,INT((ROWS($A$10:$A181)+1)/2)+1)))</f>
        <v/>
      </c>
      <c r="H181" s="78"/>
      <c r="I181" s="73"/>
      <c r="J181" s="90"/>
    </row>
    <row r="182" spans="1:10" s="71" customFormat="1" ht="30" customHeight="1" x14ac:dyDescent="0.15">
      <c r="A182" s="74" t="str">
        <f>IF(AND(INDEX(Sheet1!$AM:$AM,INT((ROWS($A$10:$A182)+1)/2)+1)="",INDEX(Sheet1!$BA:$BA,INT((ROWS($A$10:$A182)+1)/2)+1)&lt;&gt;""),"",INDEX(Sheet1!$AC:$AC,INT((ROWS($A$10:$A182)+1)/2)+1)&amp;"")</f>
        <v/>
      </c>
      <c r="B182" s="74" t="str">
        <f>IF(AND(INDEX(Sheet1!$AM:$AM,INT((ROWS($A$10:$A182)+1)/2)+1)="",INDEX(Sheet1!$BA:$BA,INT((ROWS($A$10:$A182)+1)/2)+1)&lt;&gt;""),"",INDEX(Sheet1!$B:$B,INT((ROWS($A$10:$A182)+1)/2)+1)&amp;"")</f>
        <v/>
      </c>
      <c r="C182" s="74" t="str">
        <f>IF(AND(INDEX(Sheet1!$AM:$AM,INT((ROWS($A$10:$A182)+1)/2)+1)="",INDEX(Sheet1!$BA:$BA,INT((ROWS($A$10:$A182)+1)/2)+1)&lt;&gt;""),"",INDEX(Sheet1!$CN:$CN,INT((ROWS($A$10:$A182)+1)/2)+1)&amp;"")</f>
        <v/>
      </c>
      <c r="D182" s="76" t="str">
        <f>IF(OR(AND(INDEX(Sheet1!$AM:$AM,INT((ROWS($A$10:$A182)+1)/2)+1)="",INDEX(Sheet1!$BA:$BA,INT((ROWS($A$10:$A182)+1)/2)+1)&lt;&gt;""),INDEX(Sheet1!$N:$N,INT((ROWS($A$10:$A182)+1)/2)+1)=""),"",INDEX(Sheet1!$N:$N,INT((ROWS($A$10:$A182)+1)/2)+1))</f>
        <v/>
      </c>
      <c r="E182" s="74" t="str">
        <f>IF(INDEX(Sheet1!$AM:$AM,INT((ROWS($A$10:$A182)+1)/2)+1)&lt;&gt;"","第一種","")</f>
        <v/>
      </c>
      <c r="F182" s="77" t="str">
        <f>IF(E182="","",INDEX(Sheet1!$AO:$AO,INT((ROWS($A$10:$A182)+1)/2)+1)&amp;"")</f>
        <v/>
      </c>
      <c r="G182" s="76" t="str">
        <f>IF(OR(E182="",INDEX(Sheet1!$AY:$AY,INT((ROWS($A$10:$A182)+1)/2)+1)=""),"",INDEX(Sheet1!$AY:$AY,INT((ROWS($A$10:$A182)+1)/2)+1))</f>
        <v/>
      </c>
      <c r="H182" s="74" t="str">
        <f>IF(INDEX(Sheet1!$AD:$AD,INT((ROWS($A$10:$A182)+1)/2)+1)="","",INDEX(Sheet1!$AD:$AD,INT((ROWS($A$10:$A182)+1)/2)+1))</f>
        <v/>
      </c>
      <c r="I182" s="76" t="str">
        <f>IF(INDEX(Sheet1!$AK:$AK,INT((ROWS($A$10:$A182)+1)/2)+1)="","",INDEX(Sheet1!$AK:$AK,INT((ROWS($A$10:$A182)+1)/2)+1))</f>
        <v/>
      </c>
      <c r="J182" s="90"/>
    </row>
    <row r="183" spans="1:10" ht="30" customHeight="1" x14ac:dyDescent="0.15">
      <c r="A183" s="74" t="str">
        <f>IF(E183="","",IF(E182="",INDEX(Sheet1!$AC:$AC,INT((ROWS($A$10:$A183)+1)/2)+1)&amp;"","〃"))</f>
        <v/>
      </c>
      <c r="B183" s="74" t="str">
        <f>IF(E183="","",IF(E182="",INDEX(Sheet1!$B:$B,INT((ROWS($A$10:$A183)+1)/2)+1)&amp;"","〃"))</f>
        <v/>
      </c>
      <c r="C183" s="74" t="str">
        <f>IF(E183="","",IF(E182="",INDEX(Sheet1!$CN:$CN,INT((ROWS($A$10:$A183)+1)/2)+1)&amp;"","〃"))</f>
        <v/>
      </c>
      <c r="D183" s="76" t="str">
        <f>IF(E183="","",IF(E182="",IF(INDEX(Sheet1!$N:$N,INT((ROWS($A$10:$A183)+1)/2)+1)="","",INDEX(Sheet1!$N:$N,INT((ROWS($A$10:$A183)+1)/2)+1)),"〃"))</f>
        <v/>
      </c>
      <c r="E183" s="74" t="str">
        <f>IF(INDEX(Sheet1!$BA:$BA,INT((ROWS($A$10:$A183)+1)/2)+1)&lt;&gt;"","わな猟","")</f>
        <v/>
      </c>
      <c r="F183" s="77" t="str">
        <f>IF(E183="","",INDEX(Sheet1!$BC:$BC,INT((ROWS($A$10:$A183)+1)/2)+1)&amp;"")</f>
        <v/>
      </c>
      <c r="G183" s="76" t="str">
        <f>IF(E183="","",IF(INDEX(Sheet1!$BM:$BM,INT((ROWS($A$10:$A183)+1)/2)+1)="","",INDEX(Sheet1!$BM:$BM,INT((ROWS($A$10:$A183)+1)/2)+1)))</f>
        <v/>
      </c>
      <c r="H183" s="78"/>
      <c r="I183" s="73"/>
      <c r="J183" s="90"/>
    </row>
    <row r="184" spans="1:10" s="71" customFormat="1" ht="30" customHeight="1" x14ac:dyDescent="0.15">
      <c r="A184" s="74" t="str">
        <f>IF(AND(INDEX(Sheet1!$AM:$AM,INT((ROWS($A$10:$A184)+1)/2)+1)="",INDEX(Sheet1!$BA:$BA,INT((ROWS($A$10:$A184)+1)/2)+1)&lt;&gt;""),"",INDEX(Sheet1!$AC:$AC,INT((ROWS($A$10:$A184)+1)/2)+1)&amp;"")</f>
        <v/>
      </c>
      <c r="B184" s="74" t="str">
        <f>IF(AND(INDEX(Sheet1!$AM:$AM,INT((ROWS($A$10:$A184)+1)/2)+1)="",INDEX(Sheet1!$BA:$BA,INT((ROWS($A$10:$A184)+1)/2)+1)&lt;&gt;""),"",INDEX(Sheet1!$B:$B,INT((ROWS($A$10:$A184)+1)/2)+1)&amp;"")</f>
        <v/>
      </c>
      <c r="C184" s="74" t="str">
        <f>IF(AND(INDEX(Sheet1!$AM:$AM,INT((ROWS($A$10:$A184)+1)/2)+1)="",INDEX(Sheet1!$BA:$BA,INT((ROWS($A$10:$A184)+1)/2)+1)&lt;&gt;""),"",INDEX(Sheet1!$CN:$CN,INT((ROWS($A$10:$A184)+1)/2)+1)&amp;"")</f>
        <v/>
      </c>
      <c r="D184" s="76" t="str">
        <f>IF(OR(AND(INDEX(Sheet1!$AM:$AM,INT((ROWS($A$10:$A184)+1)/2)+1)="",INDEX(Sheet1!$BA:$BA,INT((ROWS($A$10:$A184)+1)/2)+1)&lt;&gt;""),INDEX(Sheet1!$N:$N,INT((ROWS($A$10:$A184)+1)/2)+1)=""),"",INDEX(Sheet1!$N:$N,INT((ROWS($A$10:$A184)+1)/2)+1))</f>
        <v/>
      </c>
      <c r="E184" s="74" t="str">
        <f>IF(INDEX(Sheet1!$AM:$AM,INT((ROWS($A$10:$A184)+1)/2)+1)&lt;&gt;"","第一種","")</f>
        <v/>
      </c>
      <c r="F184" s="77" t="str">
        <f>IF(E184="","",INDEX(Sheet1!$AO:$AO,INT((ROWS($A$10:$A184)+1)/2)+1)&amp;"")</f>
        <v/>
      </c>
      <c r="G184" s="76" t="str">
        <f>IF(OR(E184="",INDEX(Sheet1!$AY:$AY,INT((ROWS($A$10:$A184)+1)/2)+1)=""),"",INDEX(Sheet1!$AY:$AY,INT((ROWS($A$10:$A184)+1)/2)+1))</f>
        <v/>
      </c>
      <c r="H184" s="74" t="str">
        <f>IF(INDEX(Sheet1!$AD:$AD,INT((ROWS($A$10:$A184)+1)/2)+1)="","",INDEX(Sheet1!$AD:$AD,INT((ROWS($A$10:$A184)+1)/2)+1))</f>
        <v/>
      </c>
      <c r="I184" s="76" t="str">
        <f>IF(INDEX(Sheet1!$AK:$AK,INT((ROWS($A$10:$A184)+1)/2)+1)="","",INDEX(Sheet1!$AK:$AK,INT((ROWS($A$10:$A184)+1)/2)+1))</f>
        <v/>
      </c>
      <c r="J184" s="90"/>
    </row>
    <row r="185" spans="1:10" ht="30" customHeight="1" x14ac:dyDescent="0.15">
      <c r="A185" s="74" t="str">
        <f>IF(E185="","",IF(E184="",INDEX(Sheet1!$AC:$AC,INT((ROWS($A$10:$A185)+1)/2)+1)&amp;"","〃"))</f>
        <v/>
      </c>
      <c r="B185" s="74" t="str">
        <f>IF(E185="","",IF(E184="",INDEX(Sheet1!$B:$B,INT((ROWS($A$10:$A185)+1)/2)+1)&amp;"","〃"))</f>
        <v/>
      </c>
      <c r="C185" s="74" t="str">
        <f>IF(E185="","",IF(E184="",INDEX(Sheet1!$CN:$CN,INT((ROWS($A$10:$A185)+1)/2)+1)&amp;"","〃"))</f>
        <v/>
      </c>
      <c r="D185" s="76" t="str">
        <f>IF(E185="","",IF(E184="",IF(INDEX(Sheet1!$N:$N,INT((ROWS($A$10:$A185)+1)/2)+1)="","",INDEX(Sheet1!$N:$N,INT((ROWS($A$10:$A185)+1)/2)+1)),"〃"))</f>
        <v/>
      </c>
      <c r="E185" s="74" t="str">
        <f>IF(INDEX(Sheet1!$BA:$BA,INT((ROWS($A$10:$A185)+1)/2)+1)&lt;&gt;"","わな猟","")</f>
        <v/>
      </c>
      <c r="F185" s="77" t="str">
        <f>IF(E185="","",INDEX(Sheet1!$BC:$BC,INT((ROWS($A$10:$A185)+1)/2)+1)&amp;"")</f>
        <v/>
      </c>
      <c r="G185" s="76" t="str">
        <f>IF(E185="","",IF(INDEX(Sheet1!$BM:$BM,INT((ROWS($A$10:$A185)+1)/2)+1)="","",INDEX(Sheet1!$BM:$BM,INT((ROWS($A$10:$A185)+1)/2)+1)))</f>
        <v/>
      </c>
      <c r="H185" s="78"/>
      <c r="I185" s="73"/>
      <c r="J185" s="90"/>
    </row>
    <row r="186" spans="1:10" s="71" customFormat="1" ht="30" customHeight="1" x14ac:dyDescent="0.15">
      <c r="A186" s="74" t="str">
        <f>IF(AND(INDEX(Sheet1!$AM:$AM,INT((ROWS($A$10:$A186)+1)/2)+1)="",INDEX(Sheet1!$BA:$BA,INT((ROWS($A$10:$A186)+1)/2)+1)&lt;&gt;""),"",INDEX(Sheet1!$AC:$AC,INT((ROWS($A$10:$A186)+1)/2)+1)&amp;"")</f>
        <v/>
      </c>
      <c r="B186" s="74" t="str">
        <f>IF(AND(INDEX(Sheet1!$AM:$AM,INT((ROWS($A$10:$A186)+1)/2)+1)="",INDEX(Sheet1!$BA:$BA,INT((ROWS($A$10:$A186)+1)/2)+1)&lt;&gt;""),"",INDEX(Sheet1!$B:$B,INT((ROWS($A$10:$A186)+1)/2)+1)&amp;"")</f>
        <v/>
      </c>
      <c r="C186" s="74" t="str">
        <f>IF(AND(INDEX(Sheet1!$AM:$AM,INT((ROWS($A$10:$A186)+1)/2)+1)="",INDEX(Sheet1!$BA:$BA,INT((ROWS($A$10:$A186)+1)/2)+1)&lt;&gt;""),"",INDEX(Sheet1!$CN:$CN,INT((ROWS($A$10:$A186)+1)/2)+1)&amp;"")</f>
        <v/>
      </c>
      <c r="D186" s="76" t="str">
        <f>IF(OR(AND(INDEX(Sheet1!$AM:$AM,INT((ROWS($A$10:$A186)+1)/2)+1)="",INDEX(Sheet1!$BA:$BA,INT((ROWS($A$10:$A186)+1)/2)+1)&lt;&gt;""),INDEX(Sheet1!$N:$N,INT((ROWS($A$10:$A186)+1)/2)+1)=""),"",INDEX(Sheet1!$N:$N,INT((ROWS($A$10:$A186)+1)/2)+1))</f>
        <v/>
      </c>
      <c r="E186" s="74" t="str">
        <f>IF(INDEX(Sheet1!$AM:$AM,INT((ROWS($A$10:$A186)+1)/2)+1)&lt;&gt;"","第一種","")</f>
        <v/>
      </c>
      <c r="F186" s="77" t="str">
        <f>IF(E186="","",INDEX(Sheet1!$AO:$AO,INT((ROWS($A$10:$A186)+1)/2)+1)&amp;"")</f>
        <v/>
      </c>
      <c r="G186" s="76" t="str">
        <f>IF(OR(E186="",INDEX(Sheet1!$AY:$AY,INT((ROWS($A$10:$A186)+1)/2)+1)=""),"",INDEX(Sheet1!$AY:$AY,INT((ROWS($A$10:$A186)+1)/2)+1))</f>
        <v/>
      </c>
      <c r="H186" s="74" t="str">
        <f>IF(INDEX(Sheet1!$AD:$AD,INT((ROWS($A$10:$A186)+1)/2)+1)="","",INDEX(Sheet1!$AD:$AD,INT((ROWS($A$10:$A186)+1)/2)+1))</f>
        <v/>
      </c>
      <c r="I186" s="76" t="str">
        <f>IF(INDEX(Sheet1!$AK:$AK,INT((ROWS($A$10:$A186)+1)/2)+1)="","",INDEX(Sheet1!$AK:$AK,INT((ROWS($A$10:$A186)+1)/2)+1))</f>
        <v/>
      </c>
      <c r="J186" s="90"/>
    </row>
    <row r="187" spans="1:10" ht="30" customHeight="1" x14ac:dyDescent="0.15">
      <c r="A187" s="74" t="str">
        <f>IF(E187="","",IF(E186="",INDEX(Sheet1!$AC:$AC,INT((ROWS($A$10:$A187)+1)/2)+1)&amp;"","〃"))</f>
        <v/>
      </c>
      <c r="B187" s="74" t="str">
        <f>IF(E187="","",IF(E186="",INDEX(Sheet1!$B:$B,INT((ROWS($A$10:$A187)+1)/2)+1)&amp;"","〃"))</f>
        <v/>
      </c>
      <c r="C187" s="74" t="str">
        <f>IF(E187="","",IF(E186="",INDEX(Sheet1!$CN:$CN,INT((ROWS($A$10:$A187)+1)/2)+1)&amp;"","〃"))</f>
        <v/>
      </c>
      <c r="D187" s="76" t="str">
        <f>IF(E187="","",IF(E186="",IF(INDEX(Sheet1!$N:$N,INT((ROWS($A$10:$A187)+1)/2)+1)="","",INDEX(Sheet1!$N:$N,INT((ROWS($A$10:$A187)+1)/2)+1)),"〃"))</f>
        <v/>
      </c>
      <c r="E187" s="74" t="str">
        <f>IF(INDEX(Sheet1!$BA:$BA,INT((ROWS($A$10:$A187)+1)/2)+1)&lt;&gt;"","わな猟","")</f>
        <v/>
      </c>
      <c r="F187" s="77" t="str">
        <f>IF(E187="","",INDEX(Sheet1!$BC:$BC,INT((ROWS($A$10:$A187)+1)/2)+1)&amp;"")</f>
        <v/>
      </c>
      <c r="G187" s="76" t="str">
        <f>IF(E187="","",IF(INDEX(Sheet1!$BM:$BM,INT((ROWS($A$10:$A187)+1)/2)+1)="","",INDEX(Sheet1!$BM:$BM,INT((ROWS($A$10:$A187)+1)/2)+1)))</f>
        <v/>
      </c>
      <c r="H187" s="78"/>
      <c r="I187" s="73"/>
      <c r="J187" s="90"/>
    </row>
    <row r="188" spans="1:10" s="71" customFormat="1" ht="30" customHeight="1" x14ac:dyDescent="0.15">
      <c r="A188" s="74" t="str">
        <f>IF(AND(INDEX(Sheet1!$AM:$AM,INT((ROWS($A$10:$A188)+1)/2)+1)="",INDEX(Sheet1!$BA:$BA,INT((ROWS($A$10:$A188)+1)/2)+1)&lt;&gt;""),"",INDEX(Sheet1!$AC:$AC,INT((ROWS($A$10:$A188)+1)/2)+1)&amp;"")</f>
        <v/>
      </c>
      <c r="B188" s="74" t="str">
        <f>IF(AND(INDEX(Sheet1!$AM:$AM,INT((ROWS($A$10:$A188)+1)/2)+1)="",INDEX(Sheet1!$BA:$BA,INT((ROWS($A$10:$A188)+1)/2)+1)&lt;&gt;""),"",INDEX(Sheet1!$B:$B,INT((ROWS($A$10:$A188)+1)/2)+1)&amp;"")</f>
        <v/>
      </c>
      <c r="C188" s="74" t="str">
        <f>IF(AND(INDEX(Sheet1!$AM:$AM,INT((ROWS($A$10:$A188)+1)/2)+1)="",INDEX(Sheet1!$BA:$BA,INT((ROWS($A$10:$A188)+1)/2)+1)&lt;&gt;""),"",INDEX(Sheet1!$CN:$CN,INT((ROWS($A$10:$A188)+1)/2)+1)&amp;"")</f>
        <v/>
      </c>
      <c r="D188" s="76" t="str">
        <f>IF(OR(AND(INDEX(Sheet1!$AM:$AM,INT((ROWS($A$10:$A188)+1)/2)+1)="",INDEX(Sheet1!$BA:$BA,INT((ROWS($A$10:$A188)+1)/2)+1)&lt;&gt;""),INDEX(Sheet1!$N:$N,INT((ROWS($A$10:$A188)+1)/2)+1)=""),"",INDEX(Sheet1!$N:$N,INT((ROWS($A$10:$A188)+1)/2)+1))</f>
        <v/>
      </c>
      <c r="E188" s="74" t="str">
        <f>IF(INDEX(Sheet1!$AM:$AM,INT((ROWS($A$10:$A188)+1)/2)+1)&lt;&gt;"","第一種","")</f>
        <v/>
      </c>
      <c r="F188" s="77" t="str">
        <f>IF(E188="","",INDEX(Sheet1!$AO:$AO,INT((ROWS($A$10:$A188)+1)/2)+1)&amp;"")</f>
        <v/>
      </c>
      <c r="G188" s="76" t="str">
        <f>IF(OR(E188="",INDEX(Sheet1!$AY:$AY,INT((ROWS($A$10:$A188)+1)/2)+1)=""),"",INDEX(Sheet1!$AY:$AY,INT((ROWS($A$10:$A188)+1)/2)+1))</f>
        <v/>
      </c>
      <c r="H188" s="74" t="str">
        <f>IF(INDEX(Sheet1!$AD:$AD,INT((ROWS($A$10:$A188)+1)/2)+1)="","",INDEX(Sheet1!$AD:$AD,INT((ROWS($A$10:$A188)+1)/2)+1))</f>
        <v/>
      </c>
      <c r="I188" s="76" t="str">
        <f>IF(INDEX(Sheet1!$AK:$AK,INT((ROWS($A$10:$A188)+1)/2)+1)="","",INDEX(Sheet1!$AK:$AK,INT((ROWS($A$10:$A188)+1)/2)+1))</f>
        <v/>
      </c>
      <c r="J188" s="90"/>
    </row>
    <row r="189" spans="1:10" ht="30" customHeight="1" x14ac:dyDescent="0.15">
      <c r="A189" s="74" t="str">
        <f>IF(E189="","",IF(E188="",INDEX(Sheet1!$AC:$AC,INT((ROWS($A$10:$A189)+1)/2)+1)&amp;"","〃"))</f>
        <v/>
      </c>
      <c r="B189" s="74" t="str">
        <f>IF(E189="","",IF(E188="",INDEX(Sheet1!$B:$B,INT((ROWS($A$10:$A189)+1)/2)+1)&amp;"","〃"))</f>
        <v/>
      </c>
      <c r="C189" s="74" t="str">
        <f>IF(E189="","",IF(E188="",INDEX(Sheet1!$CN:$CN,INT((ROWS($A$10:$A189)+1)/2)+1)&amp;"","〃"))</f>
        <v/>
      </c>
      <c r="D189" s="76" t="str">
        <f>IF(E189="","",IF(E188="",IF(INDEX(Sheet1!$N:$N,INT((ROWS($A$10:$A189)+1)/2)+1)="","",INDEX(Sheet1!$N:$N,INT((ROWS($A$10:$A189)+1)/2)+1)),"〃"))</f>
        <v/>
      </c>
      <c r="E189" s="74" t="str">
        <f>IF(INDEX(Sheet1!$BA:$BA,INT((ROWS($A$10:$A189)+1)/2)+1)&lt;&gt;"","わな猟","")</f>
        <v/>
      </c>
      <c r="F189" s="77" t="str">
        <f>IF(E189="","",INDEX(Sheet1!$BC:$BC,INT((ROWS($A$10:$A189)+1)/2)+1)&amp;"")</f>
        <v/>
      </c>
      <c r="G189" s="76" t="str">
        <f>IF(E189="","",IF(INDEX(Sheet1!$BM:$BM,INT((ROWS($A$10:$A189)+1)/2)+1)="","",INDEX(Sheet1!$BM:$BM,INT((ROWS($A$10:$A189)+1)/2)+1)))</f>
        <v/>
      </c>
      <c r="H189" s="78"/>
      <c r="I189" s="73"/>
      <c r="J189" s="90"/>
    </row>
    <row r="190" spans="1:10" s="71" customFormat="1" ht="30" customHeight="1" x14ac:dyDescent="0.15">
      <c r="A190" s="74" t="str">
        <f>IF(AND(INDEX(Sheet1!$AM:$AM,INT((ROWS($A$10:$A190)+1)/2)+1)="",INDEX(Sheet1!$BA:$BA,INT((ROWS($A$10:$A190)+1)/2)+1)&lt;&gt;""),"",INDEX(Sheet1!$AC:$AC,INT((ROWS($A$10:$A190)+1)/2)+1)&amp;"")</f>
        <v/>
      </c>
      <c r="B190" s="74" t="str">
        <f>IF(AND(INDEX(Sheet1!$AM:$AM,INT((ROWS($A$10:$A190)+1)/2)+1)="",INDEX(Sheet1!$BA:$BA,INT((ROWS($A$10:$A190)+1)/2)+1)&lt;&gt;""),"",INDEX(Sheet1!$B:$B,INT((ROWS($A$10:$A190)+1)/2)+1)&amp;"")</f>
        <v/>
      </c>
      <c r="C190" s="74" t="str">
        <f>IF(AND(INDEX(Sheet1!$AM:$AM,INT((ROWS($A$10:$A190)+1)/2)+1)="",INDEX(Sheet1!$BA:$BA,INT((ROWS($A$10:$A190)+1)/2)+1)&lt;&gt;""),"",INDEX(Sheet1!$CN:$CN,INT((ROWS($A$10:$A190)+1)/2)+1)&amp;"")</f>
        <v/>
      </c>
      <c r="D190" s="76" t="str">
        <f>IF(OR(AND(INDEX(Sheet1!$AM:$AM,INT((ROWS($A$10:$A190)+1)/2)+1)="",INDEX(Sheet1!$BA:$BA,INT((ROWS($A$10:$A190)+1)/2)+1)&lt;&gt;""),INDEX(Sheet1!$N:$N,INT((ROWS($A$10:$A190)+1)/2)+1)=""),"",INDEX(Sheet1!$N:$N,INT((ROWS($A$10:$A190)+1)/2)+1))</f>
        <v/>
      </c>
      <c r="E190" s="74" t="str">
        <f>IF(INDEX(Sheet1!$AM:$AM,INT((ROWS($A$10:$A190)+1)/2)+1)&lt;&gt;"","第一種","")</f>
        <v/>
      </c>
      <c r="F190" s="77" t="str">
        <f>IF(E190="","",INDEX(Sheet1!$AO:$AO,INT((ROWS($A$10:$A190)+1)/2)+1)&amp;"")</f>
        <v/>
      </c>
      <c r="G190" s="76" t="str">
        <f>IF(OR(E190="",INDEX(Sheet1!$AY:$AY,INT((ROWS($A$10:$A190)+1)/2)+1)=""),"",INDEX(Sheet1!$AY:$AY,INT((ROWS($A$10:$A190)+1)/2)+1))</f>
        <v/>
      </c>
      <c r="H190" s="74" t="str">
        <f>IF(INDEX(Sheet1!$AD:$AD,INT((ROWS($A$10:$A190)+1)/2)+1)="","",INDEX(Sheet1!$AD:$AD,INT((ROWS($A$10:$A190)+1)/2)+1))</f>
        <v/>
      </c>
      <c r="I190" s="76" t="str">
        <f>IF(INDEX(Sheet1!$AK:$AK,INT((ROWS($A$10:$A190)+1)/2)+1)="","",INDEX(Sheet1!$AK:$AK,INT((ROWS($A$10:$A190)+1)/2)+1))</f>
        <v/>
      </c>
      <c r="J190" s="90"/>
    </row>
    <row r="191" spans="1:10" ht="30" customHeight="1" x14ac:dyDescent="0.15">
      <c r="A191" s="74" t="str">
        <f>IF(E191="","",IF(E190="",INDEX(Sheet1!$AC:$AC,INT((ROWS($A$10:$A191)+1)/2)+1)&amp;"","〃"))</f>
        <v/>
      </c>
      <c r="B191" s="74" t="str">
        <f>IF(E191="","",IF(E190="",INDEX(Sheet1!$B:$B,INT((ROWS($A$10:$A191)+1)/2)+1)&amp;"","〃"))</f>
        <v/>
      </c>
      <c r="C191" s="74" t="str">
        <f>IF(E191="","",IF(E190="",INDEX(Sheet1!$CN:$CN,INT((ROWS($A$10:$A191)+1)/2)+1)&amp;"","〃"))</f>
        <v/>
      </c>
      <c r="D191" s="76" t="str">
        <f>IF(E191="","",IF(E190="",IF(INDEX(Sheet1!$N:$N,INT((ROWS($A$10:$A191)+1)/2)+1)="","",INDEX(Sheet1!$N:$N,INT((ROWS($A$10:$A191)+1)/2)+1)),"〃"))</f>
        <v/>
      </c>
      <c r="E191" s="74" t="str">
        <f>IF(INDEX(Sheet1!$BA:$BA,INT((ROWS($A$10:$A191)+1)/2)+1)&lt;&gt;"","わな猟","")</f>
        <v/>
      </c>
      <c r="F191" s="77" t="str">
        <f>IF(E191="","",INDEX(Sheet1!$BC:$BC,INT((ROWS($A$10:$A191)+1)/2)+1)&amp;"")</f>
        <v/>
      </c>
      <c r="G191" s="76" t="str">
        <f>IF(E191="","",IF(INDEX(Sheet1!$BM:$BM,INT((ROWS($A$10:$A191)+1)/2)+1)="","",INDEX(Sheet1!$BM:$BM,INT((ROWS($A$10:$A191)+1)/2)+1)))</f>
        <v/>
      </c>
      <c r="H191" s="78"/>
      <c r="I191" s="73"/>
      <c r="J191" s="90"/>
    </row>
    <row r="192" spans="1:10" s="71" customFormat="1" ht="30" customHeight="1" x14ac:dyDescent="0.15">
      <c r="A192" s="74" t="str">
        <f>IF(AND(INDEX(Sheet1!$AM:$AM,INT((ROWS($A$10:$A192)+1)/2)+1)="",INDEX(Sheet1!$BA:$BA,INT((ROWS($A$10:$A192)+1)/2)+1)&lt;&gt;""),"",INDEX(Sheet1!$AC:$AC,INT((ROWS($A$10:$A192)+1)/2)+1)&amp;"")</f>
        <v/>
      </c>
      <c r="B192" s="74" t="str">
        <f>IF(AND(INDEX(Sheet1!$AM:$AM,INT((ROWS($A$10:$A192)+1)/2)+1)="",INDEX(Sheet1!$BA:$BA,INT((ROWS($A$10:$A192)+1)/2)+1)&lt;&gt;""),"",INDEX(Sheet1!$B:$B,INT((ROWS($A$10:$A192)+1)/2)+1)&amp;"")</f>
        <v/>
      </c>
      <c r="C192" s="74" t="str">
        <f>IF(AND(INDEX(Sheet1!$AM:$AM,INT((ROWS($A$10:$A192)+1)/2)+1)="",INDEX(Sheet1!$BA:$BA,INT((ROWS($A$10:$A192)+1)/2)+1)&lt;&gt;""),"",INDEX(Sheet1!$CN:$CN,INT((ROWS($A$10:$A192)+1)/2)+1)&amp;"")</f>
        <v/>
      </c>
      <c r="D192" s="76" t="str">
        <f>IF(OR(AND(INDEX(Sheet1!$AM:$AM,INT((ROWS($A$10:$A192)+1)/2)+1)="",INDEX(Sheet1!$BA:$BA,INT((ROWS($A$10:$A192)+1)/2)+1)&lt;&gt;""),INDEX(Sheet1!$N:$N,INT((ROWS($A$10:$A192)+1)/2)+1)=""),"",INDEX(Sheet1!$N:$N,INT((ROWS($A$10:$A192)+1)/2)+1))</f>
        <v/>
      </c>
      <c r="E192" s="74" t="str">
        <f>IF(INDEX(Sheet1!$AM:$AM,INT((ROWS($A$10:$A192)+1)/2)+1)&lt;&gt;"","第一種","")</f>
        <v/>
      </c>
      <c r="F192" s="77" t="str">
        <f>IF(E192="","",INDEX(Sheet1!$AO:$AO,INT((ROWS($A$10:$A192)+1)/2)+1)&amp;"")</f>
        <v/>
      </c>
      <c r="G192" s="76" t="str">
        <f>IF(OR(E192="",INDEX(Sheet1!$AY:$AY,INT((ROWS($A$10:$A192)+1)/2)+1)=""),"",INDEX(Sheet1!$AY:$AY,INT((ROWS($A$10:$A192)+1)/2)+1))</f>
        <v/>
      </c>
      <c r="H192" s="74" t="str">
        <f>IF(INDEX(Sheet1!$AD:$AD,INT((ROWS($A$10:$A192)+1)/2)+1)="","",INDEX(Sheet1!$AD:$AD,INT((ROWS($A$10:$A192)+1)/2)+1))</f>
        <v/>
      </c>
      <c r="I192" s="76" t="str">
        <f>IF(INDEX(Sheet1!$AK:$AK,INT((ROWS($A$10:$A192)+1)/2)+1)="","",INDEX(Sheet1!$AK:$AK,INT((ROWS($A$10:$A192)+1)/2)+1))</f>
        <v/>
      </c>
      <c r="J192" s="90"/>
    </row>
    <row r="193" spans="1:10" ht="30" customHeight="1" x14ac:dyDescent="0.15">
      <c r="A193" s="74" t="str">
        <f>IF(E193="","",IF(E192="",INDEX(Sheet1!$AC:$AC,INT((ROWS($A$10:$A193)+1)/2)+1)&amp;"","〃"))</f>
        <v/>
      </c>
      <c r="B193" s="74" t="str">
        <f>IF(E193="","",IF(E192="",INDEX(Sheet1!$B:$B,INT((ROWS($A$10:$A193)+1)/2)+1)&amp;"","〃"))</f>
        <v/>
      </c>
      <c r="C193" s="74" t="str">
        <f>IF(E193="","",IF(E192="",INDEX(Sheet1!$CN:$CN,INT((ROWS($A$10:$A193)+1)/2)+1)&amp;"","〃"))</f>
        <v/>
      </c>
      <c r="D193" s="76" t="str">
        <f>IF(E193="","",IF(E192="",IF(INDEX(Sheet1!$N:$N,INT((ROWS($A$10:$A193)+1)/2)+1)="","",INDEX(Sheet1!$N:$N,INT((ROWS($A$10:$A193)+1)/2)+1)),"〃"))</f>
        <v/>
      </c>
      <c r="E193" s="74" t="str">
        <f>IF(INDEX(Sheet1!$BA:$BA,INT((ROWS($A$10:$A193)+1)/2)+1)&lt;&gt;"","わな猟","")</f>
        <v/>
      </c>
      <c r="F193" s="77" t="str">
        <f>IF(E193="","",INDEX(Sheet1!$BC:$BC,INT((ROWS($A$10:$A193)+1)/2)+1)&amp;"")</f>
        <v/>
      </c>
      <c r="G193" s="76" t="str">
        <f>IF(E193="","",IF(INDEX(Sheet1!$BM:$BM,INT((ROWS($A$10:$A193)+1)/2)+1)="","",INDEX(Sheet1!$BM:$BM,INT((ROWS($A$10:$A193)+1)/2)+1)))</f>
        <v/>
      </c>
      <c r="H193" s="78"/>
      <c r="I193" s="73"/>
      <c r="J193" s="90"/>
    </row>
    <row r="194" spans="1:10" s="71" customFormat="1" ht="30" customHeight="1" x14ac:dyDescent="0.15">
      <c r="A194" s="74" t="str">
        <f>IF(AND(INDEX(Sheet1!$AM:$AM,INT((ROWS($A$10:$A194)+1)/2)+1)="",INDEX(Sheet1!$BA:$BA,INT((ROWS($A$10:$A194)+1)/2)+1)&lt;&gt;""),"",INDEX(Sheet1!$AC:$AC,INT((ROWS($A$10:$A194)+1)/2)+1)&amp;"")</f>
        <v/>
      </c>
      <c r="B194" s="74" t="str">
        <f>IF(AND(INDEX(Sheet1!$AM:$AM,INT((ROWS($A$10:$A194)+1)/2)+1)="",INDEX(Sheet1!$BA:$BA,INT((ROWS($A$10:$A194)+1)/2)+1)&lt;&gt;""),"",INDEX(Sheet1!$B:$B,INT((ROWS($A$10:$A194)+1)/2)+1)&amp;"")</f>
        <v/>
      </c>
      <c r="C194" s="74" t="str">
        <f>IF(AND(INDEX(Sheet1!$AM:$AM,INT((ROWS($A$10:$A194)+1)/2)+1)="",INDEX(Sheet1!$BA:$BA,INT((ROWS($A$10:$A194)+1)/2)+1)&lt;&gt;""),"",INDEX(Sheet1!$CN:$CN,INT((ROWS($A$10:$A194)+1)/2)+1)&amp;"")</f>
        <v/>
      </c>
      <c r="D194" s="76" t="str">
        <f>IF(OR(AND(INDEX(Sheet1!$AM:$AM,INT((ROWS($A$10:$A194)+1)/2)+1)="",INDEX(Sheet1!$BA:$BA,INT((ROWS($A$10:$A194)+1)/2)+1)&lt;&gt;""),INDEX(Sheet1!$N:$N,INT((ROWS($A$10:$A194)+1)/2)+1)=""),"",INDEX(Sheet1!$N:$N,INT((ROWS($A$10:$A194)+1)/2)+1))</f>
        <v/>
      </c>
      <c r="E194" s="74" t="str">
        <f>IF(INDEX(Sheet1!$AM:$AM,INT((ROWS($A$10:$A194)+1)/2)+1)&lt;&gt;"","第一種","")</f>
        <v/>
      </c>
      <c r="F194" s="77" t="str">
        <f>IF(E194="","",INDEX(Sheet1!$AO:$AO,INT((ROWS($A$10:$A194)+1)/2)+1)&amp;"")</f>
        <v/>
      </c>
      <c r="G194" s="76" t="str">
        <f>IF(OR(E194="",INDEX(Sheet1!$AY:$AY,INT((ROWS($A$10:$A194)+1)/2)+1)=""),"",INDEX(Sheet1!$AY:$AY,INT((ROWS($A$10:$A194)+1)/2)+1))</f>
        <v/>
      </c>
      <c r="H194" s="74" t="str">
        <f>IF(INDEX(Sheet1!$AD:$AD,INT((ROWS($A$10:$A194)+1)/2)+1)="","",INDEX(Sheet1!$AD:$AD,INT((ROWS($A$10:$A194)+1)/2)+1))</f>
        <v/>
      </c>
      <c r="I194" s="76" t="str">
        <f>IF(INDEX(Sheet1!$AK:$AK,INT((ROWS($A$10:$A194)+1)/2)+1)="","",INDEX(Sheet1!$AK:$AK,INT((ROWS($A$10:$A194)+1)/2)+1))</f>
        <v/>
      </c>
      <c r="J194" s="90"/>
    </row>
    <row r="195" spans="1:10" ht="30" customHeight="1" x14ac:dyDescent="0.15">
      <c r="A195" s="74" t="str">
        <f>IF(E195="","",IF(E194="",INDEX(Sheet1!$AC:$AC,INT((ROWS($A$10:$A195)+1)/2)+1)&amp;"","〃"))</f>
        <v/>
      </c>
      <c r="B195" s="74" t="str">
        <f>IF(E195="","",IF(E194="",INDEX(Sheet1!$B:$B,INT((ROWS($A$10:$A195)+1)/2)+1)&amp;"","〃"))</f>
        <v/>
      </c>
      <c r="C195" s="74" t="str">
        <f>IF(E195="","",IF(E194="",INDEX(Sheet1!$CN:$CN,INT((ROWS($A$10:$A195)+1)/2)+1)&amp;"","〃"))</f>
        <v/>
      </c>
      <c r="D195" s="76" t="str">
        <f>IF(E195="","",IF(E194="",IF(INDEX(Sheet1!$N:$N,INT((ROWS($A$10:$A195)+1)/2)+1)="","",INDEX(Sheet1!$N:$N,INT((ROWS($A$10:$A195)+1)/2)+1)),"〃"))</f>
        <v/>
      </c>
      <c r="E195" s="74" t="str">
        <f>IF(INDEX(Sheet1!$BA:$BA,INT((ROWS($A$10:$A195)+1)/2)+1)&lt;&gt;"","わな猟","")</f>
        <v/>
      </c>
      <c r="F195" s="77" t="str">
        <f>IF(E195="","",INDEX(Sheet1!$BC:$BC,INT((ROWS($A$10:$A195)+1)/2)+1)&amp;"")</f>
        <v/>
      </c>
      <c r="G195" s="76" t="str">
        <f>IF(E195="","",IF(INDEX(Sheet1!$BM:$BM,INT((ROWS($A$10:$A195)+1)/2)+1)="","",INDEX(Sheet1!$BM:$BM,INT((ROWS($A$10:$A195)+1)/2)+1)))</f>
        <v/>
      </c>
      <c r="H195" s="78"/>
      <c r="I195" s="73"/>
      <c r="J195" s="90"/>
    </row>
    <row r="196" spans="1:10" s="71" customFormat="1" ht="30" customHeight="1" x14ac:dyDescent="0.15">
      <c r="A196" s="74" t="str">
        <f>IF(AND(INDEX(Sheet1!$AM:$AM,INT((ROWS($A$10:$A196)+1)/2)+1)="",INDEX(Sheet1!$BA:$BA,INT((ROWS($A$10:$A196)+1)/2)+1)&lt;&gt;""),"",INDEX(Sheet1!$AC:$AC,INT((ROWS($A$10:$A196)+1)/2)+1)&amp;"")</f>
        <v/>
      </c>
      <c r="B196" s="74" t="str">
        <f>IF(AND(INDEX(Sheet1!$AM:$AM,INT((ROWS($A$10:$A196)+1)/2)+1)="",INDEX(Sheet1!$BA:$BA,INT((ROWS($A$10:$A196)+1)/2)+1)&lt;&gt;""),"",INDEX(Sheet1!$B:$B,INT((ROWS($A$10:$A196)+1)/2)+1)&amp;"")</f>
        <v/>
      </c>
      <c r="C196" s="74" t="str">
        <f>IF(AND(INDEX(Sheet1!$AM:$AM,INT((ROWS($A$10:$A196)+1)/2)+1)="",INDEX(Sheet1!$BA:$BA,INT((ROWS($A$10:$A196)+1)/2)+1)&lt;&gt;""),"",INDEX(Sheet1!$CN:$CN,INT((ROWS($A$10:$A196)+1)/2)+1)&amp;"")</f>
        <v/>
      </c>
      <c r="D196" s="76" t="str">
        <f>IF(OR(AND(INDEX(Sheet1!$AM:$AM,INT((ROWS($A$10:$A196)+1)/2)+1)="",INDEX(Sheet1!$BA:$BA,INT((ROWS($A$10:$A196)+1)/2)+1)&lt;&gt;""),INDEX(Sheet1!$N:$N,INT((ROWS($A$10:$A196)+1)/2)+1)=""),"",INDEX(Sheet1!$N:$N,INT((ROWS($A$10:$A196)+1)/2)+1))</f>
        <v/>
      </c>
      <c r="E196" s="74" t="str">
        <f>IF(INDEX(Sheet1!$AM:$AM,INT((ROWS($A$10:$A196)+1)/2)+1)&lt;&gt;"","第一種","")</f>
        <v/>
      </c>
      <c r="F196" s="77" t="str">
        <f>IF(E196="","",INDEX(Sheet1!$AO:$AO,INT((ROWS($A$10:$A196)+1)/2)+1)&amp;"")</f>
        <v/>
      </c>
      <c r="G196" s="76" t="str">
        <f>IF(OR(E196="",INDEX(Sheet1!$AY:$AY,INT((ROWS($A$10:$A196)+1)/2)+1)=""),"",INDEX(Sheet1!$AY:$AY,INT((ROWS($A$10:$A196)+1)/2)+1))</f>
        <v/>
      </c>
      <c r="H196" s="74" t="str">
        <f>IF(INDEX(Sheet1!$AD:$AD,INT((ROWS($A$10:$A196)+1)/2)+1)="","",INDEX(Sheet1!$AD:$AD,INT((ROWS($A$10:$A196)+1)/2)+1))</f>
        <v/>
      </c>
      <c r="I196" s="76" t="str">
        <f>IF(INDEX(Sheet1!$AK:$AK,INT((ROWS($A$10:$A196)+1)/2)+1)="","",INDEX(Sheet1!$AK:$AK,INT((ROWS($A$10:$A196)+1)/2)+1))</f>
        <v/>
      </c>
      <c r="J196" s="90"/>
    </row>
    <row r="197" spans="1:10" ht="30" customHeight="1" x14ac:dyDescent="0.15">
      <c r="A197" s="74" t="str">
        <f>IF(E197="","",IF(E196="",INDEX(Sheet1!$AC:$AC,INT((ROWS($A$10:$A197)+1)/2)+1)&amp;"","〃"))</f>
        <v/>
      </c>
      <c r="B197" s="74" t="str">
        <f>IF(E197="","",IF(E196="",INDEX(Sheet1!$B:$B,INT((ROWS($A$10:$A197)+1)/2)+1)&amp;"","〃"))</f>
        <v/>
      </c>
      <c r="C197" s="74" t="str">
        <f>IF(E197="","",IF(E196="",INDEX(Sheet1!$CN:$CN,INT((ROWS($A$10:$A197)+1)/2)+1)&amp;"","〃"))</f>
        <v/>
      </c>
      <c r="D197" s="76" t="str">
        <f>IF(E197="","",IF(E196="",IF(INDEX(Sheet1!$N:$N,INT((ROWS($A$10:$A197)+1)/2)+1)="","",INDEX(Sheet1!$N:$N,INT((ROWS($A$10:$A197)+1)/2)+1)),"〃"))</f>
        <v/>
      </c>
      <c r="E197" s="74" t="str">
        <f>IF(INDEX(Sheet1!$BA:$BA,INT((ROWS($A$10:$A197)+1)/2)+1)&lt;&gt;"","わな猟","")</f>
        <v/>
      </c>
      <c r="F197" s="77" t="str">
        <f>IF(E197="","",INDEX(Sheet1!$BC:$BC,INT((ROWS($A$10:$A197)+1)/2)+1)&amp;"")</f>
        <v/>
      </c>
      <c r="G197" s="76" t="str">
        <f>IF(E197="","",IF(INDEX(Sheet1!$BM:$BM,INT((ROWS($A$10:$A197)+1)/2)+1)="","",INDEX(Sheet1!$BM:$BM,INT((ROWS($A$10:$A197)+1)/2)+1)))</f>
        <v/>
      </c>
      <c r="H197" s="78"/>
      <c r="I197" s="73"/>
      <c r="J197" s="90"/>
    </row>
    <row r="198" spans="1:10" s="71" customFormat="1" ht="30" customHeight="1" x14ac:dyDescent="0.15">
      <c r="A198" s="74" t="str">
        <f>IF(AND(INDEX(Sheet1!$AM:$AM,INT((ROWS($A$10:$A198)+1)/2)+1)="",INDEX(Sheet1!$BA:$BA,INT((ROWS($A$10:$A198)+1)/2)+1)&lt;&gt;""),"",INDEX(Sheet1!$AC:$AC,INT((ROWS($A$10:$A198)+1)/2)+1)&amp;"")</f>
        <v/>
      </c>
      <c r="B198" s="74" t="str">
        <f>IF(AND(INDEX(Sheet1!$AM:$AM,INT((ROWS($A$10:$A198)+1)/2)+1)="",INDEX(Sheet1!$BA:$BA,INT((ROWS($A$10:$A198)+1)/2)+1)&lt;&gt;""),"",INDEX(Sheet1!$B:$B,INT((ROWS($A$10:$A198)+1)/2)+1)&amp;"")</f>
        <v/>
      </c>
      <c r="C198" s="74" t="str">
        <f>IF(AND(INDEX(Sheet1!$AM:$AM,INT((ROWS($A$10:$A198)+1)/2)+1)="",INDEX(Sheet1!$BA:$BA,INT((ROWS($A$10:$A198)+1)/2)+1)&lt;&gt;""),"",INDEX(Sheet1!$CN:$CN,INT((ROWS($A$10:$A198)+1)/2)+1)&amp;"")</f>
        <v/>
      </c>
      <c r="D198" s="76" t="str">
        <f>IF(OR(AND(INDEX(Sheet1!$AM:$AM,INT((ROWS($A$10:$A198)+1)/2)+1)="",INDEX(Sheet1!$BA:$BA,INT((ROWS($A$10:$A198)+1)/2)+1)&lt;&gt;""),INDEX(Sheet1!$N:$N,INT((ROWS($A$10:$A198)+1)/2)+1)=""),"",INDEX(Sheet1!$N:$N,INT((ROWS($A$10:$A198)+1)/2)+1))</f>
        <v/>
      </c>
      <c r="E198" s="74" t="str">
        <f>IF(INDEX(Sheet1!$AM:$AM,INT((ROWS($A$10:$A198)+1)/2)+1)&lt;&gt;"","第一種","")</f>
        <v/>
      </c>
      <c r="F198" s="77" t="str">
        <f>IF(E198="","",INDEX(Sheet1!$AO:$AO,INT((ROWS($A$10:$A198)+1)/2)+1)&amp;"")</f>
        <v/>
      </c>
      <c r="G198" s="76" t="str">
        <f>IF(OR(E198="",INDEX(Sheet1!$AY:$AY,INT((ROWS($A$10:$A198)+1)/2)+1)=""),"",INDEX(Sheet1!$AY:$AY,INT((ROWS($A$10:$A198)+1)/2)+1))</f>
        <v/>
      </c>
      <c r="H198" s="74" t="str">
        <f>IF(INDEX(Sheet1!$AD:$AD,INT((ROWS($A$10:$A198)+1)/2)+1)="","",INDEX(Sheet1!$AD:$AD,INT((ROWS($A$10:$A198)+1)/2)+1))</f>
        <v/>
      </c>
      <c r="I198" s="76" t="str">
        <f>IF(INDEX(Sheet1!$AK:$AK,INT((ROWS($A$10:$A198)+1)/2)+1)="","",INDEX(Sheet1!$AK:$AK,INT((ROWS($A$10:$A198)+1)/2)+1))</f>
        <v/>
      </c>
      <c r="J198" s="90"/>
    </row>
    <row r="199" spans="1:10" ht="30" customHeight="1" x14ac:dyDescent="0.15">
      <c r="A199" s="74" t="str">
        <f>IF(E199="","",IF(E198="",INDEX(Sheet1!$AC:$AC,INT((ROWS($A$10:$A199)+1)/2)+1)&amp;"","〃"))</f>
        <v/>
      </c>
      <c r="B199" s="74" t="str">
        <f>IF(E199="","",IF(E198="",INDEX(Sheet1!$B:$B,INT((ROWS($A$10:$A199)+1)/2)+1)&amp;"","〃"))</f>
        <v/>
      </c>
      <c r="C199" s="74" t="str">
        <f>IF(E199="","",IF(E198="",INDEX(Sheet1!$CN:$CN,INT((ROWS($A$10:$A199)+1)/2)+1)&amp;"","〃"))</f>
        <v/>
      </c>
      <c r="D199" s="76" t="str">
        <f>IF(E199="","",IF(E198="",IF(INDEX(Sheet1!$N:$N,INT((ROWS($A$10:$A199)+1)/2)+1)="","",INDEX(Sheet1!$N:$N,INT((ROWS($A$10:$A199)+1)/2)+1)),"〃"))</f>
        <v/>
      </c>
      <c r="E199" s="74" t="str">
        <f>IF(INDEX(Sheet1!$BA:$BA,INT((ROWS($A$10:$A199)+1)/2)+1)&lt;&gt;"","わな猟","")</f>
        <v/>
      </c>
      <c r="F199" s="77" t="str">
        <f>IF(E199="","",INDEX(Sheet1!$BC:$BC,INT((ROWS($A$10:$A199)+1)/2)+1)&amp;"")</f>
        <v/>
      </c>
      <c r="G199" s="76" t="str">
        <f>IF(E199="","",IF(INDEX(Sheet1!$BM:$BM,INT((ROWS($A$10:$A199)+1)/2)+1)="","",INDEX(Sheet1!$BM:$BM,INT((ROWS($A$10:$A199)+1)/2)+1)))</f>
        <v/>
      </c>
      <c r="H199" s="78"/>
      <c r="I199" s="73"/>
      <c r="J199" s="90"/>
    </row>
    <row r="200" spans="1:10" s="71" customFormat="1" ht="30" customHeight="1" x14ac:dyDescent="0.15">
      <c r="A200" s="74" t="str">
        <f>IF(AND(INDEX(Sheet1!$AM:$AM,INT((ROWS($A$10:$A200)+1)/2)+1)="",INDEX(Sheet1!$BA:$BA,INT((ROWS($A$10:$A200)+1)/2)+1)&lt;&gt;""),"",INDEX(Sheet1!$AC:$AC,INT((ROWS($A$10:$A200)+1)/2)+1)&amp;"")</f>
        <v/>
      </c>
      <c r="B200" s="74" t="str">
        <f>IF(AND(INDEX(Sheet1!$AM:$AM,INT((ROWS($A$10:$A200)+1)/2)+1)="",INDEX(Sheet1!$BA:$BA,INT((ROWS($A$10:$A200)+1)/2)+1)&lt;&gt;""),"",INDEX(Sheet1!$B:$B,INT((ROWS($A$10:$A200)+1)/2)+1)&amp;"")</f>
        <v/>
      </c>
      <c r="C200" s="74" t="str">
        <f>IF(AND(INDEX(Sheet1!$AM:$AM,INT((ROWS($A$10:$A200)+1)/2)+1)="",INDEX(Sheet1!$BA:$BA,INT((ROWS($A$10:$A200)+1)/2)+1)&lt;&gt;""),"",INDEX(Sheet1!$CN:$CN,INT((ROWS($A$10:$A200)+1)/2)+1)&amp;"")</f>
        <v/>
      </c>
      <c r="D200" s="76" t="str">
        <f>IF(OR(AND(INDEX(Sheet1!$AM:$AM,INT((ROWS($A$10:$A200)+1)/2)+1)="",INDEX(Sheet1!$BA:$BA,INT((ROWS($A$10:$A200)+1)/2)+1)&lt;&gt;""),INDEX(Sheet1!$N:$N,INT((ROWS($A$10:$A200)+1)/2)+1)=""),"",INDEX(Sheet1!$N:$N,INT((ROWS($A$10:$A200)+1)/2)+1))</f>
        <v/>
      </c>
      <c r="E200" s="74" t="str">
        <f>IF(INDEX(Sheet1!$AM:$AM,INT((ROWS($A$10:$A200)+1)/2)+1)&lt;&gt;"","第一種","")</f>
        <v/>
      </c>
      <c r="F200" s="77" t="str">
        <f>IF(E200="","",INDEX(Sheet1!$AO:$AO,INT((ROWS($A$10:$A200)+1)/2)+1)&amp;"")</f>
        <v/>
      </c>
      <c r="G200" s="76" t="str">
        <f>IF(OR(E200="",INDEX(Sheet1!$AY:$AY,INT((ROWS($A$10:$A200)+1)/2)+1)=""),"",INDEX(Sheet1!$AY:$AY,INT((ROWS($A$10:$A200)+1)/2)+1))</f>
        <v/>
      </c>
      <c r="H200" s="74" t="str">
        <f>IF(INDEX(Sheet1!$AD:$AD,INT((ROWS($A$10:$A200)+1)/2)+1)="","",INDEX(Sheet1!$AD:$AD,INT((ROWS($A$10:$A200)+1)/2)+1))</f>
        <v/>
      </c>
      <c r="I200" s="76" t="str">
        <f>IF(INDEX(Sheet1!$AK:$AK,INT((ROWS($A$10:$A200)+1)/2)+1)="","",INDEX(Sheet1!$AK:$AK,INT((ROWS($A$10:$A200)+1)/2)+1))</f>
        <v/>
      </c>
      <c r="J200" s="90"/>
    </row>
    <row r="201" spans="1:10" ht="30" customHeight="1" x14ac:dyDescent="0.15">
      <c r="A201" s="74" t="str">
        <f>IF(E201="","",IF(E200="",INDEX(Sheet1!$AC:$AC,INT((ROWS($A$10:$A201)+1)/2)+1)&amp;"","〃"))</f>
        <v/>
      </c>
      <c r="B201" s="74" t="str">
        <f>IF(E201="","",IF(E200="",INDEX(Sheet1!$B:$B,INT((ROWS($A$10:$A201)+1)/2)+1)&amp;"","〃"))</f>
        <v/>
      </c>
      <c r="C201" s="74" t="str">
        <f>IF(E201="","",IF(E200="",INDEX(Sheet1!$CN:$CN,INT((ROWS($A$10:$A201)+1)/2)+1)&amp;"","〃"))</f>
        <v/>
      </c>
      <c r="D201" s="76" t="str">
        <f>IF(E201="","",IF(E200="",IF(INDEX(Sheet1!$N:$N,INT((ROWS($A$10:$A201)+1)/2)+1)="","",INDEX(Sheet1!$N:$N,INT((ROWS($A$10:$A201)+1)/2)+1)),"〃"))</f>
        <v/>
      </c>
      <c r="E201" s="74" t="str">
        <f>IF(INDEX(Sheet1!$BA:$BA,INT((ROWS($A$10:$A201)+1)/2)+1)&lt;&gt;"","わな猟","")</f>
        <v/>
      </c>
      <c r="F201" s="77" t="str">
        <f>IF(E201="","",INDEX(Sheet1!$BC:$BC,INT((ROWS($A$10:$A201)+1)/2)+1)&amp;"")</f>
        <v/>
      </c>
      <c r="G201" s="76" t="str">
        <f>IF(E201="","",IF(INDEX(Sheet1!$BM:$BM,INT((ROWS($A$10:$A201)+1)/2)+1)="","",INDEX(Sheet1!$BM:$BM,INT((ROWS($A$10:$A201)+1)/2)+1)))</f>
        <v/>
      </c>
      <c r="H201" s="78"/>
      <c r="I201" s="73"/>
      <c r="J201" s="90"/>
    </row>
    <row r="202" spans="1:10" s="71" customFormat="1" ht="30" customHeight="1" x14ac:dyDescent="0.15">
      <c r="A202" s="74" t="str">
        <f>IF(AND(INDEX(Sheet1!$AM:$AM,INT((ROWS($A$10:$A202)+1)/2)+1)="",INDEX(Sheet1!$BA:$BA,INT((ROWS($A$10:$A202)+1)/2)+1)&lt;&gt;""),"",INDEX(Sheet1!$AC:$AC,INT((ROWS($A$10:$A202)+1)/2)+1)&amp;"")</f>
        <v/>
      </c>
      <c r="B202" s="74" t="str">
        <f>IF(AND(INDEX(Sheet1!$AM:$AM,INT((ROWS($A$10:$A202)+1)/2)+1)="",INDEX(Sheet1!$BA:$BA,INT((ROWS($A$10:$A202)+1)/2)+1)&lt;&gt;""),"",INDEX(Sheet1!$B:$B,INT((ROWS($A$10:$A202)+1)/2)+1)&amp;"")</f>
        <v/>
      </c>
      <c r="C202" s="74" t="str">
        <f>IF(AND(INDEX(Sheet1!$AM:$AM,INT((ROWS($A$10:$A202)+1)/2)+1)="",INDEX(Sheet1!$BA:$BA,INT((ROWS($A$10:$A202)+1)/2)+1)&lt;&gt;""),"",INDEX(Sheet1!$CN:$CN,INT((ROWS($A$10:$A202)+1)/2)+1)&amp;"")</f>
        <v/>
      </c>
      <c r="D202" s="76" t="str">
        <f>IF(OR(AND(INDEX(Sheet1!$AM:$AM,INT((ROWS($A$10:$A202)+1)/2)+1)="",INDEX(Sheet1!$BA:$BA,INT((ROWS($A$10:$A202)+1)/2)+1)&lt;&gt;""),INDEX(Sheet1!$N:$N,INT((ROWS($A$10:$A202)+1)/2)+1)=""),"",INDEX(Sheet1!$N:$N,INT((ROWS($A$10:$A202)+1)/2)+1))</f>
        <v/>
      </c>
      <c r="E202" s="74" t="str">
        <f>IF(INDEX(Sheet1!$AM:$AM,INT((ROWS($A$10:$A202)+1)/2)+1)&lt;&gt;"","第一種","")</f>
        <v/>
      </c>
      <c r="F202" s="77" t="str">
        <f>IF(E202="","",INDEX(Sheet1!$AO:$AO,INT((ROWS($A$10:$A202)+1)/2)+1)&amp;"")</f>
        <v/>
      </c>
      <c r="G202" s="76" t="str">
        <f>IF(OR(E202="",INDEX(Sheet1!$AY:$AY,INT((ROWS($A$10:$A202)+1)/2)+1)=""),"",INDEX(Sheet1!$AY:$AY,INT((ROWS($A$10:$A202)+1)/2)+1))</f>
        <v/>
      </c>
      <c r="H202" s="74" t="str">
        <f>IF(INDEX(Sheet1!$AD:$AD,INT((ROWS($A$10:$A202)+1)/2)+1)="","",INDEX(Sheet1!$AD:$AD,INT((ROWS($A$10:$A202)+1)/2)+1))</f>
        <v/>
      </c>
      <c r="I202" s="76" t="str">
        <f>IF(INDEX(Sheet1!$AK:$AK,INT((ROWS($A$10:$A202)+1)/2)+1)="","",INDEX(Sheet1!$AK:$AK,INT((ROWS($A$10:$A202)+1)/2)+1))</f>
        <v/>
      </c>
      <c r="J202" s="90"/>
    </row>
    <row r="203" spans="1:10" ht="30" customHeight="1" x14ac:dyDescent="0.15">
      <c r="A203" s="74" t="str">
        <f>IF(E203="","",IF(E202="",INDEX(Sheet1!$AC:$AC,INT((ROWS($A$10:$A203)+1)/2)+1)&amp;"","〃"))</f>
        <v/>
      </c>
      <c r="B203" s="74" t="str">
        <f>IF(E203="","",IF(E202="",INDEX(Sheet1!$B:$B,INT((ROWS($A$10:$A203)+1)/2)+1)&amp;"","〃"))</f>
        <v/>
      </c>
      <c r="C203" s="74" t="str">
        <f>IF(E203="","",IF(E202="",INDEX(Sheet1!$CN:$CN,INT((ROWS($A$10:$A203)+1)/2)+1)&amp;"","〃"))</f>
        <v/>
      </c>
      <c r="D203" s="76" t="str">
        <f>IF(E203="","",IF(E202="",IF(INDEX(Sheet1!$N:$N,INT((ROWS($A$10:$A203)+1)/2)+1)="","",INDEX(Sheet1!$N:$N,INT((ROWS($A$10:$A203)+1)/2)+1)),"〃"))</f>
        <v/>
      </c>
      <c r="E203" s="74" t="str">
        <f>IF(INDEX(Sheet1!$BA:$BA,INT((ROWS($A$10:$A203)+1)/2)+1)&lt;&gt;"","わな猟","")</f>
        <v/>
      </c>
      <c r="F203" s="77" t="str">
        <f>IF(E203="","",INDEX(Sheet1!$BC:$BC,INT((ROWS($A$10:$A203)+1)/2)+1)&amp;"")</f>
        <v/>
      </c>
      <c r="G203" s="76" t="str">
        <f>IF(E203="","",IF(INDEX(Sheet1!$BM:$BM,INT((ROWS($A$10:$A203)+1)/2)+1)="","",INDEX(Sheet1!$BM:$BM,INT((ROWS($A$10:$A203)+1)/2)+1)))</f>
        <v/>
      </c>
      <c r="H203" s="78"/>
      <c r="I203" s="73"/>
      <c r="J203" s="90"/>
    </row>
    <row r="204" spans="1:10" s="71" customFormat="1" ht="30" customHeight="1" x14ac:dyDescent="0.15">
      <c r="A204" s="74" t="str">
        <f>IF(AND(INDEX(Sheet1!$AM:$AM,INT((ROWS($A$10:$A204)+1)/2)+1)="",INDEX(Sheet1!$BA:$BA,INT((ROWS($A$10:$A204)+1)/2)+1)&lt;&gt;""),"",INDEX(Sheet1!$AC:$AC,INT((ROWS($A$10:$A204)+1)/2)+1)&amp;"")</f>
        <v/>
      </c>
      <c r="B204" s="74" t="str">
        <f>IF(AND(INDEX(Sheet1!$AM:$AM,INT((ROWS($A$10:$A204)+1)/2)+1)="",INDEX(Sheet1!$BA:$BA,INT((ROWS($A$10:$A204)+1)/2)+1)&lt;&gt;""),"",INDEX(Sheet1!$B:$B,INT((ROWS($A$10:$A204)+1)/2)+1)&amp;"")</f>
        <v/>
      </c>
      <c r="C204" s="74" t="str">
        <f>IF(AND(INDEX(Sheet1!$AM:$AM,INT((ROWS($A$10:$A204)+1)/2)+1)="",INDEX(Sheet1!$BA:$BA,INT((ROWS($A$10:$A204)+1)/2)+1)&lt;&gt;""),"",INDEX(Sheet1!$CN:$CN,INT((ROWS($A$10:$A204)+1)/2)+1)&amp;"")</f>
        <v/>
      </c>
      <c r="D204" s="76" t="str">
        <f>IF(OR(AND(INDEX(Sheet1!$AM:$AM,INT((ROWS($A$10:$A204)+1)/2)+1)="",INDEX(Sheet1!$BA:$BA,INT((ROWS($A$10:$A204)+1)/2)+1)&lt;&gt;""),INDEX(Sheet1!$N:$N,INT((ROWS($A$10:$A204)+1)/2)+1)=""),"",INDEX(Sheet1!$N:$N,INT((ROWS($A$10:$A204)+1)/2)+1))</f>
        <v/>
      </c>
      <c r="E204" s="74" t="str">
        <f>IF(INDEX(Sheet1!$AM:$AM,INT((ROWS($A$10:$A204)+1)/2)+1)&lt;&gt;"","第一種","")</f>
        <v/>
      </c>
      <c r="F204" s="77" t="str">
        <f>IF(E204="","",INDEX(Sheet1!$AO:$AO,INT((ROWS($A$10:$A204)+1)/2)+1)&amp;"")</f>
        <v/>
      </c>
      <c r="G204" s="76" t="str">
        <f>IF(OR(E204="",INDEX(Sheet1!$AY:$AY,INT((ROWS($A$10:$A204)+1)/2)+1)=""),"",INDEX(Sheet1!$AY:$AY,INT((ROWS($A$10:$A204)+1)/2)+1))</f>
        <v/>
      </c>
      <c r="H204" s="74" t="str">
        <f>IF(INDEX(Sheet1!$AD:$AD,INT((ROWS($A$10:$A204)+1)/2)+1)="","",INDEX(Sheet1!$AD:$AD,INT((ROWS($A$10:$A204)+1)/2)+1))</f>
        <v/>
      </c>
      <c r="I204" s="76" t="str">
        <f>IF(INDEX(Sheet1!$AK:$AK,INT((ROWS($A$10:$A204)+1)/2)+1)="","",INDEX(Sheet1!$AK:$AK,INT((ROWS($A$10:$A204)+1)/2)+1))</f>
        <v/>
      </c>
      <c r="J204" s="90"/>
    </row>
    <row r="205" spans="1:10" ht="30" customHeight="1" x14ac:dyDescent="0.15">
      <c r="A205" s="74" t="str">
        <f>IF(E205="","",IF(E204="",INDEX(Sheet1!$AC:$AC,INT((ROWS($A$10:$A205)+1)/2)+1)&amp;"","〃"))</f>
        <v/>
      </c>
      <c r="B205" s="74" t="str">
        <f>IF(E205="","",IF(E204="",INDEX(Sheet1!$B:$B,INT((ROWS($A$10:$A205)+1)/2)+1)&amp;"","〃"))</f>
        <v/>
      </c>
      <c r="C205" s="74" t="str">
        <f>IF(E205="","",IF(E204="",INDEX(Sheet1!$CN:$CN,INT((ROWS($A$10:$A205)+1)/2)+1)&amp;"","〃"))</f>
        <v/>
      </c>
      <c r="D205" s="76" t="str">
        <f>IF(E205="","",IF(E204="",IF(INDEX(Sheet1!$N:$N,INT((ROWS($A$10:$A205)+1)/2)+1)="","",INDEX(Sheet1!$N:$N,INT((ROWS($A$10:$A205)+1)/2)+1)),"〃"))</f>
        <v/>
      </c>
      <c r="E205" s="74" t="str">
        <f>IF(INDEX(Sheet1!$BA:$BA,INT((ROWS($A$10:$A205)+1)/2)+1)&lt;&gt;"","わな猟","")</f>
        <v/>
      </c>
      <c r="F205" s="77" t="str">
        <f>IF(E205="","",INDEX(Sheet1!$BC:$BC,INT((ROWS($A$10:$A205)+1)/2)+1)&amp;"")</f>
        <v/>
      </c>
      <c r="G205" s="76" t="str">
        <f>IF(E205="","",IF(INDEX(Sheet1!$BM:$BM,INT((ROWS($A$10:$A205)+1)/2)+1)="","",INDEX(Sheet1!$BM:$BM,INT((ROWS($A$10:$A205)+1)/2)+1)))</f>
        <v/>
      </c>
      <c r="H205" s="78"/>
      <c r="I205" s="73"/>
      <c r="J205" s="90"/>
    </row>
    <row r="206" spans="1:10" s="71" customFormat="1" ht="30" customHeight="1" x14ac:dyDescent="0.15">
      <c r="A206" s="74" t="str">
        <f>IF(AND(INDEX(Sheet1!$AM:$AM,INT((ROWS($A$10:$A206)+1)/2)+1)="",INDEX(Sheet1!$BA:$BA,INT((ROWS($A$10:$A206)+1)/2)+1)&lt;&gt;""),"",INDEX(Sheet1!$AC:$AC,INT((ROWS($A$10:$A206)+1)/2)+1)&amp;"")</f>
        <v/>
      </c>
      <c r="B206" s="74" t="str">
        <f>IF(AND(INDEX(Sheet1!$AM:$AM,INT((ROWS($A$10:$A206)+1)/2)+1)="",INDEX(Sheet1!$BA:$BA,INT((ROWS($A$10:$A206)+1)/2)+1)&lt;&gt;""),"",INDEX(Sheet1!$B:$B,INT((ROWS($A$10:$A206)+1)/2)+1)&amp;"")</f>
        <v/>
      </c>
      <c r="C206" s="74" t="str">
        <f>IF(AND(INDEX(Sheet1!$AM:$AM,INT((ROWS($A$10:$A206)+1)/2)+1)="",INDEX(Sheet1!$BA:$BA,INT((ROWS($A$10:$A206)+1)/2)+1)&lt;&gt;""),"",INDEX(Sheet1!$CN:$CN,INT((ROWS($A$10:$A206)+1)/2)+1)&amp;"")</f>
        <v/>
      </c>
      <c r="D206" s="76" t="str">
        <f>IF(OR(AND(INDEX(Sheet1!$AM:$AM,INT((ROWS($A$10:$A206)+1)/2)+1)="",INDEX(Sheet1!$BA:$BA,INT((ROWS($A$10:$A206)+1)/2)+1)&lt;&gt;""),INDEX(Sheet1!$N:$N,INT((ROWS($A$10:$A206)+1)/2)+1)=""),"",INDEX(Sheet1!$N:$N,INT((ROWS($A$10:$A206)+1)/2)+1))</f>
        <v/>
      </c>
      <c r="E206" s="74" t="str">
        <f>IF(INDEX(Sheet1!$AM:$AM,INT((ROWS($A$10:$A206)+1)/2)+1)&lt;&gt;"","第一種","")</f>
        <v/>
      </c>
      <c r="F206" s="77" t="str">
        <f>IF(E206="","",INDEX(Sheet1!$AO:$AO,INT((ROWS($A$10:$A206)+1)/2)+1)&amp;"")</f>
        <v/>
      </c>
      <c r="G206" s="76" t="str">
        <f>IF(OR(E206="",INDEX(Sheet1!$AY:$AY,INT((ROWS($A$10:$A206)+1)/2)+1)=""),"",INDEX(Sheet1!$AY:$AY,INT((ROWS($A$10:$A206)+1)/2)+1))</f>
        <v/>
      </c>
      <c r="H206" s="74" t="str">
        <f>IF(INDEX(Sheet1!$AD:$AD,INT((ROWS($A$10:$A206)+1)/2)+1)="","",INDEX(Sheet1!$AD:$AD,INT((ROWS($A$10:$A206)+1)/2)+1))</f>
        <v/>
      </c>
      <c r="I206" s="76" t="str">
        <f>IF(INDEX(Sheet1!$AK:$AK,INT((ROWS($A$10:$A206)+1)/2)+1)="","",INDEX(Sheet1!$AK:$AK,INT((ROWS($A$10:$A206)+1)/2)+1))</f>
        <v/>
      </c>
      <c r="J206" s="90"/>
    </row>
    <row r="207" spans="1:10" ht="30" customHeight="1" x14ac:dyDescent="0.15">
      <c r="A207" s="74" t="str">
        <f>IF(E207="","",IF(E206="",INDEX(Sheet1!$AC:$AC,INT((ROWS($A$10:$A207)+1)/2)+1)&amp;"","〃"))</f>
        <v/>
      </c>
      <c r="B207" s="74" t="str">
        <f>IF(E207="","",IF(E206="",INDEX(Sheet1!$B:$B,INT((ROWS($A$10:$A207)+1)/2)+1)&amp;"","〃"))</f>
        <v/>
      </c>
      <c r="C207" s="74" t="str">
        <f>IF(E207="","",IF(E206="",INDEX(Sheet1!$CN:$CN,INT((ROWS($A$10:$A207)+1)/2)+1)&amp;"","〃"))</f>
        <v/>
      </c>
      <c r="D207" s="76" t="str">
        <f>IF(E207="","",IF(E206="",IF(INDEX(Sheet1!$N:$N,INT((ROWS($A$10:$A207)+1)/2)+1)="","",INDEX(Sheet1!$N:$N,INT((ROWS($A$10:$A207)+1)/2)+1)),"〃"))</f>
        <v/>
      </c>
      <c r="E207" s="74" t="str">
        <f>IF(INDEX(Sheet1!$BA:$BA,INT((ROWS($A$10:$A207)+1)/2)+1)&lt;&gt;"","わな猟","")</f>
        <v/>
      </c>
      <c r="F207" s="77" t="str">
        <f>IF(E207="","",INDEX(Sheet1!$BC:$BC,INT((ROWS($A$10:$A207)+1)/2)+1)&amp;"")</f>
        <v/>
      </c>
      <c r="G207" s="76" t="str">
        <f>IF(E207="","",IF(INDEX(Sheet1!$BM:$BM,INT((ROWS($A$10:$A207)+1)/2)+1)="","",INDEX(Sheet1!$BM:$BM,INT((ROWS($A$10:$A207)+1)/2)+1)))</f>
        <v/>
      </c>
      <c r="H207" s="78"/>
      <c r="I207" s="73"/>
      <c r="J207" s="90"/>
    </row>
    <row r="208" spans="1:10" s="71" customFormat="1" ht="30" customHeight="1" x14ac:dyDescent="0.15">
      <c r="A208" s="74" t="str">
        <f>IF(AND(INDEX(Sheet1!$AM:$AM,INT((ROWS($A$10:$A208)+1)/2)+1)="",INDEX(Sheet1!$BA:$BA,INT((ROWS($A$10:$A208)+1)/2)+1)&lt;&gt;""),"",INDEX(Sheet1!$AC:$AC,INT((ROWS($A$10:$A208)+1)/2)+1)&amp;"")</f>
        <v/>
      </c>
      <c r="B208" s="74" t="str">
        <f>IF(AND(INDEX(Sheet1!$AM:$AM,INT((ROWS($A$10:$A208)+1)/2)+1)="",INDEX(Sheet1!$BA:$BA,INT((ROWS($A$10:$A208)+1)/2)+1)&lt;&gt;""),"",INDEX(Sheet1!$B:$B,INT((ROWS($A$10:$A208)+1)/2)+1)&amp;"")</f>
        <v/>
      </c>
      <c r="C208" s="74" t="str">
        <f>IF(AND(INDEX(Sheet1!$AM:$AM,INT((ROWS($A$10:$A208)+1)/2)+1)="",INDEX(Sheet1!$BA:$BA,INT((ROWS($A$10:$A208)+1)/2)+1)&lt;&gt;""),"",INDEX(Sheet1!$CN:$CN,INT((ROWS($A$10:$A208)+1)/2)+1)&amp;"")</f>
        <v/>
      </c>
      <c r="D208" s="76" t="str">
        <f>IF(OR(AND(INDEX(Sheet1!$AM:$AM,INT((ROWS($A$10:$A208)+1)/2)+1)="",INDEX(Sheet1!$BA:$BA,INT((ROWS($A$10:$A208)+1)/2)+1)&lt;&gt;""),INDEX(Sheet1!$N:$N,INT((ROWS($A$10:$A208)+1)/2)+1)=""),"",INDEX(Sheet1!$N:$N,INT((ROWS($A$10:$A208)+1)/2)+1))</f>
        <v/>
      </c>
      <c r="E208" s="74" t="str">
        <f>IF(INDEX(Sheet1!$AM:$AM,INT((ROWS($A$10:$A208)+1)/2)+1)&lt;&gt;"","第一種","")</f>
        <v/>
      </c>
      <c r="F208" s="77" t="str">
        <f>IF(E208="","",INDEX(Sheet1!$AO:$AO,INT((ROWS($A$10:$A208)+1)/2)+1)&amp;"")</f>
        <v/>
      </c>
      <c r="G208" s="76" t="str">
        <f>IF(OR(E208="",INDEX(Sheet1!$AY:$AY,INT((ROWS($A$10:$A208)+1)/2)+1)=""),"",INDEX(Sheet1!$AY:$AY,INT((ROWS($A$10:$A208)+1)/2)+1))</f>
        <v/>
      </c>
      <c r="H208" s="74" t="str">
        <f>IF(INDEX(Sheet1!$AD:$AD,INT((ROWS($A$10:$A208)+1)/2)+1)="","",INDEX(Sheet1!$AD:$AD,INT((ROWS($A$10:$A208)+1)/2)+1))</f>
        <v/>
      </c>
      <c r="I208" s="76" t="str">
        <f>IF(INDEX(Sheet1!$AK:$AK,INT((ROWS($A$10:$A208)+1)/2)+1)="","",INDEX(Sheet1!$AK:$AK,INT((ROWS($A$10:$A208)+1)/2)+1))</f>
        <v/>
      </c>
      <c r="J208" s="90"/>
    </row>
    <row r="209" spans="1:10" ht="30" customHeight="1" x14ac:dyDescent="0.15">
      <c r="A209" s="74" t="str">
        <f>IF(E209="","",IF(E208="",INDEX(Sheet1!$AC:$AC,INT((ROWS($A$10:$A209)+1)/2)+1)&amp;"","〃"))</f>
        <v/>
      </c>
      <c r="B209" s="74" t="str">
        <f>IF(E209="","",IF(E208="",INDEX(Sheet1!$B:$B,INT((ROWS($A$10:$A209)+1)/2)+1)&amp;"","〃"))</f>
        <v/>
      </c>
      <c r="C209" s="74" t="str">
        <f>IF(E209="","",IF(E208="",INDEX(Sheet1!$CN:$CN,INT((ROWS($A$10:$A209)+1)/2)+1)&amp;"","〃"))</f>
        <v/>
      </c>
      <c r="D209" s="76" t="str">
        <f>IF(E209="","",IF(E208="",IF(INDEX(Sheet1!$N:$N,INT((ROWS($A$10:$A209)+1)/2)+1)="","",INDEX(Sheet1!$N:$N,INT((ROWS($A$10:$A209)+1)/2)+1)),"〃"))</f>
        <v/>
      </c>
      <c r="E209" s="74" t="str">
        <f>IF(INDEX(Sheet1!$BA:$BA,INT((ROWS($A$10:$A209)+1)/2)+1)&lt;&gt;"","わな猟","")</f>
        <v/>
      </c>
      <c r="F209" s="77" t="str">
        <f>IF(E209="","",INDEX(Sheet1!$BC:$BC,INT((ROWS($A$10:$A209)+1)/2)+1)&amp;"")</f>
        <v/>
      </c>
      <c r="G209" s="76" t="str">
        <f>IF(E209="","",IF(INDEX(Sheet1!$BM:$BM,INT((ROWS($A$10:$A209)+1)/2)+1)="","",INDEX(Sheet1!$BM:$BM,INT((ROWS($A$10:$A209)+1)/2)+1)))</f>
        <v/>
      </c>
      <c r="H209" s="78"/>
      <c r="I209" s="73"/>
      <c r="J209" s="90"/>
    </row>
    <row r="210" spans="1:10" s="71" customFormat="1" ht="30" customHeight="1" x14ac:dyDescent="0.15">
      <c r="A210" s="74" t="str">
        <f>IF(AND(INDEX(Sheet1!$AM:$AM,INT((ROWS($A$10:$A210)+1)/2)+1)="",INDEX(Sheet1!$BA:$BA,INT((ROWS($A$10:$A210)+1)/2)+1)&lt;&gt;""),"",INDEX(Sheet1!$AC:$AC,INT((ROWS($A$10:$A210)+1)/2)+1)&amp;"")</f>
        <v/>
      </c>
      <c r="B210" s="74" t="str">
        <f>IF(AND(INDEX(Sheet1!$AM:$AM,INT((ROWS($A$10:$A210)+1)/2)+1)="",INDEX(Sheet1!$BA:$BA,INT((ROWS($A$10:$A210)+1)/2)+1)&lt;&gt;""),"",INDEX(Sheet1!$B:$B,INT((ROWS($A$10:$A210)+1)/2)+1)&amp;"")</f>
        <v/>
      </c>
      <c r="C210" s="74" t="str">
        <f>IF(AND(INDEX(Sheet1!$AM:$AM,INT((ROWS($A$10:$A210)+1)/2)+1)="",INDEX(Sheet1!$BA:$BA,INT((ROWS($A$10:$A210)+1)/2)+1)&lt;&gt;""),"",INDEX(Sheet1!$CN:$CN,INT((ROWS($A$10:$A210)+1)/2)+1)&amp;"")</f>
        <v/>
      </c>
      <c r="D210" s="76" t="str">
        <f>IF(OR(AND(INDEX(Sheet1!$AM:$AM,INT((ROWS($A$10:$A210)+1)/2)+1)="",INDEX(Sheet1!$BA:$BA,INT((ROWS($A$10:$A210)+1)/2)+1)&lt;&gt;""),INDEX(Sheet1!$N:$N,INT((ROWS($A$10:$A210)+1)/2)+1)=""),"",INDEX(Sheet1!$N:$N,INT((ROWS($A$10:$A210)+1)/2)+1))</f>
        <v/>
      </c>
      <c r="E210" s="74" t="str">
        <f>IF(INDEX(Sheet1!$AM:$AM,INT((ROWS($A$10:$A210)+1)/2)+1)&lt;&gt;"","第一種","")</f>
        <v/>
      </c>
      <c r="F210" s="77" t="str">
        <f>IF(E210="","",INDEX(Sheet1!$AO:$AO,INT((ROWS($A$10:$A210)+1)/2)+1)&amp;"")</f>
        <v/>
      </c>
      <c r="G210" s="76" t="str">
        <f>IF(OR(E210="",INDEX(Sheet1!$AY:$AY,INT((ROWS($A$10:$A210)+1)/2)+1)=""),"",INDEX(Sheet1!$AY:$AY,INT((ROWS($A$10:$A210)+1)/2)+1))</f>
        <v/>
      </c>
      <c r="H210" s="74" t="str">
        <f>IF(INDEX(Sheet1!$AD:$AD,INT((ROWS($A$10:$A210)+1)/2)+1)="","",INDEX(Sheet1!$AD:$AD,INT((ROWS($A$10:$A210)+1)/2)+1))</f>
        <v/>
      </c>
      <c r="I210" s="76" t="str">
        <f>IF(INDEX(Sheet1!$AK:$AK,INT((ROWS($A$10:$A210)+1)/2)+1)="","",INDEX(Sheet1!$AK:$AK,INT((ROWS($A$10:$A210)+1)/2)+1))</f>
        <v/>
      </c>
      <c r="J210" s="90"/>
    </row>
    <row r="211" spans="1:10" ht="30" customHeight="1" x14ac:dyDescent="0.15">
      <c r="A211" s="74" t="str">
        <f>IF(E211="","",IF(E210="",INDEX(Sheet1!$AC:$AC,INT((ROWS($A$10:$A211)+1)/2)+1)&amp;"","〃"))</f>
        <v/>
      </c>
      <c r="B211" s="74" t="str">
        <f>IF(E211="","",IF(E210="",INDEX(Sheet1!$B:$B,INT((ROWS($A$10:$A211)+1)/2)+1)&amp;"","〃"))</f>
        <v/>
      </c>
      <c r="C211" s="74" t="str">
        <f>IF(E211="","",IF(E210="",INDEX(Sheet1!$CN:$CN,INT((ROWS($A$10:$A211)+1)/2)+1)&amp;"","〃"))</f>
        <v/>
      </c>
      <c r="D211" s="76" t="str">
        <f>IF(E211="","",IF(E210="",IF(INDEX(Sheet1!$N:$N,INT((ROWS($A$10:$A211)+1)/2)+1)="","",INDEX(Sheet1!$N:$N,INT((ROWS($A$10:$A211)+1)/2)+1)),"〃"))</f>
        <v/>
      </c>
      <c r="E211" s="74" t="str">
        <f>IF(INDEX(Sheet1!$BA:$BA,INT((ROWS($A$10:$A211)+1)/2)+1)&lt;&gt;"","わな猟","")</f>
        <v/>
      </c>
      <c r="F211" s="77" t="str">
        <f>IF(E211="","",INDEX(Sheet1!$BC:$BC,INT((ROWS($A$10:$A211)+1)/2)+1)&amp;"")</f>
        <v/>
      </c>
      <c r="G211" s="76" t="str">
        <f>IF(E211="","",IF(INDEX(Sheet1!$BM:$BM,INT((ROWS($A$10:$A211)+1)/2)+1)="","",INDEX(Sheet1!$BM:$BM,INT((ROWS($A$10:$A211)+1)/2)+1)))</f>
        <v/>
      </c>
      <c r="H211" s="78"/>
      <c r="I211" s="73"/>
      <c r="J211" s="90"/>
    </row>
    <row r="212" spans="1:10" s="71" customFormat="1" ht="30" customHeight="1" x14ac:dyDescent="0.15">
      <c r="A212" s="74" t="str">
        <f>IF(AND(INDEX(Sheet1!$AM:$AM,INT((ROWS($A$10:$A212)+1)/2)+1)="",INDEX(Sheet1!$BA:$BA,INT((ROWS($A$10:$A212)+1)/2)+1)&lt;&gt;""),"",INDEX(Sheet1!$AC:$AC,INT((ROWS($A$10:$A212)+1)/2)+1)&amp;"")</f>
        <v/>
      </c>
      <c r="B212" s="74" t="str">
        <f>IF(AND(INDEX(Sheet1!$AM:$AM,INT((ROWS($A$10:$A212)+1)/2)+1)="",INDEX(Sheet1!$BA:$BA,INT((ROWS($A$10:$A212)+1)/2)+1)&lt;&gt;""),"",INDEX(Sheet1!$B:$B,INT((ROWS($A$10:$A212)+1)/2)+1)&amp;"")</f>
        <v/>
      </c>
      <c r="C212" s="74" t="str">
        <f>IF(AND(INDEX(Sheet1!$AM:$AM,INT((ROWS($A$10:$A212)+1)/2)+1)="",INDEX(Sheet1!$BA:$BA,INT((ROWS($A$10:$A212)+1)/2)+1)&lt;&gt;""),"",INDEX(Sheet1!$CN:$CN,INT((ROWS($A$10:$A212)+1)/2)+1)&amp;"")</f>
        <v/>
      </c>
      <c r="D212" s="76" t="str">
        <f>IF(OR(AND(INDEX(Sheet1!$AM:$AM,INT((ROWS($A$10:$A212)+1)/2)+1)="",INDEX(Sheet1!$BA:$BA,INT((ROWS($A$10:$A212)+1)/2)+1)&lt;&gt;""),INDEX(Sheet1!$N:$N,INT((ROWS($A$10:$A212)+1)/2)+1)=""),"",INDEX(Sheet1!$N:$N,INT((ROWS($A$10:$A212)+1)/2)+1))</f>
        <v/>
      </c>
      <c r="E212" s="74" t="str">
        <f>IF(INDEX(Sheet1!$AM:$AM,INT((ROWS($A$10:$A212)+1)/2)+1)&lt;&gt;"","第一種","")</f>
        <v/>
      </c>
      <c r="F212" s="77" t="str">
        <f>IF(E212="","",INDEX(Sheet1!$AO:$AO,INT((ROWS($A$10:$A212)+1)/2)+1)&amp;"")</f>
        <v/>
      </c>
      <c r="G212" s="76" t="str">
        <f>IF(OR(E212="",INDEX(Sheet1!$AY:$AY,INT((ROWS($A$10:$A212)+1)/2)+1)=""),"",INDEX(Sheet1!$AY:$AY,INT((ROWS($A$10:$A212)+1)/2)+1))</f>
        <v/>
      </c>
      <c r="H212" s="74" t="str">
        <f>IF(INDEX(Sheet1!$AD:$AD,INT((ROWS($A$10:$A212)+1)/2)+1)="","",INDEX(Sheet1!$AD:$AD,INT((ROWS($A$10:$A212)+1)/2)+1))</f>
        <v/>
      </c>
      <c r="I212" s="76" t="str">
        <f>IF(INDEX(Sheet1!$AK:$AK,INT((ROWS($A$10:$A212)+1)/2)+1)="","",INDEX(Sheet1!$AK:$AK,INT((ROWS($A$10:$A212)+1)/2)+1))</f>
        <v/>
      </c>
      <c r="J212" s="90"/>
    </row>
    <row r="213" spans="1:10" ht="30" customHeight="1" x14ac:dyDescent="0.15">
      <c r="A213" s="74" t="str">
        <f>IF(E213="","",IF(E212="",INDEX(Sheet1!$AC:$AC,INT((ROWS($A$10:$A213)+1)/2)+1)&amp;"","〃"))</f>
        <v/>
      </c>
      <c r="B213" s="74" t="str">
        <f>IF(E213="","",IF(E212="",INDEX(Sheet1!$B:$B,INT((ROWS($A$10:$A213)+1)/2)+1)&amp;"","〃"))</f>
        <v/>
      </c>
      <c r="C213" s="74" t="str">
        <f>IF(E213="","",IF(E212="",INDEX(Sheet1!$CN:$CN,INT((ROWS($A$10:$A213)+1)/2)+1)&amp;"","〃"))</f>
        <v/>
      </c>
      <c r="D213" s="76" t="str">
        <f>IF(E213="","",IF(E212="",IF(INDEX(Sheet1!$N:$N,INT((ROWS($A$10:$A213)+1)/2)+1)="","",INDEX(Sheet1!$N:$N,INT((ROWS($A$10:$A213)+1)/2)+1)),"〃"))</f>
        <v/>
      </c>
      <c r="E213" s="74" t="str">
        <f>IF(INDEX(Sheet1!$BA:$BA,INT((ROWS($A$10:$A213)+1)/2)+1)&lt;&gt;"","わな猟","")</f>
        <v/>
      </c>
      <c r="F213" s="77" t="str">
        <f>IF(E213="","",INDEX(Sheet1!$BC:$BC,INT((ROWS($A$10:$A213)+1)/2)+1)&amp;"")</f>
        <v/>
      </c>
      <c r="G213" s="76" t="str">
        <f>IF(E213="","",IF(INDEX(Sheet1!$BM:$BM,INT((ROWS($A$10:$A213)+1)/2)+1)="","",INDEX(Sheet1!$BM:$BM,INT((ROWS($A$10:$A213)+1)/2)+1)))</f>
        <v/>
      </c>
      <c r="H213" s="78"/>
      <c r="I213" s="73"/>
      <c r="J213" s="90"/>
    </row>
    <row r="214" spans="1:10" s="71" customFormat="1" ht="30" customHeight="1" x14ac:dyDescent="0.15">
      <c r="A214" s="74" t="str">
        <f>IF(AND(INDEX(Sheet1!$AM:$AM,INT((ROWS($A$10:$A214)+1)/2)+1)="",INDEX(Sheet1!$BA:$BA,INT((ROWS($A$10:$A214)+1)/2)+1)&lt;&gt;""),"",INDEX(Sheet1!$AC:$AC,INT((ROWS($A$10:$A214)+1)/2)+1)&amp;"")</f>
        <v/>
      </c>
      <c r="B214" s="74" t="str">
        <f>IF(AND(INDEX(Sheet1!$AM:$AM,INT((ROWS($A$10:$A214)+1)/2)+1)="",INDEX(Sheet1!$BA:$BA,INT((ROWS($A$10:$A214)+1)/2)+1)&lt;&gt;""),"",INDEX(Sheet1!$B:$B,INT((ROWS($A$10:$A214)+1)/2)+1)&amp;"")</f>
        <v/>
      </c>
      <c r="C214" s="74" t="str">
        <f>IF(AND(INDEX(Sheet1!$AM:$AM,INT((ROWS($A$10:$A214)+1)/2)+1)="",INDEX(Sheet1!$BA:$BA,INT((ROWS($A$10:$A214)+1)/2)+1)&lt;&gt;""),"",INDEX(Sheet1!$CN:$CN,INT((ROWS($A$10:$A214)+1)/2)+1)&amp;"")</f>
        <v/>
      </c>
      <c r="D214" s="76" t="str">
        <f>IF(OR(AND(INDEX(Sheet1!$AM:$AM,INT((ROWS($A$10:$A214)+1)/2)+1)="",INDEX(Sheet1!$BA:$BA,INT((ROWS($A$10:$A214)+1)/2)+1)&lt;&gt;""),INDEX(Sheet1!$N:$N,INT((ROWS($A$10:$A214)+1)/2)+1)=""),"",INDEX(Sheet1!$N:$N,INT((ROWS($A$10:$A214)+1)/2)+1))</f>
        <v/>
      </c>
      <c r="E214" s="74" t="str">
        <f>IF(INDEX(Sheet1!$AM:$AM,INT((ROWS($A$10:$A214)+1)/2)+1)&lt;&gt;"","第一種","")</f>
        <v/>
      </c>
      <c r="F214" s="77" t="str">
        <f>IF(E214="","",INDEX(Sheet1!$AO:$AO,INT((ROWS($A$10:$A214)+1)/2)+1)&amp;"")</f>
        <v/>
      </c>
      <c r="G214" s="76" t="str">
        <f>IF(OR(E214="",INDEX(Sheet1!$AY:$AY,INT((ROWS($A$10:$A214)+1)/2)+1)=""),"",INDEX(Sheet1!$AY:$AY,INT((ROWS($A$10:$A214)+1)/2)+1))</f>
        <v/>
      </c>
      <c r="H214" s="74" t="str">
        <f>IF(INDEX(Sheet1!$AD:$AD,INT((ROWS($A$10:$A214)+1)/2)+1)="","",INDEX(Sheet1!$AD:$AD,INT((ROWS($A$10:$A214)+1)/2)+1))</f>
        <v/>
      </c>
      <c r="I214" s="76" t="str">
        <f>IF(INDEX(Sheet1!$AK:$AK,INT((ROWS($A$10:$A214)+1)/2)+1)="","",INDEX(Sheet1!$AK:$AK,INT((ROWS($A$10:$A214)+1)/2)+1))</f>
        <v/>
      </c>
      <c r="J214" s="90"/>
    </row>
    <row r="215" spans="1:10" ht="30" customHeight="1" x14ac:dyDescent="0.15">
      <c r="A215" s="74" t="str">
        <f>IF(E215="","",IF(E214="",INDEX(Sheet1!$AC:$AC,INT((ROWS($A$10:$A215)+1)/2)+1)&amp;"","〃"))</f>
        <v/>
      </c>
      <c r="B215" s="74" t="str">
        <f>IF(E215="","",IF(E214="",INDEX(Sheet1!$B:$B,INT((ROWS($A$10:$A215)+1)/2)+1)&amp;"","〃"))</f>
        <v/>
      </c>
      <c r="C215" s="74" t="str">
        <f>IF(E215="","",IF(E214="",INDEX(Sheet1!$CN:$CN,INT((ROWS($A$10:$A215)+1)/2)+1)&amp;"","〃"))</f>
        <v/>
      </c>
      <c r="D215" s="76" t="str">
        <f>IF(E215="","",IF(E214="",IF(INDEX(Sheet1!$N:$N,INT((ROWS($A$10:$A215)+1)/2)+1)="","",INDEX(Sheet1!$N:$N,INT((ROWS($A$10:$A215)+1)/2)+1)),"〃"))</f>
        <v/>
      </c>
      <c r="E215" s="74" t="str">
        <f>IF(INDEX(Sheet1!$BA:$BA,INT((ROWS($A$10:$A215)+1)/2)+1)&lt;&gt;"","わな猟","")</f>
        <v/>
      </c>
      <c r="F215" s="77" t="str">
        <f>IF(E215="","",INDEX(Sheet1!$BC:$BC,INT((ROWS($A$10:$A215)+1)/2)+1)&amp;"")</f>
        <v/>
      </c>
      <c r="G215" s="76" t="str">
        <f>IF(E215="","",IF(INDEX(Sheet1!$BM:$BM,INT((ROWS($A$10:$A215)+1)/2)+1)="","",INDEX(Sheet1!$BM:$BM,INT((ROWS($A$10:$A215)+1)/2)+1)))</f>
        <v/>
      </c>
      <c r="H215" s="78"/>
      <c r="I215" s="73"/>
      <c r="J215" s="90"/>
    </row>
    <row r="216" spans="1:10" s="71" customFormat="1" ht="30" customHeight="1" x14ac:dyDescent="0.15">
      <c r="A216" s="74" t="str">
        <f>IF(AND(INDEX(Sheet1!$AM:$AM,INT((ROWS($A$10:$A216)+1)/2)+1)="",INDEX(Sheet1!$BA:$BA,INT((ROWS($A$10:$A216)+1)/2)+1)&lt;&gt;""),"",INDEX(Sheet1!$AC:$AC,INT((ROWS($A$10:$A216)+1)/2)+1)&amp;"")</f>
        <v/>
      </c>
      <c r="B216" s="74" t="str">
        <f>IF(AND(INDEX(Sheet1!$AM:$AM,INT((ROWS($A$10:$A216)+1)/2)+1)="",INDEX(Sheet1!$BA:$BA,INT((ROWS($A$10:$A216)+1)/2)+1)&lt;&gt;""),"",INDEX(Sheet1!$B:$B,INT((ROWS($A$10:$A216)+1)/2)+1)&amp;"")</f>
        <v/>
      </c>
      <c r="C216" s="74" t="str">
        <f>IF(AND(INDEX(Sheet1!$AM:$AM,INT((ROWS($A$10:$A216)+1)/2)+1)="",INDEX(Sheet1!$BA:$BA,INT((ROWS($A$10:$A216)+1)/2)+1)&lt;&gt;""),"",INDEX(Sheet1!$CN:$CN,INT((ROWS($A$10:$A216)+1)/2)+1)&amp;"")</f>
        <v/>
      </c>
      <c r="D216" s="76" t="str">
        <f>IF(OR(AND(INDEX(Sheet1!$AM:$AM,INT((ROWS($A$10:$A216)+1)/2)+1)="",INDEX(Sheet1!$BA:$BA,INT((ROWS($A$10:$A216)+1)/2)+1)&lt;&gt;""),INDEX(Sheet1!$N:$N,INT((ROWS($A$10:$A216)+1)/2)+1)=""),"",INDEX(Sheet1!$N:$N,INT((ROWS($A$10:$A216)+1)/2)+1))</f>
        <v/>
      </c>
      <c r="E216" s="74" t="str">
        <f>IF(INDEX(Sheet1!$AM:$AM,INT((ROWS($A$10:$A216)+1)/2)+1)&lt;&gt;"","第一種","")</f>
        <v/>
      </c>
      <c r="F216" s="77" t="str">
        <f>IF(E216="","",INDEX(Sheet1!$AO:$AO,INT((ROWS($A$10:$A216)+1)/2)+1)&amp;"")</f>
        <v/>
      </c>
      <c r="G216" s="76" t="str">
        <f>IF(OR(E216="",INDEX(Sheet1!$AY:$AY,INT((ROWS($A$10:$A216)+1)/2)+1)=""),"",INDEX(Sheet1!$AY:$AY,INT((ROWS($A$10:$A216)+1)/2)+1))</f>
        <v/>
      </c>
      <c r="H216" s="74" t="str">
        <f>IF(INDEX(Sheet1!$AD:$AD,INT((ROWS($A$10:$A216)+1)/2)+1)="","",INDEX(Sheet1!$AD:$AD,INT((ROWS($A$10:$A216)+1)/2)+1))</f>
        <v/>
      </c>
      <c r="I216" s="76" t="str">
        <f>IF(INDEX(Sheet1!$AK:$AK,INT((ROWS($A$10:$A216)+1)/2)+1)="","",INDEX(Sheet1!$AK:$AK,INT((ROWS($A$10:$A216)+1)/2)+1))</f>
        <v/>
      </c>
      <c r="J216" s="90"/>
    </row>
    <row r="217" spans="1:10" ht="30" customHeight="1" x14ac:dyDescent="0.15">
      <c r="A217" s="74" t="str">
        <f>IF(E217="","",IF(E216="",INDEX(Sheet1!$AC:$AC,INT((ROWS($A$10:$A217)+1)/2)+1)&amp;"","〃"))</f>
        <v/>
      </c>
      <c r="B217" s="74" t="str">
        <f>IF(E217="","",IF(E216="",INDEX(Sheet1!$B:$B,INT((ROWS($A$10:$A217)+1)/2)+1)&amp;"","〃"))</f>
        <v/>
      </c>
      <c r="C217" s="74" t="str">
        <f>IF(E217="","",IF(E216="",INDEX(Sheet1!$CN:$CN,INT((ROWS($A$10:$A217)+1)/2)+1)&amp;"","〃"))</f>
        <v/>
      </c>
      <c r="D217" s="76" t="str">
        <f>IF(E217="","",IF(E216="",IF(INDEX(Sheet1!$N:$N,INT((ROWS($A$10:$A217)+1)/2)+1)="","",INDEX(Sheet1!$N:$N,INT((ROWS($A$10:$A217)+1)/2)+1)),"〃"))</f>
        <v/>
      </c>
      <c r="E217" s="74" t="str">
        <f>IF(INDEX(Sheet1!$BA:$BA,INT((ROWS($A$10:$A217)+1)/2)+1)&lt;&gt;"","わな猟","")</f>
        <v/>
      </c>
      <c r="F217" s="77" t="str">
        <f>IF(E217="","",INDEX(Sheet1!$BC:$BC,INT((ROWS($A$10:$A217)+1)/2)+1)&amp;"")</f>
        <v/>
      </c>
      <c r="G217" s="76" t="str">
        <f>IF(E217="","",IF(INDEX(Sheet1!$BM:$BM,INT((ROWS($A$10:$A217)+1)/2)+1)="","",INDEX(Sheet1!$BM:$BM,INT((ROWS($A$10:$A217)+1)/2)+1)))</f>
        <v/>
      </c>
      <c r="H217" s="78"/>
      <c r="I217" s="73"/>
      <c r="J217" s="90"/>
    </row>
    <row r="218" spans="1:10" s="71" customFormat="1" ht="30" customHeight="1" x14ac:dyDescent="0.15">
      <c r="A218" s="74" t="str">
        <f>IF(AND(INDEX(Sheet1!$AM:$AM,INT((ROWS($A$10:$A218)+1)/2)+1)="",INDEX(Sheet1!$BA:$BA,INT((ROWS($A$10:$A218)+1)/2)+1)&lt;&gt;""),"",INDEX(Sheet1!$AC:$AC,INT((ROWS($A$10:$A218)+1)/2)+1)&amp;"")</f>
        <v/>
      </c>
      <c r="B218" s="74" t="str">
        <f>IF(AND(INDEX(Sheet1!$AM:$AM,INT((ROWS($A$10:$A218)+1)/2)+1)="",INDEX(Sheet1!$BA:$BA,INT((ROWS($A$10:$A218)+1)/2)+1)&lt;&gt;""),"",INDEX(Sheet1!$B:$B,INT((ROWS($A$10:$A218)+1)/2)+1)&amp;"")</f>
        <v/>
      </c>
      <c r="C218" s="74" t="str">
        <f>IF(AND(INDEX(Sheet1!$AM:$AM,INT((ROWS($A$10:$A218)+1)/2)+1)="",INDEX(Sheet1!$BA:$BA,INT((ROWS($A$10:$A218)+1)/2)+1)&lt;&gt;""),"",INDEX(Sheet1!$CN:$CN,INT((ROWS($A$10:$A218)+1)/2)+1)&amp;"")</f>
        <v/>
      </c>
      <c r="D218" s="76" t="str">
        <f>IF(OR(AND(INDEX(Sheet1!$AM:$AM,INT((ROWS($A$10:$A218)+1)/2)+1)="",INDEX(Sheet1!$BA:$BA,INT((ROWS($A$10:$A218)+1)/2)+1)&lt;&gt;""),INDEX(Sheet1!$N:$N,INT((ROWS($A$10:$A218)+1)/2)+1)=""),"",INDEX(Sheet1!$N:$N,INT((ROWS($A$10:$A218)+1)/2)+1))</f>
        <v/>
      </c>
      <c r="E218" s="74" t="str">
        <f>IF(INDEX(Sheet1!$AM:$AM,INT((ROWS($A$10:$A218)+1)/2)+1)&lt;&gt;"","第一種","")</f>
        <v/>
      </c>
      <c r="F218" s="77" t="str">
        <f>IF(E218="","",INDEX(Sheet1!$AO:$AO,INT((ROWS($A$10:$A218)+1)/2)+1)&amp;"")</f>
        <v/>
      </c>
      <c r="G218" s="76" t="str">
        <f>IF(OR(E218="",INDEX(Sheet1!$AY:$AY,INT((ROWS($A$10:$A218)+1)/2)+1)=""),"",INDEX(Sheet1!$AY:$AY,INT((ROWS($A$10:$A218)+1)/2)+1))</f>
        <v/>
      </c>
      <c r="H218" s="74" t="str">
        <f>IF(INDEX(Sheet1!$AD:$AD,INT((ROWS($A$10:$A218)+1)/2)+1)="","",INDEX(Sheet1!$AD:$AD,INT((ROWS($A$10:$A218)+1)/2)+1))</f>
        <v/>
      </c>
      <c r="I218" s="76" t="str">
        <f>IF(INDEX(Sheet1!$AK:$AK,INT((ROWS($A$10:$A218)+1)/2)+1)="","",INDEX(Sheet1!$AK:$AK,INT((ROWS($A$10:$A218)+1)/2)+1))</f>
        <v/>
      </c>
      <c r="J218" s="90"/>
    </row>
    <row r="219" spans="1:10" ht="30" customHeight="1" x14ac:dyDescent="0.15">
      <c r="A219" s="74" t="str">
        <f>IF(E219="","",IF(E218="",INDEX(Sheet1!$AC:$AC,INT((ROWS($A$10:$A219)+1)/2)+1)&amp;"","〃"))</f>
        <v/>
      </c>
      <c r="B219" s="74" t="str">
        <f>IF(E219="","",IF(E218="",INDEX(Sheet1!$B:$B,INT((ROWS($A$10:$A219)+1)/2)+1)&amp;"","〃"))</f>
        <v/>
      </c>
      <c r="C219" s="74" t="str">
        <f>IF(E219="","",IF(E218="",INDEX(Sheet1!$CN:$CN,INT((ROWS($A$10:$A219)+1)/2)+1)&amp;"","〃"))</f>
        <v/>
      </c>
      <c r="D219" s="76" t="str">
        <f>IF(E219="","",IF(E218="",IF(INDEX(Sheet1!$N:$N,INT((ROWS($A$10:$A219)+1)/2)+1)="","",INDEX(Sheet1!$N:$N,INT((ROWS($A$10:$A219)+1)/2)+1)),"〃"))</f>
        <v/>
      </c>
      <c r="E219" s="74" t="str">
        <f>IF(INDEX(Sheet1!$BA:$BA,INT((ROWS($A$10:$A219)+1)/2)+1)&lt;&gt;"","わな猟","")</f>
        <v/>
      </c>
      <c r="F219" s="77" t="str">
        <f>IF(E219="","",INDEX(Sheet1!$BC:$BC,INT((ROWS($A$10:$A219)+1)/2)+1)&amp;"")</f>
        <v/>
      </c>
      <c r="G219" s="76" t="str">
        <f>IF(E219="","",IF(INDEX(Sheet1!$BM:$BM,INT((ROWS($A$10:$A219)+1)/2)+1)="","",INDEX(Sheet1!$BM:$BM,INT((ROWS($A$10:$A219)+1)/2)+1)))</f>
        <v/>
      </c>
      <c r="H219" s="78"/>
      <c r="I219" s="73"/>
      <c r="J219" s="90"/>
    </row>
    <row r="220" spans="1:10" s="71" customFormat="1" ht="30" customHeight="1" x14ac:dyDescent="0.15">
      <c r="A220" s="74" t="str">
        <f>IF(AND(INDEX(Sheet1!$AM:$AM,INT((ROWS($A$10:$A220)+1)/2)+1)="",INDEX(Sheet1!$BA:$BA,INT((ROWS($A$10:$A220)+1)/2)+1)&lt;&gt;""),"",INDEX(Sheet1!$AC:$AC,INT((ROWS($A$10:$A220)+1)/2)+1)&amp;"")</f>
        <v/>
      </c>
      <c r="B220" s="74" t="str">
        <f>IF(AND(INDEX(Sheet1!$AM:$AM,INT((ROWS($A$10:$A220)+1)/2)+1)="",INDEX(Sheet1!$BA:$BA,INT((ROWS($A$10:$A220)+1)/2)+1)&lt;&gt;""),"",INDEX(Sheet1!$B:$B,INT((ROWS($A$10:$A220)+1)/2)+1)&amp;"")</f>
        <v/>
      </c>
      <c r="C220" s="74" t="str">
        <f>IF(AND(INDEX(Sheet1!$AM:$AM,INT((ROWS($A$10:$A220)+1)/2)+1)="",INDEX(Sheet1!$BA:$BA,INT((ROWS($A$10:$A220)+1)/2)+1)&lt;&gt;""),"",INDEX(Sheet1!$CN:$CN,INT((ROWS($A$10:$A220)+1)/2)+1)&amp;"")</f>
        <v/>
      </c>
      <c r="D220" s="76" t="str">
        <f>IF(OR(AND(INDEX(Sheet1!$AM:$AM,INT((ROWS($A$10:$A220)+1)/2)+1)="",INDEX(Sheet1!$BA:$BA,INT((ROWS($A$10:$A220)+1)/2)+1)&lt;&gt;""),INDEX(Sheet1!$N:$N,INT((ROWS($A$10:$A220)+1)/2)+1)=""),"",INDEX(Sheet1!$N:$N,INT((ROWS($A$10:$A220)+1)/2)+1))</f>
        <v/>
      </c>
      <c r="E220" s="74" t="str">
        <f>IF(INDEX(Sheet1!$AM:$AM,INT((ROWS($A$10:$A220)+1)/2)+1)&lt;&gt;"","第一種","")</f>
        <v/>
      </c>
      <c r="F220" s="77" t="str">
        <f>IF(E220="","",INDEX(Sheet1!$AO:$AO,INT((ROWS($A$10:$A220)+1)/2)+1)&amp;"")</f>
        <v/>
      </c>
      <c r="G220" s="76" t="str">
        <f>IF(OR(E220="",INDEX(Sheet1!$AY:$AY,INT((ROWS($A$10:$A220)+1)/2)+1)=""),"",INDEX(Sheet1!$AY:$AY,INT((ROWS($A$10:$A220)+1)/2)+1))</f>
        <v/>
      </c>
      <c r="H220" s="74" t="str">
        <f>IF(INDEX(Sheet1!$AD:$AD,INT((ROWS($A$10:$A220)+1)/2)+1)="","",INDEX(Sheet1!$AD:$AD,INT((ROWS($A$10:$A220)+1)/2)+1))</f>
        <v/>
      </c>
      <c r="I220" s="76" t="str">
        <f>IF(INDEX(Sheet1!$AK:$AK,INT((ROWS($A$10:$A220)+1)/2)+1)="","",INDEX(Sheet1!$AK:$AK,INT((ROWS($A$10:$A220)+1)/2)+1))</f>
        <v/>
      </c>
      <c r="J220" s="90"/>
    </row>
    <row r="221" spans="1:10" ht="30" customHeight="1" x14ac:dyDescent="0.15">
      <c r="A221" s="74" t="str">
        <f>IF(E221="","",IF(E220="",INDEX(Sheet1!$AC:$AC,INT((ROWS($A$10:$A221)+1)/2)+1)&amp;"","〃"))</f>
        <v/>
      </c>
      <c r="B221" s="74" t="str">
        <f>IF(E221="","",IF(E220="",INDEX(Sheet1!$B:$B,INT((ROWS($A$10:$A221)+1)/2)+1)&amp;"","〃"))</f>
        <v/>
      </c>
      <c r="C221" s="74" t="str">
        <f>IF(E221="","",IF(E220="",INDEX(Sheet1!$CN:$CN,INT((ROWS($A$10:$A221)+1)/2)+1)&amp;"","〃"))</f>
        <v/>
      </c>
      <c r="D221" s="76" t="str">
        <f>IF(E221="","",IF(E220="",IF(INDEX(Sheet1!$N:$N,INT((ROWS($A$10:$A221)+1)/2)+1)="","",INDEX(Sheet1!$N:$N,INT((ROWS($A$10:$A221)+1)/2)+1)),"〃"))</f>
        <v/>
      </c>
      <c r="E221" s="74" t="str">
        <f>IF(INDEX(Sheet1!$BA:$BA,INT((ROWS($A$10:$A221)+1)/2)+1)&lt;&gt;"","わな猟","")</f>
        <v/>
      </c>
      <c r="F221" s="77" t="str">
        <f>IF(E221="","",INDEX(Sheet1!$BC:$BC,INT((ROWS($A$10:$A221)+1)/2)+1)&amp;"")</f>
        <v/>
      </c>
      <c r="G221" s="76" t="str">
        <f>IF(E221="","",IF(INDEX(Sheet1!$BM:$BM,INT((ROWS($A$10:$A221)+1)/2)+1)="","",INDEX(Sheet1!$BM:$BM,INT((ROWS($A$10:$A221)+1)/2)+1)))</f>
        <v/>
      </c>
      <c r="H221" s="78"/>
      <c r="I221" s="73"/>
      <c r="J221" s="90"/>
    </row>
    <row r="222" spans="1:10" s="71" customFormat="1" ht="30" customHeight="1" x14ac:dyDescent="0.15">
      <c r="A222" s="74" t="str">
        <f>IF(AND(INDEX(Sheet1!$AM:$AM,INT((ROWS($A$10:$A222)+1)/2)+1)="",INDEX(Sheet1!$BA:$BA,INT((ROWS($A$10:$A222)+1)/2)+1)&lt;&gt;""),"",INDEX(Sheet1!$AC:$AC,INT((ROWS($A$10:$A222)+1)/2)+1)&amp;"")</f>
        <v/>
      </c>
      <c r="B222" s="74" t="str">
        <f>IF(AND(INDEX(Sheet1!$AM:$AM,INT((ROWS($A$10:$A222)+1)/2)+1)="",INDEX(Sheet1!$BA:$BA,INT((ROWS($A$10:$A222)+1)/2)+1)&lt;&gt;""),"",INDEX(Sheet1!$B:$B,INT((ROWS($A$10:$A222)+1)/2)+1)&amp;"")</f>
        <v/>
      </c>
      <c r="C222" s="74" t="str">
        <f>IF(AND(INDEX(Sheet1!$AM:$AM,INT((ROWS($A$10:$A222)+1)/2)+1)="",INDEX(Sheet1!$BA:$BA,INT((ROWS($A$10:$A222)+1)/2)+1)&lt;&gt;""),"",INDEX(Sheet1!$CN:$CN,INT((ROWS($A$10:$A222)+1)/2)+1)&amp;"")</f>
        <v/>
      </c>
      <c r="D222" s="76" t="str">
        <f>IF(OR(AND(INDEX(Sheet1!$AM:$AM,INT((ROWS($A$10:$A222)+1)/2)+1)="",INDEX(Sheet1!$BA:$BA,INT((ROWS($A$10:$A222)+1)/2)+1)&lt;&gt;""),INDEX(Sheet1!$N:$N,INT((ROWS($A$10:$A222)+1)/2)+1)=""),"",INDEX(Sheet1!$N:$N,INT((ROWS($A$10:$A222)+1)/2)+1))</f>
        <v/>
      </c>
      <c r="E222" s="74" t="str">
        <f>IF(INDEX(Sheet1!$AM:$AM,INT((ROWS($A$10:$A222)+1)/2)+1)&lt;&gt;"","第一種","")</f>
        <v/>
      </c>
      <c r="F222" s="77" t="str">
        <f>IF(E222="","",INDEX(Sheet1!$AO:$AO,INT((ROWS($A$10:$A222)+1)/2)+1)&amp;"")</f>
        <v/>
      </c>
      <c r="G222" s="76" t="str">
        <f>IF(OR(E222="",INDEX(Sheet1!$AY:$AY,INT((ROWS($A$10:$A222)+1)/2)+1)=""),"",INDEX(Sheet1!$AY:$AY,INT((ROWS($A$10:$A222)+1)/2)+1))</f>
        <v/>
      </c>
      <c r="H222" s="74" t="str">
        <f>IF(INDEX(Sheet1!$AD:$AD,INT((ROWS($A$10:$A222)+1)/2)+1)="","",INDEX(Sheet1!$AD:$AD,INT((ROWS($A$10:$A222)+1)/2)+1))</f>
        <v/>
      </c>
      <c r="I222" s="76" t="str">
        <f>IF(INDEX(Sheet1!$AK:$AK,INT((ROWS($A$10:$A222)+1)/2)+1)="","",INDEX(Sheet1!$AK:$AK,INT((ROWS($A$10:$A222)+1)/2)+1))</f>
        <v/>
      </c>
      <c r="J222" s="90"/>
    </row>
    <row r="223" spans="1:10" ht="30" customHeight="1" x14ac:dyDescent="0.15">
      <c r="A223" s="74" t="str">
        <f>IF(E223="","",IF(E222="",INDEX(Sheet1!$AC:$AC,INT((ROWS($A$10:$A223)+1)/2)+1)&amp;"","〃"))</f>
        <v/>
      </c>
      <c r="B223" s="74" t="str">
        <f>IF(E223="","",IF(E222="",INDEX(Sheet1!$B:$B,INT((ROWS($A$10:$A223)+1)/2)+1)&amp;"","〃"))</f>
        <v/>
      </c>
      <c r="C223" s="74" t="str">
        <f>IF(E223="","",IF(E222="",INDEX(Sheet1!$CN:$CN,INT((ROWS($A$10:$A223)+1)/2)+1)&amp;"","〃"))</f>
        <v/>
      </c>
      <c r="D223" s="76" t="str">
        <f>IF(E223="","",IF(E222="",IF(INDEX(Sheet1!$N:$N,INT((ROWS($A$10:$A223)+1)/2)+1)="","",INDEX(Sheet1!$N:$N,INT((ROWS($A$10:$A223)+1)/2)+1)),"〃"))</f>
        <v/>
      </c>
      <c r="E223" s="74" t="str">
        <f>IF(INDEX(Sheet1!$BA:$BA,INT((ROWS($A$10:$A223)+1)/2)+1)&lt;&gt;"","わな猟","")</f>
        <v/>
      </c>
      <c r="F223" s="77" t="str">
        <f>IF(E223="","",INDEX(Sheet1!$BC:$BC,INT((ROWS($A$10:$A223)+1)/2)+1)&amp;"")</f>
        <v/>
      </c>
      <c r="G223" s="76" t="str">
        <f>IF(E223="","",IF(INDEX(Sheet1!$BM:$BM,INT((ROWS($A$10:$A223)+1)/2)+1)="","",INDEX(Sheet1!$BM:$BM,INT((ROWS($A$10:$A223)+1)/2)+1)))</f>
        <v/>
      </c>
      <c r="H223" s="78"/>
      <c r="I223" s="73"/>
      <c r="J223" s="90"/>
    </row>
    <row r="224" spans="1:10" s="71" customFormat="1" ht="30" customHeight="1" x14ac:dyDescent="0.15">
      <c r="A224" s="74" t="str">
        <f>IF(AND(INDEX(Sheet1!$AM:$AM,INT((ROWS($A$10:$A224)+1)/2)+1)="",INDEX(Sheet1!$BA:$BA,INT((ROWS($A$10:$A224)+1)/2)+1)&lt;&gt;""),"",INDEX(Sheet1!$AC:$AC,INT((ROWS($A$10:$A224)+1)/2)+1)&amp;"")</f>
        <v/>
      </c>
      <c r="B224" s="74" t="str">
        <f>IF(AND(INDEX(Sheet1!$AM:$AM,INT((ROWS($A$10:$A224)+1)/2)+1)="",INDEX(Sheet1!$BA:$BA,INT((ROWS($A$10:$A224)+1)/2)+1)&lt;&gt;""),"",INDEX(Sheet1!$B:$B,INT((ROWS($A$10:$A224)+1)/2)+1)&amp;"")</f>
        <v/>
      </c>
      <c r="C224" s="74" t="str">
        <f>IF(AND(INDEX(Sheet1!$AM:$AM,INT((ROWS($A$10:$A224)+1)/2)+1)="",INDEX(Sheet1!$BA:$BA,INT((ROWS($A$10:$A224)+1)/2)+1)&lt;&gt;""),"",INDEX(Sheet1!$CN:$CN,INT((ROWS($A$10:$A224)+1)/2)+1)&amp;"")</f>
        <v/>
      </c>
      <c r="D224" s="76" t="str">
        <f>IF(OR(AND(INDEX(Sheet1!$AM:$AM,INT((ROWS($A$10:$A224)+1)/2)+1)="",INDEX(Sheet1!$BA:$BA,INT((ROWS($A$10:$A224)+1)/2)+1)&lt;&gt;""),INDEX(Sheet1!$N:$N,INT((ROWS($A$10:$A224)+1)/2)+1)=""),"",INDEX(Sheet1!$N:$N,INT((ROWS($A$10:$A224)+1)/2)+1))</f>
        <v/>
      </c>
      <c r="E224" s="74" t="str">
        <f>IF(INDEX(Sheet1!$AM:$AM,INT((ROWS($A$10:$A224)+1)/2)+1)&lt;&gt;"","第一種","")</f>
        <v/>
      </c>
      <c r="F224" s="77" t="str">
        <f>IF(E224="","",INDEX(Sheet1!$AO:$AO,INT((ROWS($A$10:$A224)+1)/2)+1)&amp;"")</f>
        <v/>
      </c>
      <c r="G224" s="76" t="str">
        <f>IF(OR(E224="",INDEX(Sheet1!$AY:$AY,INT((ROWS($A$10:$A224)+1)/2)+1)=""),"",INDEX(Sheet1!$AY:$AY,INT((ROWS($A$10:$A224)+1)/2)+1))</f>
        <v/>
      </c>
      <c r="H224" s="74" t="str">
        <f>IF(INDEX(Sheet1!$AD:$AD,INT((ROWS($A$10:$A224)+1)/2)+1)="","",INDEX(Sheet1!$AD:$AD,INT((ROWS($A$10:$A224)+1)/2)+1))</f>
        <v/>
      </c>
      <c r="I224" s="76" t="str">
        <f>IF(INDEX(Sheet1!$AK:$AK,INT((ROWS($A$10:$A224)+1)/2)+1)="","",INDEX(Sheet1!$AK:$AK,INT((ROWS($A$10:$A224)+1)/2)+1))</f>
        <v/>
      </c>
      <c r="J224" s="90"/>
    </row>
    <row r="225" spans="1:10" ht="30" customHeight="1" x14ac:dyDescent="0.15">
      <c r="A225" s="74" t="str">
        <f>IF(E225="","",IF(E224="",INDEX(Sheet1!$AC:$AC,INT((ROWS($A$10:$A225)+1)/2)+1)&amp;"","〃"))</f>
        <v/>
      </c>
      <c r="B225" s="74" t="str">
        <f>IF(E225="","",IF(E224="",INDEX(Sheet1!$B:$B,INT((ROWS($A$10:$A225)+1)/2)+1)&amp;"","〃"))</f>
        <v/>
      </c>
      <c r="C225" s="74" t="str">
        <f>IF(E225="","",IF(E224="",INDEX(Sheet1!$CN:$CN,INT((ROWS($A$10:$A225)+1)/2)+1)&amp;"","〃"))</f>
        <v/>
      </c>
      <c r="D225" s="76" t="str">
        <f>IF(E225="","",IF(E224="",IF(INDEX(Sheet1!$N:$N,INT((ROWS($A$10:$A225)+1)/2)+1)="","",INDEX(Sheet1!$N:$N,INT((ROWS($A$10:$A225)+1)/2)+1)),"〃"))</f>
        <v/>
      </c>
      <c r="E225" s="74" t="str">
        <f>IF(INDEX(Sheet1!$BA:$BA,INT((ROWS($A$10:$A225)+1)/2)+1)&lt;&gt;"","わな猟","")</f>
        <v/>
      </c>
      <c r="F225" s="77" t="str">
        <f>IF(E225="","",INDEX(Sheet1!$BC:$BC,INT((ROWS($A$10:$A225)+1)/2)+1)&amp;"")</f>
        <v/>
      </c>
      <c r="G225" s="76" t="str">
        <f>IF(E225="","",IF(INDEX(Sheet1!$BM:$BM,INT((ROWS($A$10:$A225)+1)/2)+1)="","",INDEX(Sheet1!$BM:$BM,INT((ROWS($A$10:$A225)+1)/2)+1)))</f>
        <v/>
      </c>
      <c r="H225" s="78"/>
      <c r="I225" s="73"/>
      <c r="J225" s="90"/>
    </row>
    <row r="226" spans="1:10" s="71" customFormat="1" ht="30" customHeight="1" x14ac:dyDescent="0.15">
      <c r="A226" s="74" t="str">
        <f>IF(AND(INDEX(Sheet1!$AM:$AM,INT((ROWS($A$10:$A226)+1)/2)+1)="",INDEX(Sheet1!$BA:$BA,INT((ROWS($A$10:$A226)+1)/2)+1)&lt;&gt;""),"",INDEX(Sheet1!$AC:$AC,INT((ROWS($A$10:$A226)+1)/2)+1)&amp;"")</f>
        <v/>
      </c>
      <c r="B226" s="74" t="str">
        <f>IF(AND(INDEX(Sheet1!$AM:$AM,INT((ROWS($A$10:$A226)+1)/2)+1)="",INDEX(Sheet1!$BA:$BA,INT((ROWS($A$10:$A226)+1)/2)+1)&lt;&gt;""),"",INDEX(Sheet1!$B:$B,INT((ROWS($A$10:$A226)+1)/2)+1)&amp;"")</f>
        <v/>
      </c>
      <c r="C226" s="74" t="str">
        <f>IF(AND(INDEX(Sheet1!$AM:$AM,INT((ROWS($A$10:$A226)+1)/2)+1)="",INDEX(Sheet1!$BA:$BA,INT((ROWS($A$10:$A226)+1)/2)+1)&lt;&gt;""),"",INDEX(Sheet1!$CN:$CN,INT((ROWS($A$10:$A226)+1)/2)+1)&amp;"")</f>
        <v/>
      </c>
      <c r="D226" s="76" t="str">
        <f>IF(OR(AND(INDEX(Sheet1!$AM:$AM,INT((ROWS($A$10:$A226)+1)/2)+1)="",INDEX(Sheet1!$BA:$BA,INT((ROWS($A$10:$A226)+1)/2)+1)&lt;&gt;""),INDEX(Sheet1!$N:$N,INT((ROWS($A$10:$A226)+1)/2)+1)=""),"",INDEX(Sheet1!$N:$N,INT((ROWS($A$10:$A226)+1)/2)+1))</f>
        <v/>
      </c>
      <c r="E226" s="74" t="str">
        <f>IF(INDEX(Sheet1!$AM:$AM,INT((ROWS($A$10:$A226)+1)/2)+1)&lt;&gt;"","第一種","")</f>
        <v/>
      </c>
      <c r="F226" s="77" t="str">
        <f>IF(E226="","",INDEX(Sheet1!$AO:$AO,INT((ROWS($A$10:$A226)+1)/2)+1)&amp;"")</f>
        <v/>
      </c>
      <c r="G226" s="76" t="str">
        <f>IF(OR(E226="",INDEX(Sheet1!$AY:$AY,INT((ROWS($A$10:$A226)+1)/2)+1)=""),"",INDEX(Sheet1!$AY:$AY,INT((ROWS($A$10:$A226)+1)/2)+1))</f>
        <v/>
      </c>
      <c r="H226" s="74" t="str">
        <f>IF(INDEX(Sheet1!$AD:$AD,INT((ROWS($A$10:$A226)+1)/2)+1)="","",INDEX(Sheet1!$AD:$AD,INT((ROWS($A$10:$A226)+1)/2)+1))</f>
        <v/>
      </c>
      <c r="I226" s="76" t="str">
        <f>IF(INDEX(Sheet1!$AK:$AK,INT((ROWS($A$10:$A226)+1)/2)+1)="","",INDEX(Sheet1!$AK:$AK,INT((ROWS($A$10:$A226)+1)/2)+1))</f>
        <v/>
      </c>
      <c r="J226" s="90"/>
    </row>
    <row r="227" spans="1:10" ht="30" customHeight="1" x14ac:dyDescent="0.15">
      <c r="A227" s="74" t="str">
        <f>IF(E227="","",IF(E226="",INDEX(Sheet1!$AC:$AC,INT((ROWS($A$10:$A227)+1)/2)+1)&amp;"","〃"))</f>
        <v/>
      </c>
      <c r="B227" s="74" t="str">
        <f>IF(E227="","",IF(E226="",INDEX(Sheet1!$B:$B,INT((ROWS($A$10:$A227)+1)/2)+1)&amp;"","〃"))</f>
        <v/>
      </c>
      <c r="C227" s="74" t="str">
        <f>IF(E227="","",IF(E226="",INDEX(Sheet1!$CN:$CN,INT((ROWS($A$10:$A227)+1)/2)+1)&amp;"","〃"))</f>
        <v/>
      </c>
      <c r="D227" s="76" t="str">
        <f>IF(E227="","",IF(E226="",IF(INDEX(Sheet1!$N:$N,INT((ROWS($A$10:$A227)+1)/2)+1)="","",INDEX(Sheet1!$N:$N,INT((ROWS($A$10:$A227)+1)/2)+1)),"〃"))</f>
        <v/>
      </c>
      <c r="E227" s="74" t="str">
        <f>IF(INDEX(Sheet1!$BA:$BA,INT((ROWS($A$10:$A227)+1)/2)+1)&lt;&gt;"","わな猟","")</f>
        <v/>
      </c>
      <c r="F227" s="77" t="str">
        <f>IF(E227="","",INDEX(Sheet1!$BC:$BC,INT((ROWS($A$10:$A227)+1)/2)+1)&amp;"")</f>
        <v/>
      </c>
      <c r="G227" s="76" t="str">
        <f>IF(E227="","",IF(INDEX(Sheet1!$BM:$BM,INT((ROWS($A$10:$A227)+1)/2)+1)="","",INDEX(Sheet1!$BM:$BM,INT((ROWS($A$10:$A227)+1)/2)+1)))</f>
        <v/>
      </c>
      <c r="H227" s="78"/>
      <c r="I227" s="73"/>
      <c r="J227" s="90"/>
    </row>
    <row r="228" spans="1:10" s="71" customFormat="1" ht="30" customHeight="1" x14ac:dyDescent="0.15">
      <c r="A228" s="74" t="str">
        <f>IF(AND(INDEX(Sheet1!$AM:$AM,INT((ROWS($A$10:$A228)+1)/2)+1)="",INDEX(Sheet1!$BA:$BA,INT((ROWS($A$10:$A228)+1)/2)+1)&lt;&gt;""),"",INDEX(Sheet1!$AC:$AC,INT((ROWS($A$10:$A228)+1)/2)+1)&amp;"")</f>
        <v/>
      </c>
      <c r="B228" s="74" t="str">
        <f>IF(AND(INDEX(Sheet1!$AM:$AM,INT((ROWS($A$10:$A228)+1)/2)+1)="",INDEX(Sheet1!$BA:$BA,INT((ROWS($A$10:$A228)+1)/2)+1)&lt;&gt;""),"",INDEX(Sheet1!$B:$B,INT((ROWS($A$10:$A228)+1)/2)+1)&amp;"")</f>
        <v/>
      </c>
      <c r="C228" s="74" t="str">
        <f>IF(AND(INDEX(Sheet1!$AM:$AM,INT((ROWS($A$10:$A228)+1)/2)+1)="",INDEX(Sheet1!$BA:$BA,INT((ROWS($A$10:$A228)+1)/2)+1)&lt;&gt;""),"",INDEX(Sheet1!$CN:$CN,INT((ROWS($A$10:$A228)+1)/2)+1)&amp;"")</f>
        <v/>
      </c>
      <c r="D228" s="76" t="str">
        <f>IF(OR(AND(INDEX(Sheet1!$AM:$AM,INT((ROWS($A$10:$A228)+1)/2)+1)="",INDEX(Sheet1!$BA:$BA,INT((ROWS($A$10:$A228)+1)/2)+1)&lt;&gt;""),INDEX(Sheet1!$N:$N,INT((ROWS($A$10:$A228)+1)/2)+1)=""),"",INDEX(Sheet1!$N:$N,INT((ROWS($A$10:$A228)+1)/2)+1))</f>
        <v/>
      </c>
      <c r="E228" s="74" t="str">
        <f>IF(INDEX(Sheet1!$AM:$AM,INT((ROWS($A$10:$A228)+1)/2)+1)&lt;&gt;"","第一種","")</f>
        <v/>
      </c>
      <c r="F228" s="77" t="str">
        <f>IF(E228="","",INDEX(Sheet1!$AO:$AO,INT((ROWS($A$10:$A228)+1)/2)+1)&amp;"")</f>
        <v/>
      </c>
      <c r="G228" s="76" t="str">
        <f>IF(OR(E228="",INDEX(Sheet1!$AY:$AY,INT((ROWS($A$10:$A228)+1)/2)+1)=""),"",INDEX(Sheet1!$AY:$AY,INT((ROWS($A$10:$A228)+1)/2)+1))</f>
        <v/>
      </c>
      <c r="H228" s="74" t="str">
        <f>IF(INDEX(Sheet1!$AD:$AD,INT((ROWS($A$10:$A228)+1)/2)+1)="","",INDEX(Sheet1!$AD:$AD,INT((ROWS($A$10:$A228)+1)/2)+1))</f>
        <v/>
      </c>
      <c r="I228" s="76" t="str">
        <f>IF(INDEX(Sheet1!$AK:$AK,INT((ROWS($A$10:$A228)+1)/2)+1)="","",INDEX(Sheet1!$AK:$AK,INT((ROWS($A$10:$A228)+1)/2)+1))</f>
        <v/>
      </c>
      <c r="J228" s="90"/>
    </row>
    <row r="229" spans="1:10" ht="30" customHeight="1" x14ac:dyDescent="0.15">
      <c r="A229" s="74" t="str">
        <f>IF(E229="","",IF(E228="",INDEX(Sheet1!$AC:$AC,INT((ROWS($A$10:$A229)+1)/2)+1)&amp;"","〃"))</f>
        <v/>
      </c>
      <c r="B229" s="74" t="str">
        <f>IF(E229="","",IF(E228="",INDEX(Sheet1!$B:$B,INT((ROWS($A$10:$A229)+1)/2)+1)&amp;"","〃"))</f>
        <v/>
      </c>
      <c r="C229" s="74" t="str">
        <f>IF(E229="","",IF(E228="",INDEX(Sheet1!$CN:$CN,INT((ROWS($A$10:$A229)+1)/2)+1)&amp;"","〃"))</f>
        <v/>
      </c>
      <c r="D229" s="76" t="str">
        <f>IF(E229="","",IF(E228="",IF(INDEX(Sheet1!$N:$N,INT((ROWS($A$10:$A229)+1)/2)+1)="","",INDEX(Sheet1!$N:$N,INT((ROWS($A$10:$A229)+1)/2)+1)),"〃"))</f>
        <v/>
      </c>
      <c r="E229" s="74" t="str">
        <f>IF(INDEX(Sheet1!$BA:$BA,INT((ROWS($A$10:$A229)+1)/2)+1)&lt;&gt;"","わな猟","")</f>
        <v/>
      </c>
      <c r="F229" s="77" t="str">
        <f>IF(E229="","",INDEX(Sheet1!$BC:$BC,INT((ROWS($A$10:$A229)+1)/2)+1)&amp;"")</f>
        <v/>
      </c>
      <c r="G229" s="76" t="str">
        <f>IF(E229="","",IF(INDEX(Sheet1!$BM:$BM,INT((ROWS($A$10:$A229)+1)/2)+1)="","",INDEX(Sheet1!$BM:$BM,INT((ROWS($A$10:$A229)+1)/2)+1)))</f>
        <v/>
      </c>
      <c r="H229" s="78"/>
      <c r="I229" s="73"/>
      <c r="J229" s="90"/>
    </row>
    <row r="230" spans="1:10" s="71" customFormat="1" ht="30" customHeight="1" x14ac:dyDescent="0.15">
      <c r="A230" s="74" t="str">
        <f>IF(AND(INDEX(Sheet1!$AM:$AM,INT((ROWS($A$10:$A230)+1)/2)+1)="",INDEX(Sheet1!$BA:$BA,INT((ROWS($A$10:$A230)+1)/2)+1)&lt;&gt;""),"",INDEX(Sheet1!$AC:$AC,INT((ROWS($A$10:$A230)+1)/2)+1)&amp;"")</f>
        <v/>
      </c>
      <c r="B230" s="74" t="str">
        <f>IF(AND(INDEX(Sheet1!$AM:$AM,INT((ROWS($A$10:$A230)+1)/2)+1)="",INDEX(Sheet1!$BA:$BA,INT((ROWS($A$10:$A230)+1)/2)+1)&lt;&gt;""),"",INDEX(Sheet1!$B:$B,INT((ROWS($A$10:$A230)+1)/2)+1)&amp;"")</f>
        <v/>
      </c>
      <c r="C230" s="74" t="str">
        <f>IF(AND(INDEX(Sheet1!$AM:$AM,INT((ROWS($A$10:$A230)+1)/2)+1)="",INDEX(Sheet1!$BA:$BA,INT((ROWS($A$10:$A230)+1)/2)+1)&lt;&gt;""),"",INDEX(Sheet1!$CN:$CN,INT((ROWS($A$10:$A230)+1)/2)+1)&amp;"")</f>
        <v/>
      </c>
      <c r="D230" s="76" t="str">
        <f>IF(OR(AND(INDEX(Sheet1!$AM:$AM,INT((ROWS($A$10:$A230)+1)/2)+1)="",INDEX(Sheet1!$BA:$BA,INT((ROWS($A$10:$A230)+1)/2)+1)&lt;&gt;""),INDEX(Sheet1!$N:$N,INT((ROWS($A$10:$A230)+1)/2)+1)=""),"",INDEX(Sheet1!$N:$N,INT((ROWS($A$10:$A230)+1)/2)+1))</f>
        <v/>
      </c>
      <c r="E230" s="74" t="str">
        <f>IF(INDEX(Sheet1!$AM:$AM,INT((ROWS($A$10:$A230)+1)/2)+1)&lt;&gt;"","第一種","")</f>
        <v/>
      </c>
      <c r="F230" s="77" t="str">
        <f>IF(E230="","",INDEX(Sheet1!$AO:$AO,INT((ROWS($A$10:$A230)+1)/2)+1)&amp;"")</f>
        <v/>
      </c>
      <c r="G230" s="76" t="str">
        <f>IF(OR(E230="",INDEX(Sheet1!$AY:$AY,INT((ROWS($A$10:$A230)+1)/2)+1)=""),"",INDEX(Sheet1!$AY:$AY,INT((ROWS($A$10:$A230)+1)/2)+1))</f>
        <v/>
      </c>
      <c r="H230" s="74" t="str">
        <f>IF(INDEX(Sheet1!$AD:$AD,INT((ROWS($A$10:$A230)+1)/2)+1)="","",INDEX(Sheet1!$AD:$AD,INT((ROWS($A$10:$A230)+1)/2)+1))</f>
        <v/>
      </c>
      <c r="I230" s="76" t="str">
        <f>IF(INDEX(Sheet1!$AK:$AK,INT((ROWS($A$10:$A230)+1)/2)+1)="","",INDEX(Sheet1!$AK:$AK,INT((ROWS($A$10:$A230)+1)/2)+1))</f>
        <v/>
      </c>
      <c r="J230" s="90"/>
    </row>
    <row r="231" spans="1:10" ht="30" customHeight="1" x14ac:dyDescent="0.15">
      <c r="A231" s="74" t="str">
        <f>IF(E231="","",IF(E230="",INDEX(Sheet1!$AC:$AC,INT((ROWS($A$10:$A231)+1)/2)+1)&amp;"","〃"))</f>
        <v/>
      </c>
      <c r="B231" s="74" t="str">
        <f>IF(E231="","",IF(E230="",INDEX(Sheet1!$B:$B,INT((ROWS($A$10:$A231)+1)/2)+1)&amp;"","〃"))</f>
        <v/>
      </c>
      <c r="C231" s="74" t="str">
        <f>IF(E231="","",IF(E230="",INDEX(Sheet1!$CN:$CN,INT((ROWS($A$10:$A231)+1)/2)+1)&amp;"","〃"))</f>
        <v/>
      </c>
      <c r="D231" s="76" t="str">
        <f>IF(E231="","",IF(E230="",IF(INDEX(Sheet1!$N:$N,INT((ROWS($A$10:$A231)+1)/2)+1)="","",INDEX(Sheet1!$N:$N,INT((ROWS($A$10:$A231)+1)/2)+1)),"〃"))</f>
        <v/>
      </c>
      <c r="E231" s="74" t="str">
        <f>IF(INDEX(Sheet1!$BA:$BA,INT((ROWS($A$10:$A231)+1)/2)+1)&lt;&gt;"","わな猟","")</f>
        <v/>
      </c>
      <c r="F231" s="77" t="str">
        <f>IF(E231="","",INDEX(Sheet1!$BC:$BC,INT((ROWS($A$10:$A231)+1)/2)+1)&amp;"")</f>
        <v/>
      </c>
      <c r="G231" s="76" t="str">
        <f>IF(E231="","",IF(INDEX(Sheet1!$BM:$BM,INT((ROWS($A$10:$A231)+1)/2)+1)="","",INDEX(Sheet1!$BM:$BM,INT((ROWS($A$10:$A231)+1)/2)+1)))</f>
        <v/>
      </c>
      <c r="H231" s="78"/>
      <c r="I231" s="73"/>
      <c r="J231" s="90"/>
    </row>
    <row r="232" spans="1:10" s="71" customFormat="1" ht="30" customHeight="1" x14ac:dyDescent="0.15">
      <c r="A232" s="74" t="str">
        <f>IF(AND(INDEX(Sheet1!$AM:$AM,INT((ROWS($A$10:$A232)+1)/2)+1)="",INDEX(Sheet1!$BA:$BA,INT((ROWS($A$10:$A232)+1)/2)+1)&lt;&gt;""),"",INDEX(Sheet1!$AC:$AC,INT((ROWS($A$10:$A232)+1)/2)+1)&amp;"")</f>
        <v/>
      </c>
      <c r="B232" s="74" t="str">
        <f>IF(AND(INDEX(Sheet1!$AM:$AM,INT((ROWS($A$10:$A232)+1)/2)+1)="",INDEX(Sheet1!$BA:$BA,INT((ROWS($A$10:$A232)+1)/2)+1)&lt;&gt;""),"",INDEX(Sheet1!$B:$B,INT((ROWS($A$10:$A232)+1)/2)+1)&amp;"")</f>
        <v/>
      </c>
      <c r="C232" s="74" t="str">
        <f>IF(AND(INDEX(Sheet1!$AM:$AM,INT((ROWS($A$10:$A232)+1)/2)+1)="",INDEX(Sheet1!$BA:$BA,INT((ROWS($A$10:$A232)+1)/2)+1)&lt;&gt;""),"",INDEX(Sheet1!$CN:$CN,INT((ROWS($A$10:$A232)+1)/2)+1)&amp;"")</f>
        <v/>
      </c>
      <c r="D232" s="76" t="str">
        <f>IF(OR(AND(INDEX(Sheet1!$AM:$AM,INT((ROWS($A$10:$A232)+1)/2)+1)="",INDEX(Sheet1!$BA:$BA,INT((ROWS($A$10:$A232)+1)/2)+1)&lt;&gt;""),INDEX(Sheet1!$N:$N,INT((ROWS($A$10:$A232)+1)/2)+1)=""),"",INDEX(Sheet1!$N:$N,INT((ROWS($A$10:$A232)+1)/2)+1))</f>
        <v/>
      </c>
      <c r="E232" s="74" t="str">
        <f>IF(INDEX(Sheet1!$AM:$AM,INT((ROWS($A$10:$A232)+1)/2)+1)&lt;&gt;"","第一種","")</f>
        <v/>
      </c>
      <c r="F232" s="77" t="str">
        <f>IF(E232="","",INDEX(Sheet1!$AO:$AO,INT((ROWS($A$10:$A232)+1)/2)+1)&amp;"")</f>
        <v/>
      </c>
      <c r="G232" s="76" t="str">
        <f>IF(OR(E232="",INDEX(Sheet1!$AY:$AY,INT((ROWS($A$10:$A232)+1)/2)+1)=""),"",INDEX(Sheet1!$AY:$AY,INT((ROWS($A$10:$A232)+1)/2)+1))</f>
        <v/>
      </c>
      <c r="H232" s="74" t="str">
        <f>IF(INDEX(Sheet1!$AD:$AD,INT((ROWS($A$10:$A232)+1)/2)+1)="","",INDEX(Sheet1!$AD:$AD,INT((ROWS($A$10:$A232)+1)/2)+1))</f>
        <v/>
      </c>
      <c r="I232" s="76" t="str">
        <f>IF(INDEX(Sheet1!$AK:$AK,INT((ROWS($A$10:$A232)+1)/2)+1)="","",INDEX(Sheet1!$AK:$AK,INT((ROWS($A$10:$A232)+1)/2)+1))</f>
        <v/>
      </c>
      <c r="J232" s="90"/>
    </row>
    <row r="233" spans="1:10" ht="30" customHeight="1" x14ac:dyDescent="0.15">
      <c r="A233" s="74" t="str">
        <f>IF(E233="","",IF(E232="",INDEX(Sheet1!$AC:$AC,INT((ROWS($A$10:$A233)+1)/2)+1)&amp;"","〃"))</f>
        <v/>
      </c>
      <c r="B233" s="74" t="str">
        <f>IF(E233="","",IF(E232="",INDEX(Sheet1!$B:$B,INT((ROWS($A$10:$A233)+1)/2)+1)&amp;"","〃"))</f>
        <v/>
      </c>
      <c r="C233" s="74" t="str">
        <f>IF(E233="","",IF(E232="",INDEX(Sheet1!$CN:$CN,INT((ROWS($A$10:$A233)+1)/2)+1)&amp;"","〃"))</f>
        <v/>
      </c>
      <c r="D233" s="76" t="str">
        <f>IF(E233="","",IF(E232="",IF(INDEX(Sheet1!$N:$N,INT((ROWS($A$10:$A233)+1)/2)+1)="","",INDEX(Sheet1!$N:$N,INT((ROWS($A$10:$A233)+1)/2)+1)),"〃"))</f>
        <v/>
      </c>
      <c r="E233" s="74" t="str">
        <f>IF(INDEX(Sheet1!$BA:$BA,INT((ROWS($A$10:$A233)+1)/2)+1)&lt;&gt;"","わな猟","")</f>
        <v/>
      </c>
      <c r="F233" s="77" t="str">
        <f>IF(E233="","",INDEX(Sheet1!$BC:$BC,INT((ROWS($A$10:$A233)+1)/2)+1)&amp;"")</f>
        <v/>
      </c>
      <c r="G233" s="76" t="str">
        <f>IF(E233="","",IF(INDEX(Sheet1!$BM:$BM,INT((ROWS($A$10:$A233)+1)/2)+1)="","",INDEX(Sheet1!$BM:$BM,INT((ROWS($A$10:$A233)+1)/2)+1)))</f>
        <v/>
      </c>
      <c r="H233" s="78"/>
      <c r="I233" s="73"/>
      <c r="J233" s="90"/>
    </row>
    <row r="234" spans="1:10" s="71" customFormat="1" ht="30" customHeight="1" x14ac:dyDescent="0.15">
      <c r="A234" s="74" t="str">
        <f>IF(AND(INDEX(Sheet1!$AM:$AM,INT((ROWS($A$10:$A234)+1)/2)+1)="",INDEX(Sheet1!$BA:$BA,INT((ROWS($A$10:$A234)+1)/2)+1)&lt;&gt;""),"",INDEX(Sheet1!$AC:$AC,INT((ROWS($A$10:$A234)+1)/2)+1)&amp;"")</f>
        <v/>
      </c>
      <c r="B234" s="74" t="str">
        <f>IF(AND(INDEX(Sheet1!$AM:$AM,INT((ROWS($A$10:$A234)+1)/2)+1)="",INDEX(Sheet1!$BA:$BA,INT((ROWS($A$10:$A234)+1)/2)+1)&lt;&gt;""),"",INDEX(Sheet1!$B:$B,INT((ROWS($A$10:$A234)+1)/2)+1)&amp;"")</f>
        <v/>
      </c>
      <c r="C234" s="74" t="str">
        <f>IF(AND(INDEX(Sheet1!$AM:$AM,INT((ROWS($A$10:$A234)+1)/2)+1)="",INDEX(Sheet1!$BA:$BA,INT((ROWS($A$10:$A234)+1)/2)+1)&lt;&gt;""),"",INDEX(Sheet1!$CN:$CN,INT((ROWS($A$10:$A234)+1)/2)+1)&amp;"")</f>
        <v/>
      </c>
      <c r="D234" s="76" t="str">
        <f>IF(OR(AND(INDEX(Sheet1!$AM:$AM,INT((ROWS($A$10:$A234)+1)/2)+1)="",INDEX(Sheet1!$BA:$BA,INT((ROWS($A$10:$A234)+1)/2)+1)&lt;&gt;""),INDEX(Sheet1!$N:$N,INT((ROWS($A$10:$A234)+1)/2)+1)=""),"",INDEX(Sheet1!$N:$N,INT((ROWS($A$10:$A234)+1)/2)+1))</f>
        <v/>
      </c>
      <c r="E234" s="74" t="str">
        <f>IF(INDEX(Sheet1!$AM:$AM,INT((ROWS($A$10:$A234)+1)/2)+1)&lt;&gt;"","第一種","")</f>
        <v/>
      </c>
      <c r="F234" s="77" t="str">
        <f>IF(E234="","",INDEX(Sheet1!$AO:$AO,INT((ROWS($A$10:$A234)+1)/2)+1)&amp;"")</f>
        <v/>
      </c>
      <c r="G234" s="76" t="str">
        <f>IF(OR(E234="",INDEX(Sheet1!$AY:$AY,INT((ROWS($A$10:$A234)+1)/2)+1)=""),"",INDEX(Sheet1!$AY:$AY,INT((ROWS($A$10:$A234)+1)/2)+1))</f>
        <v/>
      </c>
      <c r="H234" s="74" t="str">
        <f>IF(INDEX(Sheet1!$AD:$AD,INT((ROWS($A$10:$A234)+1)/2)+1)="","",INDEX(Sheet1!$AD:$AD,INT((ROWS($A$10:$A234)+1)/2)+1))</f>
        <v/>
      </c>
      <c r="I234" s="76" t="str">
        <f>IF(INDEX(Sheet1!$AK:$AK,INT((ROWS($A$10:$A234)+1)/2)+1)="","",INDEX(Sheet1!$AK:$AK,INT((ROWS($A$10:$A234)+1)/2)+1))</f>
        <v/>
      </c>
      <c r="J234" s="90"/>
    </row>
    <row r="235" spans="1:10" ht="30" customHeight="1" x14ac:dyDescent="0.15">
      <c r="A235" s="74" t="str">
        <f>IF(E235="","",IF(E234="",INDEX(Sheet1!$AC:$AC,INT((ROWS($A$10:$A235)+1)/2)+1)&amp;"","〃"))</f>
        <v/>
      </c>
      <c r="B235" s="74" t="str">
        <f>IF(E235="","",IF(E234="",INDEX(Sheet1!$B:$B,INT((ROWS($A$10:$A235)+1)/2)+1)&amp;"","〃"))</f>
        <v/>
      </c>
      <c r="C235" s="74" t="str">
        <f>IF(E235="","",IF(E234="",INDEX(Sheet1!$CN:$CN,INT((ROWS($A$10:$A235)+1)/2)+1)&amp;"","〃"))</f>
        <v/>
      </c>
      <c r="D235" s="76" t="str">
        <f>IF(E235="","",IF(E234="",IF(INDEX(Sheet1!$N:$N,INT((ROWS($A$10:$A235)+1)/2)+1)="","",INDEX(Sheet1!$N:$N,INT((ROWS($A$10:$A235)+1)/2)+1)),"〃"))</f>
        <v/>
      </c>
      <c r="E235" s="74" t="str">
        <f>IF(INDEX(Sheet1!$BA:$BA,INT((ROWS($A$10:$A235)+1)/2)+1)&lt;&gt;"","わな猟","")</f>
        <v/>
      </c>
      <c r="F235" s="77" t="str">
        <f>IF(E235="","",INDEX(Sheet1!$BC:$BC,INT((ROWS($A$10:$A235)+1)/2)+1)&amp;"")</f>
        <v/>
      </c>
      <c r="G235" s="76" t="str">
        <f>IF(E235="","",IF(INDEX(Sheet1!$BM:$BM,INT((ROWS($A$10:$A235)+1)/2)+1)="","",INDEX(Sheet1!$BM:$BM,INT((ROWS($A$10:$A235)+1)/2)+1)))</f>
        <v/>
      </c>
      <c r="H235" s="78"/>
      <c r="I235" s="73"/>
      <c r="J235" s="90"/>
    </row>
    <row r="236" spans="1:10" s="71" customFormat="1" ht="30" customHeight="1" x14ac:dyDescent="0.15">
      <c r="A236" s="74" t="str">
        <f>IF(AND(INDEX(Sheet1!$AM:$AM,INT((ROWS($A$10:$A236)+1)/2)+1)="",INDEX(Sheet1!$BA:$BA,INT((ROWS($A$10:$A236)+1)/2)+1)&lt;&gt;""),"",INDEX(Sheet1!$AC:$AC,INT((ROWS($A$10:$A236)+1)/2)+1)&amp;"")</f>
        <v/>
      </c>
      <c r="B236" s="74" t="str">
        <f>IF(AND(INDEX(Sheet1!$AM:$AM,INT((ROWS($A$10:$A236)+1)/2)+1)="",INDEX(Sheet1!$BA:$BA,INT((ROWS($A$10:$A236)+1)/2)+1)&lt;&gt;""),"",INDEX(Sheet1!$B:$B,INT((ROWS($A$10:$A236)+1)/2)+1)&amp;"")</f>
        <v/>
      </c>
      <c r="C236" s="74" t="str">
        <f>IF(AND(INDEX(Sheet1!$AM:$AM,INT((ROWS($A$10:$A236)+1)/2)+1)="",INDEX(Sheet1!$BA:$BA,INT((ROWS($A$10:$A236)+1)/2)+1)&lt;&gt;""),"",INDEX(Sheet1!$CN:$CN,INT((ROWS($A$10:$A236)+1)/2)+1)&amp;"")</f>
        <v/>
      </c>
      <c r="D236" s="76" t="str">
        <f>IF(OR(AND(INDEX(Sheet1!$AM:$AM,INT((ROWS($A$10:$A236)+1)/2)+1)="",INDEX(Sheet1!$BA:$BA,INT((ROWS($A$10:$A236)+1)/2)+1)&lt;&gt;""),INDEX(Sheet1!$N:$N,INT((ROWS($A$10:$A236)+1)/2)+1)=""),"",INDEX(Sheet1!$N:$N,INT((ROWS($A$10:$A236)+1)/2)+1))</f>
        <v/>
      </c>
      <c r="E236" s="74" t="str">
        <f>IF(INDEX(Sheet1!$AM:$AM,INT((ROWS($A$10:$A236)+1)/2)+1)&lt;&gt;"","第一種","")</f>
        <v/>
      </c>
      <c r="F236" s="77" t="str">
        <f>IF(E236="","",INDEX(Sheet1!$AO:$AO,INT((ROWS($A$10:$A236)+1)/2)+1)&amp;"")</f>
        <v/>
      </c>
      <c r="G236" s="76" t="str">
        <f>IF(OR(E236="",INDEX(Sheet1!$AY:$AY,INT((ROWS($A$10:$A236)+1)/2)+1)=""),"",INDEX(Sheet1!$AY:$AY,INT((ROWS($A$10:$A236)+1)/2)+1))</f>
        <v/>
      </c>
      <c r="H236" s="74" t="str">
        <f>IF(INDEX(Sheet1!$AD:$AD,INT((ROWS($A$10:$A236)+1)/2)+1)="","",INDEX(Sheet1!$AD:$AD,INT((ROWS($A$10:$A236)+1)/2)+1))</f>
        <v/>
      </c>
      <c r="I236" s="76" t="str">
        <f>IF(INDEX(Sheet1!$AK:$AK,INT((ROWS($A$10:$A236)+1)/2)+1)="","",INDEX(Sheet1!$AK:$AK,INT((ROWS($A$10:$A236)+1)/2)+1))</f>
        <v/>
      </c>
      <c r="J236" s="90"/>
    </row>
    <row r="237" spans="1:10" ht="30" customHeight="1" x14ac:dyDescent="0.15">
      <c r="A237" s="74" t="str">
        <f>IF(E237="","",IF(E236="",INDEX(Sheet1!$AC:$AC,INT((ROWS($A$10:$A237)+1)/2)+1)&amp;"","〃"))</f>
        <v/>
      </c>
      <c r="B237" s="74" t="str">
        <f>IF(E237="","",IF(E236="",INDEX(Sheet1!$B:$B,INT((ROWS($A$10:$A237)+1)/2)+1)&amp;"","〃"))</f>
        <v/>
      </c>
      <c r="C237" s="74" t="str">
        <f>IF(E237="","",IF(E236="",INDEX(Sheet1!$CN:$CN,INT((ROWS($A$10:$A237)+1)/2)+1)&amp;"","〃"))</f>
        <v/>
      </c>
      <c r="D237" s="76" t="str">
        <f>IF(E237="","",IF(E236="",IF(INDEX(Sheet1!$N:$N,INT((ROWS($A$10:$A237)+1)/2)+1)="","",INDEX(Sheet1!$N:$N,INT((ROWS($A$10:$A237)+1)/2)+1)),"〃"))</f>
        <v/>
      </c>
      <c r="E237" s="74" t="str">
        <f>IF(INDEX(Sheet1!$BA:$BA,INT((ROWS($A$10:$A237)+1)/2)+1)&lt;&gt;"","わな猟","")</f>
        <v/>
      </c>
      <c r="F237" s="77" t="str">
        <f>IF(E237="","",INDEX(Sheet1!$BC:$BC,INT((ROWS($A$10:$A237)+1)/2)+1)&amp;"")</f>
        <v/>
      </c>
      <c r="G237" s="76" t="str">
        <f>IF(E237="","",IF(INDEX(Sheet1!$BM:$BM,INT((ROWS($A$10:$A237)+1)/2)+1)="","",INDEX(Sheet1!$BM:$BM,INT((ROWS($A$10:$A237)+1)/2)+1)))</f>
        <v/>
      </c>
      <c r="H237" s="78"/>
      <c r="I237" s="73"/>
      <c r="J237" s="90"/>
    </row>
    <row r="238" spans="1:10" s="71" customFormat="1" ht="30" customHeight="1" x14ac:dyDescent="0.15">
      <c r="A238" s="74" t="str">
        <f>IF(AND(INDEX(Sheet1!$AM:$AM,INT((ROWS($A$10:$A238)+1)/2)+1)="",INDEX(Sheet1!$BA:$BA,INT((ROWS($A$10:$A238)+1)/2)+1)&lt;&gt;""),"",INDEX(Sheet1!$AC:$AC,INT((ROWS($A$10:$A238)+1)/2)+1)&amp;"")</f>
        <v/>
      </c>
      <c r="B238" s="74" t="str">
        <f>IF(AND(INDEX(Sheet1!$AM:$AM,INT((ROWS($A$10:$A238)+1)/2)+1)="",INDEX(Sheet1!$BA:$BA,INT((ROWS($A$10:$A238)+1)/2)+1)&lt;&gt;""),"",INDEX(Sheet1!$B:$B,INT((ROWS($A$10:$A238)+1)/2)+1)&amp;"")</f>
        <v/>
      </c>
      <c r="C238" s="74" t="str">
        <f>IF(AND(INDEX(Sheet1!$AM:$AM,INT((ROWS($A$10:$A238)+1)/2)+1)="",INDEX(Sheet1!$BA:$BA,INT((ROWS($A$10:$A238)+1)/2)+1)&lt;&gt;""),"",INDEX(Sheet1!$CN:$CN,INT((ROWS($A$10:$A238)+1)/2)+1)&amp;"")</f>
        <v/>
      </c>
      <c r="D238" s="76" t="str">
        <f>IF(OR(AND(INDEX(Sheet1!$AM:$AM,INT((ROWS($A$10:$A238)+1)/2)+1)="",INDEX(Sheet1!$BA:$BA,INT((ROWS($A$10:$A238)+1)/2)+1)&lt;&gt;""),INDEX(Sheet1!$N:$N,INT((ROWS($A$10:$A238)+1)/2)+1)=""),"",INDEX(Sheet1!$N:$N,INT((ROWS($A$10:$A238)+1)/2)+1))</f>
        <v/>
      </c>
      <c r="E238" s="74" t="str">
        <f>IF(INDEX(Sheet1!$AM:$AM,INT((ROWS($A$10:$A238)+1)/2)+1)&lt;&gt;"","第一種","")</f>
        <v/>
      </c>
      <c r="F238" s="77" t="str">
        <f>IF(E238="","",INDEX(Sheet1!$AO:$AO,INT((ROWS($A$10:$A238)+1)/2)+1)&amp;"")</f>
        <v/>
      </c>
      <c r="G238" s="76" t="str">
        <f>IF(OR(E238="",INDEX(Sheet1!$AY:$AY,INT((ROWS($A$10:$A238)+1)/2)+1)=""),"",INDEX(Sheet1!$AY:$AY,INT((ROWS($A$10:$A238)+1)/2)+1))</f>
        <v/>
      </c>
      <c r="H238" s="74" t="str">
        <f>IF(INDEX(Sheet1!$AD:$AD,INT((ROWS($A$10:$A238)+1)/2)+1)="","",INDEX(Sheet1!$AD:$AD,INT((ROWS($A$10:$A238)+1)/2)+1))</f>
        <v/>
      </c>
      <c r="I238" s="76" t="str">
        <f>IF(INDEX(Sheet1!$AK:$AK,INT((ROWS($A$10:$A238)+1)/2)+1)="","",INDEX(Sheet1!$AK:$AK,INT((ROWS($A$10:$A238)+1)/2)+1))</f>
        <v/>
      </c>
      <c r="J238" s="90"/>
    </row>
    <row r="239" spans="1:10" ht="30" customHeight="1" x14ac:dyDescent="0.15">
      <c r="A239" s="74" t="str">
        <f>IF(E239="","",IF(E238="",INDEX(Sheet1!$AC:$AC,INT((ROWS($A$10:$A239)+1)/2)+1)&amp;"","〃"))</f>
        <v/>
      </c>
      <c r="B239" s="74" t="str">
        <f>IF(E239="","",IF(E238="",INDEX(Sheet1!$B:$B,INT((ROWS($A$10:$A239)+1)/2)+1)&amp;"","〃"))</f>
        <v/>
      </c>
      <c r="C239" s="74" t="str">
        <f>IF(E239="","",IF(E238="",INDEX(Sheet1!$CN:$CN,INT((ROWS($A$10:$A239)+1)/2)+1)&amp;"","〃"))</f>
        <v/>
      </c>
      <c r="D239" s="76" t="str">
        <f>IF(E239="","",IF(E238="",IF(INDEX(Sheet1!$N:$N,INT((ROWS($A$10:$A239)+1)/2)+1)="","",INDEX(Sheet1!$N:$N,INT((ROWS($A$10:$A239)+1)/2)+1)),"〃"))</f>
        <v/>
      </c>
      <c r="E239" s="74" t="str">
        <f>IF(INDEX(Sheet1!$BA:$BA,INT((ROWS($A$10:$A239)+1)/2)+1)&lt;&gt;"","わな猟","")</f>
        <v/>
      </c>
      <c r="F239" s="77" t="str">
        <f>IF(E239="","",INDEX(Sheet1!$BC:$BC,INT((ROWS($A$10:$A239)+1)/2)+1)&amp;"")</f>
        <v/>
      </c>
      <c r="G239" s="76" t="str">
        <f>IF(E239="","",IF(INDEX(Sheet1!$BM:$BM,INT((ROWS($A$10:$A239)+1)/2)+1)="","",INDEX(Sheet1!$BM:$BM,INT((ROWS($A$10:$A239)+1)/2)+1)))</f>
        <v/>
      </c>
      <c r="H239" s="78"/>
      <c r="I239" s="73"/>
      <c r="J239" s="90"/>
    </row>
    <row r="240" spans="1:10" s="71" customFormat="1" ht="30" customHeight="1" x14ac:dyDescent="0.15">
      <c r="A240" s="74" t="str">
        <f>IF(AND(INDEX(Sheet1!$AM:$AM,INT((ROWS($A$10:$A240)+1)/2)+1)="",INDEX(Sheet1!$BA:$BA,INT((ROWS($A$10:$A240)+1)/2)+1)&lt;&gt;""),"",INDEX(Sheet1!$AC:$AC,INT((ROWS($A$10:$A240)+1)/2)+1)&amp;"")</f>
        <v/>
      </c>
      <c r="B240" s="74" t="str">
        <f>IF(AND(INDEX(Sheet1!$AM:$AM,INT((ROWS($A$10:$A240)+1)/2)+1)="",INDEX(Sheet1!$BA:$BA,INT((ROWS($A$10:$A240)+1)/2)+1)&lt;&gt;""),"",INDEX(Sheet1!$B:$B,INT((ROWS($A$10:$A240)+1)/2)+1)&amp;"")</f>
        <v/>
      </c>
      <c r="C240" s="74" t="str">
        <f>IF(AND(INDEX(Sheet1!$AM:$AM,INT((ROWS($A$10:$A240)+1)/2)+1)="",INDEX(Sheet1!$BA:$BA,INT((ROWS($A$10:$A240)+1)/2)+1)&lt;&gt;""),"",INDEX(Sheet1!$CN:$CN,INT((ROWS($A$10:$A240)+1)/2)+1)&amp;"")</f>
        <v/>
      </c>
      <c r="D240" s="76" t="str">
        <f>IF(OR(AND(INDEX(Sheet1!$AM:$AM,INT((ROWS($A$10:$A240)+1)/2)+1)="",INDEX(Sheet1!$BA:$BA,INT((ROWS($A$10:$A240)+1)/2)+1)&lt;&gt;""),INDEX(Sheet1!$N:$N,INT((ROWS($A$10:$A240)+1)/2)+1)=""),"",INDEX(Sheet1!$N:$N,INT((ROWS($A$10:$A240)+1)/2)+1))</f>
        <v/>
      </c>
      <c r="E240" s="74" t="str">
        <f>IF(INDEX(Sheet1!$AM:$AM,INT((ROWS($A$10:$A240)+1)/2)+1)&lt;&gt;"","第一種","")</f>
        <v/>
      </c>
      <c r="F240" s="77" t="str">
        <f>IF(E240="","",INDEX(Sheet1!$AO:$AO,INT((ROWS($A$10:$A240)+1)/2)+1)&amp;"")</f>
        <v/>
      </c>
      <c r="G240" s="76" t="str">
        <f>IF(OR(E240="",INDEX(Sheet1!$AY:$AY,INT((ROWS($A$10:$A240)+1)/2)+1)=""),"",INDEX(Sheet1!$AY:$AY,INT((ROWS($A$10:$A240)+1)/2)+1))</f>
        <v/>
      </c>
      <c r="H240" s="74" t="str">
        <f>IF(INDEX(Sheet1!$AD:$AD,INT((ROWS($A$10:$A240)+1)/2)+1)="","",INDEX(Sheet1!$AD:$AD,INT((ROWS($A$10:$A240)+1)/2)+1))</f>
        <v/>
      </c>
      <c r="I240" s="76" t="str">
        <f>IF(INDEX(Sheet1!$AK:$AK,INT((ROWS($A$10:$A240)+1)/2)+1)="","",INDEX(Sheet1!$AK:$AK,INT((ROWS($A$10:$A240)+1)/2)+1))</f>
        <v/>
      </c>
      <c r="J240" s="90"/>
    </row>
    <row r="241" spans="1:10" ht="30" customHeight="1" x14ac:dyDescent="0.15">
      <c r="A241" s="74" t="str">
        <f>IF(E241="","",IF(E240="",INDEX(Sheet1!$AC:$AC,INT((ROWS($A$10:$A241)+1)/2)+1)&amp;"","〃"))</f>
        <v/>
      </c>
      <c r="B241" s="74" t="str">
        <f>IF(E241="","",IF(E240="",INDEX(Sheet1!$B:$B,INT((ROWS($A$10:$A241)+1)/2)+1)&amp;"","〃"))</f>
        <v/>
      </c>
      <c r="C241" s="74" t="str">
        <f>IF(E241="","",IF(E240="",INDEX(Sheet1!$CN:$CN,INT((ROWS($A$10:$A241)+1)/2)+1)&amp;"","〃"))</f>
        <v/>
      </c>
      <c r="D241" s="76" t="str">
        <f>IF(E241="","",IF(E240="",IF(INDEX(Sheet1!$N:$N,INT((ROWS($A$10:$A241)+1)/2)+1)="","",INDEX(Sheet1!$N:$N,INT((ROWS($A$10:$A241)+1)/2)+1)),"〃"))</f>
        <v/>
      </c>
      <c r="E241" s="74" t="str">
        <f>IF(INDEX(Sheet1!$BA:$BA,INT((ROWS($A$10:$A241)+1)/2)+1)&lt;&gt;"","わな猟","")</f>
        <v/>
      </c>
      <c r="F241" s="77" t="str">
        <f>IF(E241="","",INDEX(Sheet1!$BC:$BC,INT((ROWS($A$10:$A241)+1)/2)+1)&amp;"")</f>
        <v/>
      </c>
      <c r="G241" s="76" t="str">
        <f>IF(E241="","",IF(INDEX(Sheet1!$BM:$BM,INT((ROWS($A$10:$A241)+1)/2)+1)="","",INDEX(Sheet1!$BM:$BM,INT((ROWS($A$10:$A241)+1)/2)+1)))</f>
        <v/>
      </c>
      <c r="H241" s="78"/>
      <c r="I241" s="73"/>
      <c r="J241" s="90"/>
    </row>
    <row r="242" spans="1:10" s="71" customFormat="1" ht="30" customHeight="1" x14ac:dyDescent="0.15">
      <c r="A242" s="74" t="str">
        <f>IF(AND(INDEX(Sheet1!$AM:$AM,INT((ROWS($A$10:$A242)+1)/2)+1)="",INDEX(Sheet1!$BA:$BA,INT((ROWS($A$10:$A242)+1)/2)+1)&lt;&gt;""),"",INDEX(Sheet1!$AC:$AC,INT((ROWS($A$10:$A242)+1)/2)+1)&amp;"")</f>
        <v/>
      </c>
      <c r="B242" s="74" t="str">
        <f>IF(AND(INDEX(Sheet1!$AM:$AM,INT((ROWS($A$10:$A242)+1)/2)+1)="",INDEX(Sheet1!$BA:$BA,INT((ROWS($A$10:$A242)+1)/2)+1)&lt;&gt;""),"",INDEX(Sheet1!$B:$B,INT((ROWS($A$10:$A242)+1)/2)+1)&amp;"")</f>
        <v/>
      </c>
      <c r="C242" s="74" t="str">
        <f>IF(AND(INDEX(Sheet1!$AM:$AM,INT((ROWS($A$10:$A242)+1)/2)+1)="",INDEX(Sheet1!$BA:$BA,INT((ROWS($A$10:$A242)+1)/2)+1)&lt;&gt;""),"",INDEX(Sheet1!$CN:$CN,INT((ROWS($A$10:$A242)+1)/2)+1)&amp;"")</f>
        <v/>
      </c>
      <c r="D242" s="76" t="str">
        <f>IF(OR(AND(INDEX(Sheet1!$AM:$AM,INT((ROWS($A$10:$A242)+1)/2)+1)="",INDEX(Sheet1!$BA:$BA,INT((ROWS($A$10:$A242)+1)/2)+1)&lt;&gt;""),INDEX(Sheet1!$N:$N,INT((ROWS($A$10:$A242)+1)/2)+1)=""),"",INDEX(Sheet1!$N:$N,INT((ROWS($A$10:$A242)+1)/2)+1))</f>
        <v/>
      </c>
      <c r="E242" s="74" t="str">
        <f>IF(INDEX(Sheet1!$AM:$AM,INT((ROWS($A$10:$A242)+1)/2)+1)&lt;&gt;"","第一種","")</f>
        <v/>
      </c>
      <c r="F242" s="77" t="str">
        <f>IF(E242="","",INDEX(Sheet1!$AO:$AO,INT((ROWS($A$10:$A242)+1)/2)+1)&amp;"")</f>
        <v/>
      </c>
      <c r="G242" s="76" t="str">
        <f>IF(OR(E242="",INDEX(Sheet1!$AY:$AY,INT((ROWS($A$10:$A242)+1)/2)+1)=""),"",INDEX(Sheet1!$AY:$AY,INT((ROWS($A$10:$A242)+1)/2)+1))</f>
        <v/>
      </c>
      <c r="H242" s="74" t="str">
        <f>IF(INDEX(Sheet1!$AD:$AD,INT((ROWS($A$10:$A242)+1)/2)+1)="","",INDEX(Sheet1!$AD:$AD,INT((ROWS($A$10:$A242)+1)/2)+1))</f>
        <v/>
      </c>
      <c r="I242" s="76" t="str">
        <f>IF(INDEX(Sheet1!$AK:$AK,INT((ROWS($A$10:$A242)+1)/2)+1)="","",INDEX(Sheet1!$AK:$AK,INT((ROWS($A$10:$A242)+1)/2)+1))</f>
        <v/>
      </c>
      <c r="J242" s="90"/>
    </row>
    <row r="243" spans="1:10" ht="30" customHeight="1" x14ac:dyDescent="0.15">
      <c r="A243" s="74" t="str">
        <f>IF(E243="","",IF(E242="",INDEX(Sheet1!$AC:$AC,INT((ROWS($A$10:$A243)+1)/2)+1)&amp;"","〃"))</f>
        <v/>
      </c>
      <c r="B243" s="74" t="str">
        <f>IF(E243="","",IF(E242="",INDEX(Sheet1!$B:$B,INT((ROWS($A$10:$A243)+1)/2)+1)&amp;"","〃"))</f>
        <v/>
      </c>
      <c r="C243" s="74" t="str">
        <f>IF(E243="","",IF(E242="",INDEX(Sheet1!$CN:$CN,INT((ROWS($A$10:$A243)+1)/2)+1)&amp;"","〃"))</f>
        <v/>
      </c>
      <c r="D243" s="76" t="str">
        <f>IF(E243="","",IF(E242="",IF(INDEX(Sheet1!$N:$N,INT((ROWS($A$10:$A243)+1)/2)+1)="","",INDEX(Sheet1!$N:$N,INT((ROWS($A$10:$A243)+1)/2)+1)),"〃"))</f>
        <v/>
      </c>
      <c r="E243" s="74" t="str">
        <f>IF(INDEX(Sheet1!$BA:$BA,INT((ROWS($A$10:$A243)+1)/2)+1)&lt;&gt;"","わな猟","")</f>
        <v/>
      </c>
      <c r="F243" s="77" t="str">
        <f>IF(E243="","",INDEX(Sheet1!$BC:$BC,INT((ROWS($A$10:$A243)+1)/2)+1)&amp;"")</f>
        <v/>
      </c>
      <c r="G243" s="76" t="str">
        <f>IF(E243="","",IF(INDEX(Sheet1!$BM:$BM,INT((ROWS($A$10:$A243)+1)/2)+1)="","",INDEX(Sheet1!$BM:$BM,INT((ROWS($A$10:$A243)+1)/2)+1)))</f>
        <v/>
      </c>
      <c r="H243" s="78"/>
      <c r="I243" s="73"/>
      <c r="J243" s="90"/>
    </row>
    <row r="244" spans="1:10" s="71" customFormat="1" ht="30" customHeight="1" x14ac:dyDescent="0.15">
      <c r="A244" s="74" t="str">
        <f>IF(AND(INDEX(Sheet1!$AM:$AM,INT((ROWS($A$10:$A244)+1)/2)+1)="",INDEX(Sheet1!$BA:$BA,INT((ROWS($A$10:$A244)+1)/2)+1)&lt;&gt;""),"",INDEX(Sheet1!$AC:$AC,INT((ROWS($A$10:$A244)+1)/2)+1)&amp;"")</f>
        <v/>
      </c>
      <c r="B244" s="74" t="str">
        <f>IF(AND(INDEX(Sheet1!$AM:$AM,INT((ROWS($A$10:$A244)+1)/2)+1)="",INDEX(Sheet1!$BA:$BA,INT((ROWS($A$10:$A244)+1)/2)+1)&lt;&gt;""),"",INDEX(Sheet1!$B:$B,INT((ROWS($A$10:$A244)+1)/2)+1)&amp;"")</f>
        <v/>
      </c>
      <c r="C244" s="74" t="str">
        <f>IF(AND(INDEX(Sheet1!$AM:$AM,INT((ROWS($A$10:$A244)+1)/2)+1)="",INDEX(Sheet1!$BA:$BA,INT((ROWS($A$10:$A244)+1)/2)+1)&lt;&gt;""),"",INDEX(Sheet1!$CN:$CN,INT((ROWS($A$10:$A244)+1)/2)+1)&amp;"")</f>
        <v/>
      </c>
      <c r="D244" s="76" t="str">
        <f>IF(OR(AND(INDEX(Sheet1!$AM:$AM,INT((ROWS($A$10:$A244)+1)/2)+1)="",INDEX(Sheet1!$BA:$BA,INT((ROWS($A$10:$A244)+1)/2)+1)&lt;&gt;""),INDEX(Sheet1!$N:$N,INT((ROWS($A$10:$A244)+1)/2)+1)=""),"",INDEX(Sheet1!$N:$N,INT((ROWS($A$10:$A244)+1)/2)+1))</f>
        <v/>
      </c>
      <c r="E244" s="74" t="str">
        <f>IF(INDEX(Sheet1!$AM:$AM,INT((ROWS($A$10:$A244)+1)/2)+1)&lt;&gt;"","第一種","")</f>
        <v/>
      </c>
      <c r="F244" s="77" t="str">
        <f>IF(E244="","",INDEX(Sheet1!$AO:$AO,INT((ROWS($A$10:$A244)+1)/2)+1)&amp;"")</f>
        <v/>
      </c>
      <c r="G244" s="76" t="str">
        <f>IF(OR(E244="",INDEX(Sheet1!$AY:$AY,INT((ROWS($A$10:$A244)+1)/2)+1)=""),"",INDEX(Sheet1!$AY:$AY,INT((ROWS($A$10:$A244)+1)/2)+1))</f>
        <v/>
      </c>
      <c r="H244" s="74" t="str">
        <f>IF(INDEX(Sheet1!$AD:$AD,INT((ROWS($A$10:$A244)+1)/2)+1)="","",INDEX(Sheet1!$AD:$AD,INT((ROWS($A$10:$A244)+1)/2)+1))</f>
        <v/>
      </c>
      <c r="I244" s="76" t="str">
        <f>IF(INDEX(Sheet1!$AK:$AK,INT((ROWS($A$10:$A244)+1)/2)+1)="","",INDEX(Sheet1!$AK:$AK,INT((ROWS($A$10:$A244)+1)/2)+1))</f>
        <v/>
      </c>
      <c r="J244" s="90"/>
    </row>
    <row r="245" spans="1:10" ht="30" customHeight="1" x14ac:dyDescent="0.15">
      <c r="A245" s="74" t="str">
        <f>IF(E245="","",IF(E244="",INDEX(Sheet1!$AC:$AC,INT((ROWS($A$10:$A245)+1)/2)+1)&amp;"","〃"))</f>
        <v/>
      </c>
      <c r="B245" s="74" t="str">
        <f>IF(E245="","",IF(E244="",INDEX(Sheet1!$B:$B,INT((ROWS($A$10:$A245)+1)/2)+1)&amp;"","〃"))</f>
        <v/>
      </c>
      <c r="C245" s="74" t="str">
        <f>IF(E245="","",IF(E244="",INDEX(Sheet1!$CN:$CN,INT((ROWS($A$10:$A245)+1)/2)+1)&amp;"","〃"))</f>
        <v/>
      </c>
      <c r="D245" s="76" t="str">
        <f>IF(E245="","",IF(E244="",IF(INDEX(Sheet1!$N:$N,INT((ROWS($A$10:$A245)+1)/2)+1)="","",INDEX(Sheet1!$N:$N,INT((ROWS($A$10:$A245)+1)/2)+1)),"〃"))</f>
        <v/>
      </c>
      <c r="E245" s="74" t="str">
        <f>IF(INDEX(Sheet1!$BA:$BA,INT((ROWS($A$10:$A245)+1)/2)+1)&lt;&gt;"","わな猟","")</f>
        <v/>
      </c>
      <c r="F245" s="77" t="str">
        <f>IF(E245="","",INDEX(Sheet1!$BC:$BC,INT((ROWS($A$10:$A245)+1)/2)+1)&amp;"")</f>
        <v/>
      </c>
      <c r="G245" s="76" t="str">
        <f>IF(E245="","",IF(INDEX(Sheet1!$BM:$BM,INT((ROWS($A$10:$A245)+1)/2)+1)="","",INDEX(Sheet1!$BM:$BM,INT((ROWS($A$10:$A245)+1)/2)+1)))</f>
        <v/>
      </c>
      <c r="H245" s="78"/>
      <c r="I245" s="73"/>
      <c r="J245" s="90"/>
    </row>
    <row r="246" spans="1:10" s="71" customFormat="1" ht="30" customHeight="1" x14ac:dyDescent="0.15">
      <c r="A246" s="74" t="str">
        <f>IF(AND(INDEX(Sheet1!$AM:$AM,INT((ROWS($A$10:$A246)+1)/2)+1)="",INDEX(Sheet1!$BA:$BA,INT((ROWS($A$10:$A246)+1)/2)+1)&lt;&gt;""),"",INDEX(Sheet1!$AC:$AC,INT((ROWS($A$10:$A246)+1)/2)+1)&amp;"")</f>
        <v/>
      </c>
      <c r="B246" s="74" t="str">
        <f>IF(AND(INDEX(Sheet1!$AM:$AM,INT((ROWS($A$10:$A246)+1)/2)+1)="",INDEX(Sheet1!$BA:$BA,INT((ROWS($A$10:$A246)+1)/2)+1)&lt;&gt;""),"",INDEX(Sheet1!$B:$B,INT((ROWS($A$10:$A246)+1)/2)+1)&amp;"")</f>
        <v/>
      </c>
      <c r="C246" s="74" t="str">
        <f>IF(AND(INDEX(Sheet1!$AM:$AM,INT((ROWS($A$10:$A246)+1)/2)+1)="",INDEX(Sheet1!$BA:$BA,INT((ROWS($A$10:$A246)+1)/2)+1)&lt;&gt;""),"",INDEX(Sheet1!$CN:$CN,INT((ROWS($A$10:$A246)+1)/2)+1)&amp;"")</f>
        <v/>
      </c>
      <c r="D246" s="76" t="str">
        <f>IF(OR(AND(INDEX(Sheet1!$AM:$AM,INT((ROWS($A$10:$A246)+1)/2)+1)="",INDEX(Sheet1!$BA:$BA,INT((ROWS($A$10:$A246)+1)/2)+1)&lt;&gt;""),INDEX(Sheet1!$N:$N,INT((ROWS($A$10:$A246)+1)/2)+1)=""),"",INDEX(Sheet1!$N:$N,INT((ROWS($A$10:$A246)+1)/2)+1))</f>
        <v/>
      </c>
      <c r="E246" s="74" t="str">
        <f>IF(INDEX(Sheet1!$AM:$AM,INT((ROWS($A$10:$A246)+1)/2)+1)&lt;&gt;"","第一種","")</f>
        <v/>
      </c>
      <c r="F246" s="77" t="str">
        <f>IF(E246="","",INDEX(Sheet1!$AO:$AO,INT((ROWS($A$10:$A246)+1)/2)+1)&amp;"")</f>
        <v/>
      </c>
      <c r="G246" s="76" t="str">
        <f>IF(OR(E246="",INDEX(Sheet1!$AY:$AY,INT((ROWS($A$10:$A246)+1)/2)+1)=""),"",INDEX(Sheet1!$AY:$AY,INT((ROWS($A$10:$A246)+1)/2)+1))</f>
        <v/>
      </c>
      <c r="H246" s="74" t="str">
        <f>IF(INDEX(Sheet1!$AD:$AD,INT((ROWS($A$10:$A246)+1)/2)+1)="","",INDEX(Sheet1!$AD:$AD,INT((ROWS($A$10:$A246)+1)/2)+1))</f>
        <v/>
      </c>
      <c r="I246" s="76" t="str">
        <f>IF(INDEX(Sheet1!$AK:$AK,INT((ROWS($A$10:$A246)+1)/2)+1)="","",INDEX(Sheet1!$AK:$AK,INT((ROWS($A$10:$A246)+1)/2)+1))</f>
        <v/>
      </c>
      <c r="J246" s="90"/>
    </row>
    <row r="247" spans="1:10" ht="30" customHeight="1" x14ac:dyDescent="0.15">
      <c r="A247" s="74" t="str">
        <f>IF(E247="","",IF(E246="",INDEX(Sheet1!$AC:$AC,INT((ROWS($A$10:$A247)+1)/2)+1)&amp;"","〃"))</f>
        <v/>
      </c>
      <c r="B247" s="74" t="str">
        <f>IF(E247="","",IF(E246="",INDEX(Sheet1!$B:$B,INT((ROWS($A$10:$A247)+1)/2)+1)&amp;"","〃"))</f>
        <v/>
      </c>
      <c r="C247" s="74" t="str">
        <f>IF(E247="","",IF(E246="",INDEX(Sheet1!$CN:$CN,INT((ROWS($A$10:$A247)+1)/2)+1)&amp;"","〃"))</f>
        <v/>
      </c>
      <c r="D247" s="76" t="str">
        <f>IF(E247="","",IF(E246="",IF(INDEX(Sheet1!$N:$N,INT((ROWS($A$10:$A247)+1)/2)+1)="","",INDEX(Sheet1!$N:$N,INT((ROWS($A$10:$A247)+1)/2)+1)),"〃"))</f>
        <v/>
      </c>
      <c r="E247" s="74" t="str">
        <f>IF(INDEX(Sheet1!$BA:$BA,INT((ROWS($A$10:$A247)+1)/2)+1)&lt;&gt;"","わな猟","")</f>
        <v/>
      </c>
      <c r="F247" s="77" t="str">
        <f>IF(E247="","",INDEX(Sheet1!$BC:$BC,INT((ROWS($A$10:$A247)+1)/2)+1)&amp;"")</f>
        <v/>
      </c>
      <c r="G247" s="76" t="str">
        <f>IF(E247="","",IF(INDEX(Sheet1!$BM:$BM,INT((ROWS($A$10:$A247)+1)/2)+1)="","",INDEX(Sheet1!$BM:$BM,INT((ROWS($A$10:$A247)+1)/2)+1)))</f>
        <v/>
      </c>
      <c r="H247" s="78"/>
      <c r="I247" s="73"/>
      <c r="J247" s="90"/>
    </row>
    <row r="248" spans="1:10" s="71" customFormat="1" ht="30" customHeight="1" x14ac:dyDescent="0.15">
      <c r="A248" s="74" t="str">
        <f>IF(AND(INDEX(Sheet1!$AM:$AM,INT((ROWS($A$10:$A248)+1)/2)+1)="",INDEX(Sheet1!$BA:$BA,INT((ROWS($A$10:$A248)+1)/2)+1)&lt;&gt;""),"",INDEX(Sheet1!$AC:$AC,INT((ROWS($A$10:$A248)+1)/2)+1)&amp;"")</f>
        <v/>
      </c>
      <c r="B248" s="74" t="str">
        <f>IF(AND(INDEX(Sheet1!$AM:$AM,INT((ROWS($A$10:$A248)+1)/2)+1)="",INDEX(Sheet1!$BA:$BA,INT((ROWS($A$10:$A248)+1)/2)+1)&lt;&gt;""),"",INDEX(Sheet1!$B:$B,INT((ROWS($A$10:$A248)+1)/2)+1)&amp;"")</f>
        <v/>
      </c>
      <c r="C248" s="74" t="str">
        <f>IF(AND(INDEX(Sheet1!$AM:$AM,INT((ROWS($A$10:$A248)+1)/2)+1)="",INDEX(Sheet1!$BA:$BA,INT((ROWS($A$10:$A248)+1)/2)+1)&lt;&gt;""),"",INDEX(Sheet1!$CN:$CN,INT((ROWS($A$10:$A248)+1)/2)+1)&amp;"")</f>
        <v/>
      </c>
      <c r="D248" s="76" t="str">
        <f>IF(OR(AND(INDEX(Sheet1!$AM:$AM,INT((ROWS($A$10:$A248)+1)/2)+1)="",INDEX(Sheet1!$BA:$BA,INT((ROWS($A$10:$A248)+1)/2)+1)&lt;&gt;""),INDEX(Sheet1!$N:$N,INT((ROWS($A$10:$A248)+1)/2)+1)=""),"",INDEX(Sheet1!$N:$N,INT((ROWS($A$10:$A248)+1)/2)+1))</f>
        <v/>
      </c>
      <c r="E248" s="74" t="str">
        <f>IF(INDEX(Sheet1!$AM:$AM,INT((ROWS($A$10:$A248)+1)/2)+1)&lt;&gt;"","第一種","")</f>
        <v/>
      </c>
      <c r="F248" s="77" t="str">
        <f>IF(E248="","",INDEX(Sheet1!$AO:$AO,INT((ROWS($A$10:$A248)+1)/2)+1)&amp;"")</f>
        <v/>
      </c>
      <c r="G248" s="76" t="str">
        <f>IF(OR(E248="",INDEX(Sheet1!$AY:$AY,INT((ROWS($A$10:$A248)+1)/2)+1)=""),"",INDEX(Sheet1!$AY:$AY,INT((ROWS($A$10:$A248)+1)/2)+1))</f>
        <v/>
      </c>
      <c r="H248" s="74" t="str">
        <f>IF(INDEX(Sheet1!$AD:$AD,INT((ROWS($A$10:$A248)+1)/2)+1)="","",INDEX(Sheet1!$AD:$AD,INT((ROWS($A$10:$A248)+1)/2)+1))</f>
        <v/>
      </c>
      <c r="I248" s="76" t="str">
        <f>IF(INDEX(Sheet1!$AK:$AK,INT((ROWS($A$10:$A248)+1)/2)+1)="","",INDEX(Sheet1!$AK:$AK,INT((ROWS($A$10:$A248)+1)/2)+1))</f>
        <v/>
      </c>
      <c r="J248" s="90"/>
    </row>
    <row r="249" spans="1:10" ht="30" customHeight="1" x14ac:dyDescent="0.15">
      <c r="A249" s="74" t="str">
        <f>IF(E249="","",IF(E248="",INDEX(Sheet1!$AC:$AC,INT((ROWS($A$10:$A249)+1)/2)+1)&amp;"","〃"))</f>
        <v/>
      </c>
      <c r="B249" s="74" t="str">
        <f>IF(E249="","",IF(E248="",INDEX(Sheet1!$B:$B,INT((ROWS($A$10:$A249)+1)/2)+1)&amp;"","〃"))</f>
        <v/>
      </c>
      <c r="C249" s="74" t="str">
        <f>IF(E249="","",IF(E248="",INDEX(Sheet1!$CN:$CN,INT((ROWS($A$10:$A249)+1)/2)+1)&amp;"","〃"))</f>
        <v/>
      </c>
      <c r="D249" s="76" t="str">
        <f>IF(E249="","",IF(E248="",IF(INDEX(Sheet1!$N:$N,INT((ROWS($A$10:$A249)+1)/2)+1)="","",INDEX(Sheet1!$N:$N,INT((ROWS($A$10:$A249)+1)/2)+1)),"〃"))</f>
        <v/>
      </c>
      <c r="E249" s="74" t="str">
        <f>IF(INDEX(Sheet1!$BA:$BA,INT((ROWS($A$10:$A249)+1)/2)+1)&lt;&gt;"","わな猟","")</f>
        <v/>
      </c>
      <c r="F249" s="77" t="str">
        <f>IF(E249="","",INDEX(Sheet1!$BC:$BC,INT((ROWS($A$10:$A249)+1)/2)+1)&amp;"")</f>
        <v/>
      </c>
      <c r="G249" s="76" t="str">
        <f>IF(E249="","",IF(INDEX(Sheet1!$BM:$BM,INT((ROWS($A$10:$A249)+1)/2)+1)="","",INDEX(Sheet1!$BM:$BM,INT((ROWS($A$10:$A249)+1)/2)+1)))</f>
        <v/>
      </c>
      <c r="H249" s="78"/>
      <c r="I249" s="73"/>
      <c r="J249" s="90"/>
    </row>
    <row r="250" spans="1:10" s="71" customFormat="1" ht="30" customHeight="1" x14ac:dyDescent="0.15">
      <c r="A250" s="74" t="str">
        <f>IF(AND(INDEX(Sheet1!$AM:$AM,INT((ROWS($A$10:$A250)+1)/2)+1)="",INDEX(Sheet1!$BA:$BA,INT((ROWS($A$10:$A250)+1)/2)+1)&lt;&gt;""),"",INDEX(Sheet1!$AC:$AC,INT((ROWS($A$10:$A250)+1)/2)+1)&amp;"")</f>
        <v/>
      </c>
      <c r="B250" s="74" t="str">
        <f>IF(AND(INDEX(Sheet1!$AM:$AM,INT((ROWS($A$10:$A250)+1)/2)+1)="",INDEX(Sheet1!$BA:$BA,INT((ROWS($A$10:$A250)+1)/2)+1)&lt;&gt;""),"",INDEX(Sheet1!$B:$B,INT((ROWS($A$10:$A250)+1)/2)+1)&amp;"")</f>
        <v/>
      </c>
      <c r="C250" s="74" t="str">
        <f>IF(AND(INDEX(Sheet1!$AM:$AM,INT((ROWS($A$10:$A250)+1)/2)+1)="",INDEX(Sheet1!$BA:$BA,INT((ROWS($A$10:$A250)+1)/2)+1)&lt;&gt;""),"",INDEX(Sheet1!$CN:$CN,INT((ROWS($A$10:$A250)+1)/2)+1)&amp;"")</f>
        <v/>
      </c>
      <c r="D250" s="76" t="str">
        <f>IF(OR(AND(INDEX(Sheet1!$AM:$AM,INT((ROWS($A$10:$A250)+1)/2)+1)="",INDEX(Sheet1!$BA:$BA,INT((ROWS($A$10:$A250)+1)/2)+1)&lt;&gt;""),INDEX(Sheet1!$N:$N,INT((ROWS($A$10:$A250)+1)/2)+1)=""),"",INDEX(Sheet1!$N:$N,INT((ROWS($A$10:$A250)+1)/2)+1))</f>
        <v/>
      </c>
      <c r="E250" s="74" t="str">
        <f>IF(INDEX(Sheet1!$AM:$AM,INT((ROWS($A$10:$A250)+1)/2)+1)&lt;&gt;"","第一種","")</f>
        <v/>
      </c>
      <c r="F250" s="77" t="str">
        <f>IF(E250="","",INDEX(Sheet1!$AO:$AO,INT((ROWS($A$10:$A250)+1)/2)+1)&amp;"")</f>
        <v/>
      </c>
      <c r="G250" s="76" t="str">
        <f>IF(OR(E250="",INDEX(Sheet1!$AY:$AY,INT((ROWS($A$10:$A250)+1)/2)+1)=""),"",INDEX(Sheet1!$AY:$AY,INT((ROWS($A$10:$A250)+1)/2)+1))</f>
        <v/>
      </c>
      <c r="H250" s="74" t="str">
        <f>IF(INDEX(Sheet1!$AD:$AD,INT((ROWS($A$10:$A250)+1)/2)+1)="","",INDEX(Sheet1!$AD:$AD,INT((ROWS($A$10:$A250)+1)/2)+1))</f>
        <v/>
      </c>
      <c r="I250" s="76" t="str">
        <f>IF(INDEX(Sheet1!$AK:$AK,INT((ROWS($A$10:$A250)+1)/2)+1)="","",INDEX(Sheet1!$AK:$AK,INT((ROWS($A$10:$A250)+1)/2)+1))</f>
        <v/>
      </c>
      <c r="J250" s="90"/>
    </row>
    <row r="251" spans="1:10" ht="30" customHeight="1" x14ac:dyDescent="0.15">
      <c r="A251" s="74" t="str">
        <f>IF(E251="","",IF(E250="",INDEX(Sheet1!$AC:$AC,INT((ROWS($A$10:$A251)+1)/2)+1)&amp;"","〃"))</f>
        <v/>
      </c>
      <c r="B251" s="74" t="str">
        <f>IF(E251="","",IF(E250="",INDEX(Sheet1!$B:$B,INT((ROWS($A$10:$A251)+1)/2)+1)&amp;"","〃"))</f>
        <v/>
      </c>
      <c r="C251" s="74" t="str">
        <f>IF(E251="","",IF(E250="",INDEX(Sheet1!$CN:$CN,INT((ROWS($A$10:$A251)+1)/2)+1)&amp;"","〃"))</f>
        <v/>
      </c>
      <c r="D251" s="76" t="str">
        <f>IF(E251="","",IF(E250="",IF(INDEX(Sheet1!$N:$N,INT((ROWS($A$10:$A251)+1)/2)+1)="","",INDEX(Sheet1!$N:$N,INT((ROWS($A$10:$A251)+1)/2)+1)),"〃"))</f>
        <v/>
      </c>
      <c r="E251" s="74" t="str">
        <f>IF(INDEX(Sheet1!$BA:$BA,INT((ROWS($A$10:$A251)+1)/2)+1)&lt;&gt;"","わな猟","")</f>
        <v/>
      </c>
      <c r="F251" s="77" t="str">
        <f>IF(E251="","",INDEX(Sheet1!$BC:$BC,INT((ROWS($A$10:$A251)+1)/2)+1)&amp;"")</f>
        <v/>
      </c>
      <c r="G251" s="76" t="str">
        <f>IF(E251="","",IF(INDEX(Sheet1!$BM:$BM,INT((ROWS($A$10:$A251)+1)/2)+1)="","",INDEX(Sheet1!$BM:$BM,INT((ROWS($A$10:$A251)+1)/2)+1)))</f>
        <v/>
      </c>
      <c r="H251" s="78"/>
      <c r="I251" s="73"/>
      <c r="J251" s="90"/>
    </row>
    <row r="252" spans="1:10" s="71" customFormat="1" ht="30" customHeight="1" x14ac:dyDescent="0.15">
      <c r="A252" s="74" t="str">
        <f>IF(AND(INDEX(Sheet1!$AM:$AM,INT((ROWS($A$10:$A252)+1)/2)+1)="",INDEX(Sheet1!$BA:$BA,INT((ROWS($A$10:$A252)+1)/2)+1)&lt;&gt;""),"",INDEX(Sheet1!$AC:$AC,INT((ROWS($A$10:$A252)+1)/2)+1)&amp;"")</f>
        <v/>
      </c>
      <c r="B252" s="74" t="str">
        <f>IF(AND(INDEX(Sheet1!$AM:$AM,INT((ROWS($A$10:$A252)+1)/2)+1)="",INDEX(Sheet1!$BA:$BA,INT((ROWS($A$10:$A252)+1)/2)+1)&lt;&gt;""),"",INDEX(Sheet1!$B:$B,INT((ROWS($A$10:$A252)+1)/2)+1)&amp;"")</f>
        <v/>
      </c>
      <c r="C252" s="74" t="str">
        <f>IF(AND(INDEX(Sheet1!$AM:$AM,INT((ROWS($A$10:$A252)+1)/2)+1)="",INDEX(Sheet1!$BA:$BA,INT((ROWS($A$10:$A252)+1)/2)+1)&lt;&gt;""),"",INDEX(Sheet1!$CN:$CN,INT((ROWS($A$10:$A252)+1)/2)+1)&amp;"")</f>
        <v/>
      </c>
      <c r="D252" s="76" t="str">
        <f>IF(OR(AND(INDEX(Sheet1!$AM:$AM,INT((ROWS($A$10:$A252)+1)/2)+1)="",INDEX(Sheet1!$BA:$BA,INT((ROWS($A$10:$A252)+1)/2)+1)&lt;&gt;""),INDEX(Sheet1!$N:$N,INT((ROWS($A$10:$A252)+1)/2)+1)=""),"",INDEX(Sheet1!$N:$N,INT((ROWS($A$10:$A252)+1)/2)+1))</f>
        <v/>
      </c>
      <c r="E252" s="74" t="str">
        <f>IF(INDEX(Sheet1!$AM:$AM,INT((ROWS($A$10:$A252)+1)/2)+1)&lt;&gt;"","第一種","")</f>
        <v/>
      </c>
      <c r="F252" s="77" t="str">
        <f>IF(E252="","",INDEX(Sheet1!$AO:$AO,INT((ROWS($A$10:$A252)+1)/2)+1)&amp;"")</f>
        <v/>
      </c>
      <c r="G252" s="76" t="str">
        <f>IF(OR(E252="",INDEX(Sheet1!$AY:$AY,INT((ROWS($A$10:$A252)+1)/2)+1)=""),"",INDEX(Sheet1!$AY:$AY,INT((ROWS($A$10:$A252)+1)/2)+1))</f>
        <v/>
      </c>
      <c r="H252" s="74" t="str">
        <f>IF(INDEX(Sheet1!$AD:$AD,INT((ROWS($A$10:$A252)+1)/2)+1)="","",INDEX(Sheet1!$AD:$AD,INT((ROWS($A$10:$A252)+1)/2)+1))</f>
        <v/>
      </c>
      <c r="I252" s="76" t="str">
        <f>IF(INDEX(Sheet1!$AK:$AK,INT((ROWS($A$10:$A252)+1)/2)+1)="","",INDEX(Sheet1!$AK:$AK,INT((ROWS($A$10:$A252)+1)/2)+1))</f>
        <v/>
      </c>
      <c r="J252" s="90"/>
    </row>
    <row r="253" spans="1:10" ht="30" customHeight="1" x14ac:dyDescent="0.15">
      <c r="A253" s="74" t="str">
        <f>IF(E253="","",IF(E252="",INDEX(Sheet1!$AC:$AC,INT((ROWS($A$10:$A253)+1)/2)+1)&amp;"","〃"))</f>
        <v/>
      </c>
      <c r="B253" s="74" t="str">
        <f>IF(E253="","",IF(E252="",INDEX(Sheet1!$B:$B,INT((ROWS($A$10:$A253)+1)/2)+1)&amp;"","〃"))</f>
        <v/>
      </c>
      <c r="C253" s="74" t="str">
        <f>IF(E253="","",IF(E252="",INDEX(Sheet1!$CN:$CN,INT((ROWS($A$10:$A253)+1)/2)+1)&amp;"","〃"))</f>
        <v/>
      </c>
      <c r="D253" s="76" t="str">
        <f>IF(E253="","",IF(E252="",IF(INDEX(Sheet1!$N:$N,INT((ROWS($A$10:$A253)+1)/2)+1)="","",INDEX(Sheet1!$N:$N,INT((ROWS($A$10:$A253)+1)/2)+1)),"〃"))</f>
        <v/>
      </c>
      <c r="E253" s="74" t="str">
        <f>IF(INDEX(Sheet1!$BA:$BA,INT((ROWS($A$10:$A253)+1)/2)+1)&lt;&gt;"","わな猟","")</f>
        <v/>
      </c>
      <c r="F253" s="77" t="str">
        <f>IF(E253="","",INDEX(Sheet1!$BC:$BC,INT((ROWS($A$10:$A253)+1)/2)+1)&amp;"")</f>
        <v/>
      </c>
      <c r="G253" s="76" t="str">
        <f>IF(E253="","",IF(INDEX(Sheet1!$BM:$BM,INT((ROWS($A$10:$A253)+1)/2)+1)="","",INDEX(Sheet1!$BM:$BM,INT((ROWS($A$10:$A253)+1)/2)+1)))</f>
        <v/>
      </c>
      <c r="H253" s="78"/>
      <c r="I253" s="73"/>
      <c r="J253" s="90"/>
    </row>
    <row r="254" spans="1:10" s="71" customFormat="1" ht="30" customHeight="1" x14ac:dyDescent="0.15">
      <c r="A254" s="74" t="str">
        <f>IF(AND(INDEX(Sheet1!$AM:$AM,INT((ROWS($A$10:$A254)+1)/2)+1)="",INDEX(Sheet1!$BA:$BA,INT((ROWS($A$10:$A254)+1)/2)+1)&lt;&gt;""),"",INDEX(Sheet1!$AC:$AC,INT((ROWS($A$10:$A254)+1)/2)+1)&amp;"")</f>
        <v/>
      </c>
      <c r="B254" s="74" t="str">
        <f>IF(AND(INDEX(Sheet1!$AM:$AM,INT((ROWS($A$10:$A254)+1)/2)+1)="",INDEX(Sheet1!$BA:$BA,INT((ROWS($A$10:$A254)+1)/2)+1)&lt;&gt;""),"",INDEX(Sheet1!$B:$B,INT((ROWS($A$10:$A254)+1)/2)+1)&amp;"")</f>
        <v/>
      </c>
      <c r="C254" s="74" t="str">
        <f>IF(AND(INDEX(Sheet1!$AM:$AM,INT((ROWS($A$10:$A254)+1)/2)+1)="",INDEX(Sheet1!$BA:$BA,INT((ROWS($A$10:$A254)+1)/2)+1)&lt;&gt;""),"",INDEX(Sheet1!$CN:$CN,INT((ROWS($A$10:$A254)+1)/2)+1)&amp;"")</f>
        <v/>
      </c>
      <c r="D254" s="76" t="str">
        <f>IF(OR(AND(INDEX(Sheet1!$AM:$AM,INT((ROWS($A$10:$A254)+1)/2)+1)="",INDEX(Sheet1!$BA:$BA,INT((ROWS($A$10:$A254)+1)/2)+1)&lt;&gt;""),INDEX(Sheet1!$N:$N,INT((ROWS($A$10:$A254)+1)/2)+1)=""),"",INDEX(Sheet1!$N:$N,INT((ROWS($A$10:$A254)+1)/2)+1))</f>
        <v/>
      </c>
      <c r="E254" s="74" t="str">
        <f>IF(INDEX(Sheet1!$AM:$AM,INT((ROWS($A$10:$A254)+1)/2)+1)&lt;&gt;"","第一種","")</f>
        <v/>
      </c>
      <c r="F254" s="77" t="str">
        <f>IF(E254="","",INDEX(Sheet1!$AO:$AO,INT((ROWS($A$10:$A254)+1)/2)+1)&amp;"")</f>
        <v/>
      </c>
      <c r="G254" s="76" t="str">
        <f>IF(OR(E254="",INDEX(Sheet1!$AY:$AY,INT((ROWS($A$10:$A254)+1)/2)+1)=""),"",INDEX(Sheet1!$AY:$AY,INT((ROWS($A$10:$A254)+1)/2)+1))</f>
        <v/>
      </c>
      <c r="H254" s="74" t="str">
        <f>IF(INDEX(Sheet1!$AD:$AD,INT((ROWS($A$10:$A254)+1)/2)+1)="","",INDEX(Sheet1!$AD:$AD,INT((ROWS($A$10:$A254)+1)/2)+1))</f>
        <v/>
      </c>
      <c r="I254" s="76" t="str">
        <f>IF(INDEX(Sheet1!$AK:$AK,INT((ROWS($A$10:$A254)+1)/2)+1)="","",INDEX(Sheet1!$AK:$AK,INT((ROWS($A$10:$A254)+1)/2)+1))</f>
        <v/>
      </c>
      <c r="J254" s="90"/>
    </row>
    <row r="255" spans="1:10" ht="30" customHeight="1" x14ac:dyDescent="0.15">
      <c r="A255" s="74" t="str">
        <f>IF(E255="","",IF(E254="",INDEX(Sheet1!$AC:$AC,INT((ROWS($A$10:$A255)+1)/2)+1)&amp;"","〃"))</f>
        <v/>
      </c>
      <c r="B255" s="74" t="str">
        <f>IF(E255="","",IF(E254="",INDEX(Sheet1!$B:$B,INT((ROWS($A$10:$A255)+1)/2)+1)&amp;"","〃"))</f>
        <v/>
      </c>
      <c r="C255" s="74" t="str">
        <f>IF(E255="","",IF(E254="",INDEX(Sheet1!$CN:$CN,INT((ROWS($A$10:$A255)+1)/2)+1)&amp;"","〃"))</f>
        <v/>
      </c>
      <c r="D255" s="76" t="str">
        <f>IF(E255="","",IF(E254="",IF(INDEX(Sheet1!$N:$N,INT((ROWS($A$10:$A255)+1)/2)+1)="","",INDEX(Sheet1!$N:$N,INT((ROWS($A$10:$A255)+1)/2)+1)),"〃"))</f>
        <v/>
      </c>
      <c r="E255" s="74" t="str">
        <f>IF(INDEX(Sheet1!$BA:$BA,INT((ROWS($A$10:$A255)+1)/2)+1)&lt;&gt;"","わな猟","")</f>
        <v/>
      </c>
      <c r="F255" s="77" t="str">
        <f>IF(E255="","",INDEX(Sheet1!$BC:$BC,INT((ROWS($A$10:$A255)+1)/2)+1)&amp;"")</f>
        <v/>
      </c>
      <c r="G255" s="76" t="str">
        <f>IF(E255="","",IF(INDEX(Sheet1!$BM:$BM,INT((ROWS($A$10:$A255)+1)/2)+1)="","",INDEX(Sheet1!$BM:$BM,INT((ROWS($A$10:$A255)+1)/2)+1)))</f>
        <v/>
      </c>
      <c r="H255" s="78"/>
      <c r="I255" s="73"/>
      <c r="J255" s="90"/>
    </row>
    <row r="256" spans="1:10" s="71" customFormat="1" ht="30" customHeight="1" x14ac:dyDescent="0.15">
      <c r="A256" s="74" t="str">
        <f>IF(AND(INDEX(Sheet1!$AM:$AM,INT((ROWS($A$10:$A256)+1)/2)+1)="",INDEX(Sheet1!$BA:$BA,INT((ROWS($A$10:$A256)+1)/2)+1)&lt;&gt;""),"",INDEX(Sheet1!$AC:$AC,INT((ROWS($A$10:$A256)+1)/2)+1)&amp;"")</f>
        <v/>
      </c>
      <c r="B256" s="74" t="str">
        <f>IF(AND(INDEX(Sheet1!$AM:$AM,INT((ROWS($A$10:$A256)+1)/2)+1)="",INDEX(Sheet1!$BA:$BA,INT((ROWS($A$10:$A256)+1)/2)+1)&lt;&gt;""),"",INDEX(Sheet1!$B:$B,INT((ROWS($A$10:$A256)+1)/2)+1)&amp;"")</f>
        <v/>
      </c>
      <c r="C256" s="74" t="str">
        <f>IF(AND(INDEX(Sheet1!$AM:$AM,INT((ROWS($A$10:$A256)+1)/2)+1)="",INDEX(Sheet1!$BA:$BA,INT((ROWS($A$10:$A256)+1)/2)+1)&lt;&gt;""),"",INDEX(Sheet1!$CN:$CN,INT((ROWS($A$10:$A256)+1)/2)+1)&amp;"")</f>
        <v/>
      </c>
      <c r="D256" s="76" t="str">
        <f>IF(OR(AND(INDEX(Sheet1!$AM:$AM,INT((ROWS($A$10:$A256)+1)/2)+1)="",INDEX(Sheet1!$BA:$BA,INT((ROWS($A$10:$A256)+1)/2)+1)&lt;&gt;""),INDEX(Sheet1!$N:$N,INT((ROWS($A$10:$A256)+1)/2)+1)=""),"",INDEX(Sheet1!$N:$N,INT((ROWS($A$10:$A256)+1)/2)+1))</f>
        <v/>
      </c>
      <c r="E256" s="74" t="str">
        <f>IF(INDEX(Sheet1!$AM:$AM,INT((ROWS($A$10:$A256)+1)/2)+1)&lt;&gt;"","第一種","")</f>
        <v/>
      </c>
      <c r="F256" s="77" t="str">
        <f>IF(E256="","",INDEX(Sheet1!$AO:$AO,INT((ROWS($A$10:$A256)+1)/2)+1)&amp;"")</f>
        <v/>
      </c>
      <c r="G256" s="76" t="str">
        <f>IF(OR(E256="",INDEX(Sheet1!$AY:$AY,INT((ROWS($A$10:$A256)+1)/2)+1)=""),"",INDEX(Sheet1!$AY:$AY,INT((ROWS($A$10:$A256)+1)/2)+1))</f>
        <v/>
      </c>
      <c r="H256" s="74" t="str">
        <f>IF(INDEX(Sheet1!$AD:$AD,INT((ROWS($A$10:$A256)+1)/2)+1)="","",INDEX(Sheet1!$AD:$AD,INT((ROWS($A$10:$A256)+1)/2)+1))</f>
        <v/>
      </c>
      <c r="I256" s="76" t="str">
        <f>IF(INDEX(Sheet1!$AK:$AK,INT((ROWS($A$10:$A256)+1)/2)+1)="","",INDEX(Sheet1!$AK:$AK,INT((ROWS($A$10:$A256)+1)/2)+1))</f>
        <v/>
      </c>
      <c r="J256" s="90"/>
    </row>
    <row r="257" spans="1:10" ht="30" customHeight="1" x14ac:dyDescent="0.15">
      <c r="A257" s="74" t="str">
        <f>IF(E257="","",IF(E256="",INDEX(Sheet1!$AC:$AC,INT((ROWS($A$10:$A257)+1)/2)+1)&amp;"","〃"))</f>
        <v/>
      </c>
      <c r="B257" s="74" t="str">
        <f>IF(E257="","",IF(E256="",INDEX(Sheet1!$B:$B,INT((ROWS($A$10:$A257)+1)/2)+1)&amp;"","〃"))</f>
        <v/>
      </c>
      <c r="C257" s="74" t="str">
        <f>IF(E257="","",IF(E256="",INDEX(Sheet1!$CN:$CN,INT((ROWS($A$10:$A257)+1)/2)+1)&amp;"","〃"))</f>
        <v/>
      </c>
      <c r="D257" s="76" t="str">
        <f>IF(E257="","",IF(E256="",IF(INDEX(Sheet1!$N:$N,INT((ROWS($A$10:$A257)+1)/2)+1)="","",INDEX(Sheet1!$N:$N,INT((ROWS($A$10:$A257)+1)/2)+1)),"〃"))</f>
        <v/>
      </c>
      <c r="E257" s="74" t="str">
        <f>IF(INDEX(Sheet1!$BA:$BA,INT((ROWS($A$10:$A257)+1)/2)+1)&lt;&gt;"","わな猟","")</f>
        <v/>
      </c>
      <c r="F257" s="77" t="str">
        <f>IF(E257="","",INDEX(Sheet1!$BC:$BC,INT((ROWS($A$10:$A257)+1)/2)+1)&amp;"")</f>
        <v/>
      </c>
      <c r="G257" s="76" t="str">
        <f>IF(E257="","",IF(INDEX(Sheet1!$BM:$BM,INT((ROWS($A$10:$A257)+1)/2)+1)="","",INDEX(Sheet1!$BM:$BM,INT((ROWS($A$10:$A257)+1)/2)+1)))</f>
        <v/>
      </c>
      <c r="H257" s="78"/>
      <c r="I257" s="73"/>
      <c r="J257" s="90"/>
    </row>
    <row r="258" spans="1:10" s="71" customFormat="1" ht="30" customHeight="1" x14ac:dyDescent="0.15">
      <c r="A258" s="74" t="str">
        <f>IF(AND(INDEX(Sheet1!$AM:$AM,INT((ROWS($A$10:$A258)+1)/2)+1)="",INDEX(Sheet1!$BA:$BA,INT((ROWS($A$10:$A258)+1)/2)+1)&lt;&gt;""),"",INDEX(Sheet1!$AC:$AC,INT((ROWS($A$10:$A258)+1)/2)+1)&amp;"")</f>
        <v/>
      </c>
      <c r="B258" s="74" t="str">
        <f>IF(AND(INDEX(Sheet1!$AM:$AM,INT((ROWS($A$10:$A258)+1)/2)+1)="",INDEX(Sheet1!$BA:$BA,INT((ROWS($A$10:$A258)+1)/2)+1)&lt;&gt;""),"",INDEX(Sheet1!$B:$B,INT((ROWS($A$10:$A258)+1)/2)+1)&amp;"")</f>
        <v/>
      </c>
      <c r="C258" s="74" t="str">
        <f>IF(AND(INDEX(Sheet1!$AM:$AM,INT((ROWS($A$10:$A258)+1)/2)+1)="",INDEX(Sheet1!$BA:$BA,INT((ROWS($A$10:$A258)+1)/2)+1)&lt;&gt;""),"",INDEX(Sheet1!$CN:$CN,INT((ROWS($A$10:$A258)+1)/2)+1)&amp;"")</f>
        <v/>
      </c>
      <c r="D258" s="76" t="str">
        <f>IF(OR(AND(INDEX(Sheet1!$AM:$AM,INT((ROWS($A$10:$A258)+1)/2)+1)="",INDEX(Sheet1!$BA:$BA,INT((ROWS($A$10:$A258)+1)/2)+1)&lt;&gt;""),INDEX(Sheet1!$N:$N,INT((ROWS($A$10:$A258)+1)/2)+1)=""),"",INDEX(Sheet1!$N:$N,INT((ROWS($A$10:$A258)+1)/2)+1))</f>
        <v/>
      </c>
      <c r="E258" s="74" t="str">
        <f>IF(INDEX(Sheet1!$AM:$AM,INT((ROWS($A$10:$A258)+1)/2)+1)&lt;&gt;"","第一種","")</f>
        <v/>
      </c>
      <c r="F258" s="77" t="str">
        <f>IF(E258="","",INDEX(Sheet1!$AO:$AO,INT((ROWS($A$10:$A258)+1)/2)+1)&amp;"")</f>
        <v/>
      </c>
      <c r="G258" s="76" t="str">
        <f>IF(OR(E258="",INDEX(Sheet1!$AY:$AY,INT((ROWS($A$10:$A258)+1)/2)+1)=""),"",INDEX(Sheet1!$AY:$AY,INT((ROWS($A$10:$A258)+1)/2)+1))</f>
        <v/>
      </c>
      <c r="H258" s="74" t="str">
        <f>IF(INDEX(Sheet1!$AD:$AD,INT((ROWS($A$10:$A258)+1)/2)+1)="","",INDEX(Sheet1!$AD:$AD,INT((ROWS($A$10:$A258)+1)/2)+1))</f>
        <v/>
      </c>
      <c r="I258" s="76" t="str">
        <f>IF(INDEX(Sheet1!$AK:$AK,INT((ROWS($A$10:$A258)+1)/2)+1)="","",INDEX(Sheet1!$AK:$AK,INT((ROWS($A$10:$A258)+1)/2)+1))</f>
        <v/>
      </c>
      <c r="J258" s="90"/>
    </row>
    <row r="259" spans="1:10" ht="30" customHeight="1" x14ac:dyDescent="0.15">
      <c r="A259" s="74" t="str">
        <f>IF(E259="","",IF(E258="",INDEX(Sheet1!$AC:$AC,INT((ROWS($A$10:$A259)+1)/2)+1)&amp;"","〃"))</f>
        <v/>
      </c>
      <c r="B259" s="74" t="str">
        <f>IF(E259="","",IF(E258="",INDEX(Sheet1!$B:$B,INT((ROWS($A$10:$A259)+1)/2)+1)&amp;"","〃"))</f>
        <v/>
      </c>
      <c r="C259" s="74" t="str">
        <f>IF(E259="","",IF(E258="",INDEX(Sheet1!$CN:$CN,INT((ROWS($A$10:$A259)+1)/2)+1)&amp;"","〃"))</f>
        <v/>
      </c>
      <c r="D259" s="76" t="str">
        <f>IF(E259="","",IF(E258="",IF(INDEX(Sheet1!$N:$N,INT((ROWS($A$10:$A259)+1)/2)+1)="","",INDEX(Sheet1!$N:$N,INT((ROWS($A$10:$A259)+1)/2)+1)),"〃"))</f>
        <v/>
      </c>
      <c r="E259" s="74" t="str">
        <f>IF(INDEX(Sheet1!$BA:$BA,INT((ROWS($A$10:$A259)+1)/2)+1)&lt;&gt;"","わな猟","")</f>
        <v/>
      </c>
      <c r="F259" s="77" t="str">
        <f>IF(E259="","",INDEX(Sheet1!$BC:$BC,INT((ROWS($A$10:$A259)+1)/2)+1)&amp;"")</f>
        <v/>
      </c>
      <c r="G259" s="76" t="str">
        <f>IF(E259="","",IF(INDEX(Sheet1!$BM:$BM,INT((ROWS($A$10:$A259)+1)/2)+1)="","",INDEX(Sheet1!$BM:$BM,INT((ROWS($A$10:$A259)+1)/2)+1)))</f>
        <v/>
      </c>
      <c r="H259" s="78"/>
      <c r="I259" s="73"/>
      <c r="J259" s="90"/>
    </row>
    <row r="260" spans="1:10" s="71" customFormat="1" ht="30" customHeight="1" x14ac:dyDescent="0.15">
      <c r="A260" s="74" t="str">
        <f>IF(AND(INDEX(Sheet1!$AM:$AM,INT((ROWS($A$10:$A260)+1)/2)+1)="",INDEX(Sheet1!$BA:$BA,INT((ROWS($A$10:$A260)+1)/2)+1)&lt;&gt;""),"",INDEX(Sheet1!$AC:$AC,INT((ROWS($A$10:$A260)+1)/2)+1)&amp;"")</f>
        <v/>
      </c>
      <c r="B260" s="74" t="str">
        <f>IF(AND(INDEX(Sheet1!$AM:$AM,INT((ROWS($A$10:$A260)+1)/2)+1)="",INDEX(Sheet1!$BA:$BA,INT((ROWS($A$10:$A260)+1)/2)+1)&lt;&gt;""),"",INDEX(Sheet1!$B:$B,INT((ROWS($A$10:$A260)+1)/2)+1)&amp;"")</f>
        <v/>
      </c>
      <c r="C260" s="74" t="str">
        <f>IF(AND(INDEX(Sheet1!$AM:$AM,INT((ROWS($A$10:$A260)+1)/2)+1)="",INDEX(Sheet1!$BA:$BA,INT((ROWS($A$10:$A260)+1)/2)+1)&lt;&gt;""),"",INDEX(Sheet1!$CN:$CN,INT((ROWS($A$10:$A260)+1)/2)+1)&amp;"")</f>
        <v/>
      </c>
      <c r="D260" s="76" t="str">
        <f>IF(OR(AND(INDEX(Sheet1!$AM:$AM,INT((ROWS($A$10:$A260)+1)/2)+1)="",INDEX(Sheet1!$BA:$BA,INT((ROWS($A$10:$A260)+1)/2)+1)&lt;&gt;""),INDEX(Sheet1!$N:$N,INT((ROWS($A$10:$A260)+1)/2)+1)=""),"",INDEX(Sheet1!$N:$N,INT((ROWS($A$10:$A260)+1)/2)+1))</f>
        <v/>
      </c>
      <c r="E260" s="74" t="str">
        <f>IF(INDEX(Sheet1!$AM:$AM,INT((ROWS($A$10:$A260)+1)/2)+1)&lt;&gt;"","第一種","")</f>
        <v/>
      </c>
      <c r="F260" s="77" t="str">
        <f>IF(E260="","",INDEX(Sheet1!$AO:$AO,INT((ROWS($A$10:$A260)+1)/2)+1)&amp;"")</f>
        <v/>
      </c>
      <c r="G260" s="76" t="str">
        <f>IF(OR(E260="",INDEX(Sheet1!$AY:$AY,INT((ROWS($A$10:$A260)+1)/2)+1)=""),"",INDEX(Sheet1!$AY:$AY,INT((ROWS($A$10:$A260)+1)/2)+1))</f>
        <v/>
      </c>
      <c r="H260" s="74" t="str">
        <f>IF(INDEX(Sheet1!$AD:$AD,INT((ROWS($A$10:$A260)+1)/2)+1)="","",INDEX(Sheet1!$AD:$AD,INT((ROWS($A$10:$A260)+1)/2)+1))</f>
        <v/>
      </c>
      <c r="I260" s="76" t="str">
        <f>IF(INDEX(Sheet1!$AK:$AK,INT((ROWS($A$10:$A260)+1)/2)+1)="","",INDEX(Sheet1!$AK:$AK,INT((ROWS($A$10:$A260)+1)/2)+1))</f>
        <v/>
      </c>
      <c r="J260" s="90"/>
    </row>
    <row r="261" spans="1:10" ht="30" customHeight="1" x14ac:dyDescent="0.15">
      <c r="A261" s="74" t="str">
        <f>IF(E261="","",IF(E260="",INDEX(Sheet1!$AC:$AC,INT((ROWS($A$10:$A261)+1)/2)+1)&amp;"","〃"))</f>
        <v/>
      </c>
      <c r="B261" s="74" t="str">
        <f>IF(E261="","",IF(E260="",INDEX(Sheet1!$B:$B,INT((ROWS($A$10:$A261)+1)/2)+1)&amp;"","〃"))</f>
        <v/>
      </c>
      <c r="C261" s="74" t="str">
        <f>IF(E261="","",IF(E260="",INDEX(Sheet1!$CN:$CN,INT((ROWS($A$10:$A261)+1)/2)+1)&amp;"","〃"))</f>
        <v/>
      </c>
      <c r="D261" s="76" t="str">
        <f>IF(E261="","",IF(E260="",IF(INDEX(Sheet1!$N:$N,INT((ROWS($A$10:$A261)+1)/2)+1)="","",INDEX(Sheet1!$N:$N,INT((ROWS($A$10:$A261)+1)/2)+1)),"〃"))</f>
        <v/>
      </c>
      <c r="E261" s="74" t="str">
        <f>IF(INDEX(Sheet1!$BA:$BA,INT((ROWS($A$10:$A261)+1)/2)+1)&lt;&gt;"","わな猟","")</f>
        <v/>
      </c>
      <c r="F261" s="77" t="str">
        <f>IF(E261="","",INDEX(Sheet1!$BC:$BC,INT((ROWS($A$10:$A261)+1)/2)+1)&amp;"")</f>
        <v/>
      </c>
      <c r="G261" s="76" t="str">
        <f>IF(E261="","",IF(INDEX(Sheet1!$BM:$BM,INT((ROWS($A$10:$A261)+1)/2)+1)="","",INDEX(Sheet1!$BM:$BM,INT((ROWS($A$10:$A261)+1)/2)+1)))</f>
        <v/>
      </c>
      <c r="H261" s="78"/>
      <c r="I261" s="73"/>
      <c r="J261" s="90"/>
    </row>
    <row r="262" spans="1:10" s="71" customFormat="1" ht="30" customHeight="1" x14ac:dyDescent="0.15">
      <c r="A262" s="74" t="str">
        <f>IF(AND(INDEX(Sheet1!$AM:$AM,INT((ROWS($A$10:$A262)+1)/2)+1)="",INDEX(Sheet1!$BA:$BA,INT((ROWS($A$10:$A262)+1)/2)+1)&lt;&gt;""),"",INDEX(Sheet1!$AC:$AC,INT((ROWS($A$10:$A262)+1)/2)+1)&amp;"")</f>
        <v/>
      </c>
      <c r="B262" s="74" t="str">
        <f>IF(AND(INDEX(Sheet1!$AM:$AM,INT((ROWS($A$10:$A262)+1)/2)+1)="",INDEX(Sheet1!$BA:$BA,INT((ROWS($A$10:$A262)+1)/2)+1)&lt;&gt;""),"",INDEX(Sheet1!$B:$B,INT((ROWS($A$10:$A262)+1)/2)+1)&amp;"")</f>
        <v/>
      </c>
      <c r="C262" s="74" t="str">
        <f>IF(AND(INDEX(Sheet1!$AM:$AM,INT((ROWS($A$10:$A262)+1)/2)+1)="",INDEX(Sheet1!$BA:$BA,INT((ROWS($A$10:$A262)+1)/2)+1)&lt;&gt;""),"",INDEX(Sheet1!$CN:$CN,INT((ROWS($A$10:$A262)+1)/2)+1)&amp;"")</f>
        <v/>
      </c>
      <c r="D262" s="76" t="str">
        <f>IF(OR(AND(INDEX(Sheet1!$AM:$AM,INT((ROWS($A$10:$A262)+1)/2)+1)="",INDEX(Sheet1!$BA:$BA,INT((ROWS($A$10:$A262)+1)/2)+1)&lt;&gt;""),INDEX(Sheet1!$N:$N,INT((ROWS($A$10:$A262)+1)/2)+1)=""),"",INDEX(Sheet1!$N:$N,INT((ROWS($A$10:$A262)+1)/2)+1))</f>
        <v/>
      </c>
      <c r="E262" s="74" t="str">
        <f>IF(INDEX(Sheet1!$AM:$AM,INT((ROWS($A$10:$A262)+1)/2)+1)&lt;&gt;"","第一種","")</f>
        <v/>
      </c>
      <c r="F262" s="77" t="str">
        <f>IF(E262="","",INDEX(Sheet1!$AO:$AO,INT((ROWS($A$10:$A262)+1)/2)+1)&amp;"")</f>
        <v/>
      </c>
      <c r="G262" s="76" t="str">
        <f>IF(OR(E262="",INDEX(Sheet1!$AY:$AY,INT((ROWS($A$10:$A262)+1)/2)+1)=""),"",INDEX(Sheet1!$AY:$AY,INT((ROWS($A$10:$A262)+1)/2)+1))</f>
        <v/>
      </c>
      <c r="H262" s="74" t="str">
        <f>IF(INDEX(Sheet1!$AD:$AD,INT((ROWS($A$10:$A262)+1)/2)+1)="","",INDEX(Sheet1!$AD:$AD,INT((ROWS($A$10:$A262)+1)/2)+1))</f>
        <v/>
      </c>
      <c r="I262" s="76" t="str">
        <f>IF(INDEX(Sheet1!$AK:$AK,INT((ROWS($A$10:$A262)+1)/2)+1)="","",INDEX(Sheet1!$AK:$AK,INT((ROWS($A$10:$A262)+1)/2)+1))</f>
        <v/>
      </c>
      <c r="J262" s="90"/>
    </row>
    <row r="263" spans="1:10" ht="30" customHeight="1" x14ac:dyDescent="0.15">
      <c r="A263" s="74" t="str">
        <f>IF(E263="","",IF(E262="",INDEX(Sheet1!$AC:$AC,INT((ROWS($A$10:$A263)+1)/2)+1)&amp;"","〃"))</f>
        <v/>
      </c>
      <c r="B263" s="74" t="str">
        <f>IF(E263="","",IF(E262="",INDEX(Sheet1!$B:$B,INT((ROWS($A$10:$A263)+1)/2)+1)&amp;"","〃"))</f>
        <v/>
      </c>
      <c r="C263" s="74" t="str">
        <f>IF(E263="","",IF(E262="",INDEX(Sheet1!$CN:$CN,INT((ROWS($A$10:$A263)+1)/2)+1)&amp;"","〃"))</f>
        <v/>
      </c>
      <c r="D263" s="76" t="str">
        <f>IF(E263="","",IF(E262="",IF(INDEX(Sheet1!$N:$N,INT((ROWS($A$10:$A263)+1)/2)+1)="","",INDEX(Sheet1!$N:$N,INT((ROWS($A$10:$A263)+1)/2)+1)),"〃"))</f>
        <v/>
      </c>
      <c r="E263" s="74" t="str">
        <f>IF(INDEX(Sheet1!$BA:$BA,INT((ROWS($A$10:$A263)+1)/2)+1)&lt;&gt;"","わな猟","")</f>
        <v/>
      </c>
      <c r="F263" s="77" t="str">
        <f>IF(E263="","",INDEX(Sheet1!$BC:$BC,INT((ROWS($A$10:$A263)+1)/2)+1)&amp;"")</f>
        <v/>
      </c>
      <c r="G263" s="76" t="str">
        <f>IF(E263="","",IF(INDEX(Sheet1!$BM:$BM,INT((ROWS($A$10:$A263)+1)/2)+1)="","",INDEX(Sheet1!$BM:$BM,INT((ROWS($A$10:$A263)+1)/2)+1)))</f>
        <v/>
      </c>
      <c r="H263" s="78"/>
      <c r="I263" s="73"/>
      <c r="J263" s="90"/>
    </row>
    <row r="264" spans="1:10" s="71" customFormat="1" ht="30" customHeight="1" x14ac:dyDescent="0.15">
      <c r="A264" s="74" t="str">
        <f>IF(AND(INDEX(Sheet1!$AM:$AM,INT((ROWS($A$10:$A264)+1)/2)+1)="",INDEX(Sheet1!$BA:$BA,INT((ROWS($A$10:$A264)+1)/2)+1)&lt;&gt;""),"",INDEX(Sheet1!$AC:$AC,INT((ROWS($A$10:$A264)+1)/2)+1)&amp;"")</f>
        <v/>
      </c>
      <c r="B264" s="74" t="str">
        <f>IF(AND(INDEX(Sheet1!$AM:$AM,INT((ROWS($A$10:$A264)+1)/2)+1)="",INDEX(Sheet1!$BA:$BA,INT((ROWS($A$10:$A264)+1)/2)+1)&lt;&gt;""),"",INDEX(Sheet1!$B:$B,INT((ROWS($A$10:$A264)+1)/2)+1)&amp;"")</f>
        <v/>
      </c>
      <c r="C264" s="74" t="str">
        <f>IF(AND(INDEX(Sheet1!$AM:$AM,INT((ROWS($A$10:$A264)+1)/2)+1)="",INDEX(Sheet1!$BA:$BA,INT((ROWS($A$10:$A264)+1)/2)+1)&lt;&gt;""),"",INDEX(Sheet1!$CN:$CN,INT((ROWS($A$10:$A264)+1)/2)+1)&amp;"")</f>
        <v/>
      </c>
      <c r="D264" s="76" t="str">
        <f>IF(OR(AND(INDEX(Sheet1!$AM:$AM,INT((ROWS($A$10:$A264)+1)/2)+1)="",INDEX(Sheet1!$BA:$BA,INT((ROWS($A$10:$A264)+1)/2)+1)&lt;&gt;""),INDEX(Sheet1!$N:$N,INT((ROWS($A$10:$A264)+1)/2)+1)=""),"",INDEX(Sheet1!$N:$N,INT((ROWS($A$10:$A264)+1)/2)+1))</f>
        <v/>
      </c>
      <c r="E264" s="74" t="str">
        <f>IF(INDEX(Sheet1!$AM:$AM,INT((ROWS($A$10:$A264)+1)/2)+1)&lt;&gt;"","第一種","")</f>
        <v/>
      </c>
      <c r="F264" s="77" t="str">
        <f>IF(E264="","",INDEX(Sheet1!$AO:$AO,INT((ROWS($A$10:$A264)+1)/2)+1)&amp;"")</f>
        <v/>
      </c>
      <c r="G264" s="76" t="str">
        <f>IF(OR(E264="",INDEX(Sheet1!$AY:$AY,INT((ROWS($A$10:$A264)+1)/2)+1)=""),"",INDEX(Sheet1!$AY:$AY,INT((ROWS($A$10:$A264)+1)/2)+1))</f>
        <v/>
      </c>
      <c r="H264" s="74" t="str">
        <f>IF(INDEX(Sheet1!$AD:$AD,INT((ROWS($A$10:$A264)+1)/2)+1)="","",INDEX(Sheet1!$AD:$AD,INT((ROWS($A$10:$A264)+1)/2)+1))</f>
        <v/>
      </c>
      <c r="I264" s="76" t="str">
        <f>IF(INDEX(Sheet1!$AK:$AK,INT((ROWS($A$10:$A264)+1)/2)+1)="","",INDEX(Sheet1!$AK:$AK,INT((ROWS($A$10:$A264)+1)/2)+1))</f>
        <v/>
      </c>
      <c r="J264" s="90"/>
    </row>
    <row r="265" spans="1:10" ht="30" customHeight="1" x14ac:dyDescent="0.15">
      <c r="A265" s="74" t="str">
        <f>IF(E265="","",IF(E264="",INDEX(Sheet1!$AC:$AC,INT((ROWS($A$10:$A265)+1)/2)+1)&amp;"","〃"))</f>
        <v/>
      </c>
      <c r="B265" s="74" t="str">
        <f>IF(E265="","",IF(E264="",INDEX(Sheet1!$B:$B,INT((ROWS($A$10:$A265)+1)/2)+1)&amp;"","〃"))</f>
        <v/>
      </c>
      <c r="C265" s="74" t="str">
        <f>IF(E265="","",IF(E264="",INDEX(Sheet1!$CN:$CN,INT((ROWS($A$10:$A265)+1)/2)+1)&amp;"","〃"))</f>
        <v/>
      </c>
      <c r="D265" s="76" t="str">
        <f>IF(E265="","",IF(E264="",IF(INDEX(Sheet1!$N:$N,INT((ROWS($A$10:$A265)+1)/2)+1)="","",INDEX(Sheet1!$N:$N,INT((ROWS($A$10:$A265)+1)/2)+1)),"〃"))</f>
        <v/>
      </c>
      <c r="E265" s="74" t="str">
        <f>IF(INDEX(Sheet1!$BA:$BA,INT((ROWS($A$10:$A265)+1)/2)+1)&lt;&gt;"","わな猟","")</f>
        <v/>
      </c>
      <c r="F265" s="77" t="str">
        <f>IF(E265="","",INDEX(Sheet1!$BC:$BC,INT((ROWS($A$10:$A265)+1)/2)+1)&amp;"")</f>
        <v/>
      </c>
      <c r="G265" s="76" t="str">
        <f>IF(E265="","",IF(INDEX(Sheet1!$BM:$BM,INT((ROWS($A$10:$A265)+1)/2)+1)="","",INDEX(Sheet1!$BM:$BM,INT((ROWS($A$10:$A265)+1)/2)+1)))</f>
        <v/>
      </c>
      <c r="H265" s="78"/>
      <c r="I265" s="73"/>
      <c r="J265" s="90"/>
    </row>
    <row r="266" spans="1:10" s="71" customFormat="1" ht="30" customHeight="1" x14ac:dyDescent="0.15">
      <c r="A266" s="74" t="str">
        <f>IF(AND(INDEX(Sheet1!$AM:$AM,INT((ROWS($A$10:$A266)+1)/2)+1)="",INDEX(Sheet1!$BA:$BA,INT((ROWS($A$10:$A266)+1)/2)+1)&lt;&gt;""),"",INDEX(Sheet1!$AC:$AC,INT((ROWS($A$10:$A266)+1)/2)+1)&amp;"")</f>
        <v/>
      </c>
      <c r="B266" s="74" t="str">
        <f>IF(AND(INDEX(Sheet1!$AM:$AM,INT((ROWS($A$10:$A266)+1)/2)+1)="",INDEX(Sheet1!$BA:$BA,INT((ROWS($A$10:$A266)+1)/2)+1)&lt;&gt;""),"",INDEX(Sheet1!$B:$B,INT((ROWS($A$10:$A266)+1)/2)+1)&amp;"")</f>
        <v/>
      </c>
      <c r="C266" s="74" t="str">
        <f>IF(AND(INDEX(Sheet1!$AM:$AM,INT((ROWS($A$10:$A266)+1)/2)+1)="",INDEX(Sheet1!$BA:$BA,INT((ROWS($A$10:$A266)+1)/2)+1)&lt;&gt;""),"",INDEX(Sheet1!$CN:$CN,INT((ROWS($A$10:$A266)+1)/2)+1)&amp;"")</f>
        <v/>
      </c>
      <c r="D266" s="76" t="str">
        <f>IF(OR(AND(INDEX(Sheet1!$AM:$AM,INT((ROWS($A$10:$A266)+1)/2)+1)="",INDEX(Sheet1!$BA:$BA,INT((ROWS($A$10:$A266)+1)/2)+1)&lt;&gt;""),INDEX(Sheet1!$N:$N,INT((ROWS($A$10:$A266)+1)/2)+1)=""),"",INDEX(Sheet1!$N:$N,INT((ROWS($A$10:$A266)+1)/2)+1))</f>
        <v/>
      </c>
      <c r="E266" s="74" t="str">
        <f>IF(INDEX(Sheet1!$AM:$AM,INT((ROWS($A$10:$A266)+1)/2)+1)&lt;&gt;"","第一種","")</f>
        <v/>
      </c>
      <c r="F266" s="77" t="str">
        <f>IF(E266="","",INDEX(Sheet1!$AO:$AO,INT((ROWS($A$10:$A266)+1)/2)+1)&amp;"")</f>
        <v/>
      </c>
      <c r="G266" s="76" t="str">
        <f>IF(OR(E266="",INDEX(Sheet1!$AY:$AY,INT((ROWS($A$10:$A266)+1)/2)+1)=""),"",INDEX(Sheet1!$AY:$AY,INT((ROWS($A$10:$A266)+1)/2)+1))</f>
        <v/>
      </c>
      <c r="H266" s="74" t="str">
        <f>IF(INDEX(Sheet1!$AD:$AD,INT((ROWS($A$10:$A266)+1)/2)+1)="","",INDEX(Sheet1!$AD:$AD,INT((ROWS($A$10:$A266)+1)/2)+1))</f>
        <v/>
      </c>
      <c r="I266" s="76" t="str">
        <f>IF(INDEX(Sheet1!$AK:$AK,INT((ROWS($A$10:$A266)+1)/2)+1)="","",INDEX(Sheet1!$AK:$AK,INT((ROWS($A$10:$A266)+1)/2)+1))</f>
        <v/>
      </c>
      <c r="J266" s="90"/>
    </row>
    <row r="267" spans="1:10" ht="30" customHeight="1" x14ac:dyDescent="0.15">
      <c r="A267" s="74" t="str">
        <f>IF(E267="","",IF(E266="",INDEX(Sheet1!$AC:$AC,INT((ROWS($A$10:$A267)+1)/2)+1)&amp;"","〃"))</f>
        <v/>
      </c>
      <c r="B267" s="74" t="str">
        <f>IF(E267="","",IF(E266="",INDEX(Sheet1!$B:$B,INT((ROWS($A$10:$A267)+1)/2)+1)&amp;"","〃"))</f>
        <v/>
      </c>
      <c r="C267" s="74" t="str">
        <f>IF(E267="","",IF(E266="",INDEX(Sheet1!$CN:$CN,INT((ROWS($A$10:$A267)+1)/2)+1)&amp;"","〃"))</f>
        <v/>
      </c>
      <c r="D267" s="76" t="str">
        <f>IF(E267="","",IF(E266="",IF(INDEX(Sheet1!$N:$N,INT((ROWS($A$10:$A267)+1)/2)+1)="","",INDEX(Sheet1!$N:$N,INT((ROWS($A$10:$A267)+1)/2)+1)),"〃"))</f>
        <v/>
      </c>
      <c r="E267" s="74" t="str">
        <f>IF(INDEX(Sheet1!$BA:$BA,INT((ROWS($A$10:$A267)+1)/2)+1)&lt;&gt;"","わな猟","")</f>
        <v/>
      </c>
      <c r="F267" s="77" t="str">
        <f>IF(E267="","",INDEX(Sheet1!$BC:$BC,INT((ROWS($A$10:$A267)+1)/2)+1)&amp;"")</f>
        <v/>
      </c>
      <c r="G267" s="76" t="str">
        <f>IF(E267="","",IF(INDEX(Sheet1!$BM:$BM,INT((ROWS($A$10:$A267)+1)/2)+1)="","",INDEX(Sheet1!$BM:$BM,INT((ROWS($A$10:$A267)+1)/2)+1)))</f>
        <v/>
      </c>
      <c r="H267" s="78"/>
      <c r="I267" s="73"/>
      <c r="J267" s="90"/>
    </row>
    <row r="268" spans="1:10" s="71" customFormat="1" ht="30" customHeight="1" x14ac:dyDescent="0.15">
      <c r="A268" s="74" t="str">
        <f>IF(AND(INDEX(Sheet1!$AM:$AM,INT((ROWS($A$10:$A268)+1)/2)+1)="",INDEX(Sheet1!$BA:$BA,INT((ROWS($A$10:$A268)+1)/2)+1)&lt;&gt;""),"",INDEX(Sheet1!$AC:$AC,INT((ROWS($A$10:$A268)+1)/2)+1)&amp;"")</f>
        <v/>
      </c>
      <c r="B268" s="74" t="str">
        <f>IF(AND(INDEX(Sheet1!$AM:$AM,INT((ROWS($A$10:$A268)+1)/2)+1)="",INDEX(Sheet1!$BA:$BA,INT((ROWS($A$10:$A268)+1)/2)+1)&lt;&gt;""),"",INDEX(Sheet1!$B:$B,INT((ROWS($A$10:$A268)+1)/2)+1)&amp;"")</f>
        <v/>
      </c>
      <c r="C268" s="74" t="str">
        <f>IF(AND(INDEX(Sheet1!$AM:$AM,INT((ROWS($A$10:$A268)+1)/2)+1)="",INDEX(Sheet1!$BA:$BA,INT((ROWS($A$10:$A268)+1)/2)+1)&lt;&gt;""),"",INDEX(Sheet1!$CN:$CN,INT((ROWS($A$10:$A268)+1)/2)+1)&amp;"")</f>
        <v/>
      </c>
      <c r="D268" s="76" t="str">
        <f>IF(OR(AND(INDEX(Sheet1!$AM:$AM,INT((ROWS($A$10:$A268)+1)/2)+1)="",INDEX(Sheet1!$BA:$BA,INT((ROWS($A$10:$A268)+1)/2)+1)&lt;&gt;""),INDEX(Sheet1!$N:$N,INT((ROWS($A$10:$A268)+1)/2)+1)=""),"",INDEX(Sheet1!$N:$N,INT((ROWS($A$10:$A268)+1)/2)+1))</f>
        <v/>
      </c>
      <c r="E268" s="74" t="str">
        <f>IF(INDEX(Sheet1!$AM:$AM,INT((ROWS($A$10:$A268)+1)/2)+1)&lt;&gt;"","第一種","")</f>
        <v/>
      </c>
      <c r="F268" s="77" t="str">
        <f>IF(E268="","",INDEX(Sheet1!$AO:$AO,INT((ROWS($A$10:$A268)+1)/2)+1)&amp;"")</f>
        <v/>
      </c>
      <c r="G268" s="76" t="str">
        <f>IF(OR(E268="",INDEX(Sheet1!$AY:$AY,INT((ROWS($A$10:$A268)+1)/2)+1)=""),"",INDEX(Sheet1!$AY:$AY,INT((ROWS($A$10:$A268)+1)/2)+1))</f>
        <v/>
      </c>
      <c r="H268" s="74" t="str">
        <f>IF(INDEX(Sheet1!$AD:$AD,INT((ROWS($A$10:$A268)+1)/2)+1)="","",INDEX(Sheet1!$AD:$AD,INT((ROWS($A$10:$A268)+1)/2)+1))</f>
        <v/>
      </c>
      <c r="I268" s="76" t="str">
        <f>IF(INDEX(Sheet1!$AK:$AK,INT((ROWS($A$10:$A268)+1)/2)+1)="","",INDEX(Sheet1!$AK:$AK,INT((ROWS($A$10:$A268)+1)/2)+1))</f>
        <v/>
      </c>
      <c r="J268" s="90"/>
    </row>
    <row r="269" spans="1:10" ht="30" customHeight="1" x14ac:dyDescent="0.15">
      <c r="A269" s="74" t="str">
        <f>IF(E269="","",IF(E268="",INDEX(Sheet1!$AC:$AC,INT((ROWS($A$10:$A269)+1)/2)+1)&amp;"","〃"))</f>
        <v/>
      </c>
      <c r="B269" s="74" t="str">
        <f>IF(E269="","",IF(E268="",INDEX(Sheet1!$B:$B,INT((ROWS($A$10:$A269)+1)/2)+1)&amp;"","〃"))</f>
        <v/>
      </c>
      <c r="C269" s="74" t="str">
        <f>IF(E269="","",IF(E268="",INDEX(Sheet1!$CN:$CN,INT((ROWS($A$10:$A269)+1)/2)+1)&amp;"","〃"))</f>
        <v/>
      </c>
      <c r="D269" s="76" t="str">
        <f>IF(E269="","",IF(E268="",IF(INDEX(Sheet1!$N:$N,INT((ROWS($A$10:$A269)+1)/2)+1)="","",INDEX(Sheet1!$N:$N,INT((ROWS($A$10:$A269)+1)/2)+1)),"〃"))</f>
        <v/>
      </c>
      <c r="E269" s="74" t="str">
        <f>IF(INDEX(Sheet1!$BA:$BA,INT((ROWS($A$10:$A269)+1)/2)+1)&lt;&gt;"","わな猟","")</f>
        <v/>
      </c>
      <c r="F269" s="77" t="str">
        <f>IF(E269="","",INDEX(Sheet1!$BC:$BC,INT((ROWS($A$10:$A269)+1)/2)+1)&amp;"")</f>
        <v/>
      </c>
      <c r="G269" s="76" t="str">
        <f>IF(E269="","",IF(INDEX(Sheet1!$BM:$BM,INT((ROWS($A$10:$A269)+1)/2)+1)="","",INDEX(Sheet1!$BM:$BM,INT((ROWS($A$10:$A269)+1)/2)+1)))</f>
        <v/>
      </c>
      <c r="H269" s="78"/>
      <c r="I269" s="73"/>
      <c r="J269" s="90"/>
    </row>
    <row r="270" spans="1:10" s="71" customFormat="1" ht="30" customHeight="1" x14ac:dyDescent="0.15">
      <c r="A270" s="74" t="str">
        <f>IF(AND(INDEX(Sheet1!$AM:$AM,INT((ROWS($A$10:$A270)+1)/2)+1)="",INDEX(Sheet1!$BA:$BA,INT((ROWS($A$10:$A270)+1)/2)+1)&lt;&gt;""),"",INDEX(Sheet1!$AC:$AC,INT((ROWS($A$10:$A270)+1)/2)+1)&amp;"")</f>
        <v/>
      </c>
      <c r="B270" s="74" t="str">
        <f>IF(AND(INDEX(Sheet1!$AM:$AM,INT((ROWS($A$10:$A270)+1)/2)+1)="",INDEX(Sheet1!$BA:$BA,INT((ROWS($A$10:$A270)+1)/2)+1)&lt;&gt;""),"",INDEX(Sheet1!$B:$B,INT((ROWS($A$10:$A270)+1)/2)+1)&amp;"")</f>
        <v/>
      </c>
      <c r="C270" s="74" t="str">
        <f>IF(AND(INDEX(Sheet1!$AM:$AM,INT((ROWS($A$10:$A270)+1)/2)+1)="",INDEX(Sheet1!$BA:$BA,INT((ROWS($A$10:$A270)+1)/2)+1)&lt;&gt;""),"",INDEX(Sheet1!$CN:$CN,INT((ROWS($A$10:$A270)+1)/2)+1)&amp;"")</f>
        <v/>
      </c>
      <c r="D270" s="76" t="str">
        <f>IF(OR(AND(INDEX(Sheet1!$AM:$AM,INT((ROWS($A$10:$A270)+1)/2)+1)="",INDEX(Sheet1!$BA:$BA,INT((ROWS($A$10:$A270)+1)/2)+1)&lt;&gt;""),INDEX(Sheet1!$N:$N,INT((ROWS($A$10:$A270)+1)/2)+1)=""),"",INDEX(Sheet1!$N:$N,INT((ROWS($A$10:$A270)+1)/2)+1))</f>
        <v/>
      </c>
      <c r="E270" s="74" t="str">
        <f>IF(INDEX(Sheet1!$AM:$AM,INT((ROWS($A$10:$A270)+1)/2)+1)&lt;&gt;"","第一種","")</f>
        <v/>
      </c>
      <c r="F270" s="77" t="str">
        <f>IF(E270="","",INDEX(Sheet1!$AO:$AO,INT((ROWS($A$10:$A270)+1)/2)+1)&amp;"")</f>
        <v/>
      </c>
      <c r="G270" s="76" t="str">
        <f>IF(OR(E270="",INDEX(Sheet1!$AY:$AY,INT((ROWS($A$10:$A270)+1)/2)+1)=""),"",INDEX(Sheet1!$AY:$AY,INT((ROWS($A$10:$A270)+1)/2)+1))</f>
        <v/>
      </c>
      <c r="H270" s="74" t="str">
        <f>IF(INDEX(Sheet1!$AD:$AD,INT((ROWS($A$10:$A270)+1)/2)+1)="","",INDEX(Sheet1!$AD:$AD,INT((ROWS($A$10:$A270)+1)/2)+1))</f>
        <v/>
      </c>
      <c r="I270" s="76" t="str">
        <f>IF(INDEX(Sheet1!$AK:$AK,INT((ROWS($A$10:$A270)+1)/2)+1)="","",INDEX(Sheet1!$AK:$AK,INT((ROWS($A$10:$A270)+1)/2)+1))</f>
        <v/>
      </c>
      <c r="J270" s="90"/>
    </row>
    <row r="271" spans="1:10" ht="30" customHeight="1" x14ac:dyDescent="0.15">
      <c r="A271" s="74" t="str">
        <f>IF(E271="","",IF(E270="",INDEX(Sheet1!$AC:$AC,INT((ROWS($A$10:$A271)+1)/2)+1)&amp;"","〃"))</f>
        <v/>
      </c>
      <c r="B271" s="74" t="str">
        <f>IF(E271="","",IF(E270="",INDEX(Sheet1!$B:$B,INT((ROWS($A$10:$A271)+1)/2)+1)&amp;"","〃"))</f>
        <v/>
      </c>
      <c r="C271" s="74" t="str">
        <f>IF(E271="","",IF(E270="",INDEX(Sheet1!$CN:$CN,INT((ROWS($A$10:$A271)+1)/2)+1)&amp;"","〃"))</f>
        <v/>
      </c>
      <c r="D271" s="76" t="str">
        <f>IF(E271="","",IF(E270="",IF(INDEX(Sheet1!$N:$N,INT((ROWS($A$10:$A271)+1)/2)+1)="","",INDEX(Sheet1!$N:$N,INT((ROWS($A$10:$A271)+1)/2)+1)),"〃"))</f>
        <v/>
      </c>
      <c r="E271" s="74" t="str">
        <f>IF(INDEX(Sheet1!$BA:$BA,INT((ROWS($A$10:$A271)+1)/2)+1)&lt;&gt;"","わな猟","")</f>
        <v/>
      </c>
      <c r="F271" s="77" t="str">
        <f>IF(E271="","",INDEX(Sheet1!$BC:$BC,INT((ROWS($A$10:$A271)+1)/2)+1)&amp;"")</f>
        <v/>
      </c>
      <c r="G271" s="76" t="str">
        <f>IF(E271="","",IF(INDEX(Sheet1!$BM:$BM,INT((ROWS($A$10:$A271)+1)/2)+1)="","",INDEX(Sheet1!$BM:$BM,INT((ROWS($A$10:$A271)+1)/2)+1)))</f>
        <v/>
      </c>
      <c r="H271" s="78"/>
      <c r="I271" s="73"/>
      <c r="J271" s="90"/>
    </row>
    <row r="272" spans="1:10" s="71" customFormat="1" ht="30" customHeight="1" x14ac:dyDescent="0.15">
      <c r="A272" s="74" t="str">
        <f>IF(AND(INDEX(Sheet1!$AM:$AM,INT((ROWS($A$10:$A272)+1)/2)+1)="",INDEX(Sheet1!$BA:$BA,INT((ROWS($A$10:$A272)+1)/2)+1)&lt;&gt;""),"",INDEX(Sheet1!$AC:$AC,INT((ROWS($A$10:$A272)+1)/2)+1)&amp;"")</f>
        <v/>
      </c>
      <c r="B272" s="74" t="str">
        <f>IF(AND(INDEX(Sheet1!$AM:$AM,INT((ROWS($A$10:$A272)+1)/2)+1)="",INDEX(Sheet1!$BA:$BA,INT((ROWS($A$10:$A272)+1)/2)+1)&lt;&gt;""),"",INDEX(Sheet1!$B:$B,INT((ROWS($A$10:$A272)+1)/2)+1)&amp;"")</f>
        <v/>
      </c>
      <c r="C272" s="74" t="str">
        <f>IF(AND(INDEX(Sheet1!$AM:$AM,INT((ROWS($A$10:$A272)+1)/2)+1)="",INDEX(Sheet1!$BA:$BA,INT((ROWS($A$10:$A272)+1)/2)+1)&lt;&gt;""),"",INDEX(Sheet1!$CN:$CN,INT((ROWS($A$10:$A272)+1)/2)+1)&amp;"")</f>
        <v/>
      </c>
      <c r="D272" s="76" t="str">
        <f>IF(OR(AND(INDEX(Sheet1!$AM:$AM,INT((ROWS($A$10:$A272)+1)/2)+1)="",INDEX(Sheet1!$BA:$BA,INT((ROWS($A$10:$A272)+1)/2)+1)&lt;&gt;""),INDEX(Sheet1!$N:$N,INT((ROWS($A$10:$A272)+1)/2)+1)=""),"",INDEX(Sheet1!$N:$N,INT((ROWS($A$10:$A272)+1)/2)+1))</f>
        <v/>
      </c>
      <c r="E272" s="74" t="str">
        <f>IF(INDEX(Sheet1!$AM:$AM,INT((ROWS($A$10:$A272)+1)/2)+1)&lt;&gt;"","第一種","")</f>
        <v/>
      </c>
      <c r="F272" s="77" t="str">
        <f>IF(E272="","",INDEX(Sheet1!$AO:$AO,INT((ROWS($A$10:$A272)+1)/2)+1)&amp;"")</f>
        <v/>
      </c>
      <c r="G272" s="76" t="str">
        <f>IF(OR(E272="",INDEX(Sheet1!$AY:$AY,INT((ROWS($A$10:$A272)+1)/2)+1)=""),"",INDEX(Sheet1!$AY:$AY,INT((ROWS($A$10:$A272)+1)/2)+1))</f>
        <v/>
      </c>
      <c r="H272" s="74" t="str">
        <f>IF(INDEX(Sheet1!$AD:$AD,INT((ROWS($A$10:$A272)+1)/2)+1)="","",INDEX(Sheet1!$AD:$AD,INT((ROWS($A$10:$A272)+1)/2)+1))</f>
        <v/>
      </c>
      <c r="I272" s="76" t="str">
        <f>IF(INDEX(Sheet1!$AK:$AK,INT((ROWS($A$10:$A272)+1)/2)+1)="","",INDEX(Sheet1!$AK:$AK,INT((ROWS($A$10:$A272)+1)/2)+1))</f>
        <v/>
      </c>
      <c r="J272" s="90"/>
    </row>
    <row r="273" spans="1:10" ht="30" customHeight="1" x14ac:dyDescent="0.15">
      <c r="A273" s="74" t="str">
        <f>IF(E273="","",IF(E272="",INDEX(Sheet1!$AC:$AC,INT((ROWS($A$10:$A273)+1)/2)+1)&amp;"","〃"))</f>
        <v/>
      </c>
      <c r="B273" s="74" t="str">
        <f>IF(E273="","",IF(E272="",INDEX(Sheet1!$B:$B,INT((ROWS($A$10:$A273)+1)/2)+1)&amp;"","〃"))</f>
        <v/>
      </c>
      <c r="C273" s="74" t="str">
        <f>IF(E273="","",IF(E272="",INDEX(Sheet1!$CN:$CN,INT((ROWS($A$10:$A273)+1)/2)+1)&amp;"","〃"))</f>
        <v/>
      </c>
      <c r="D273" s="76" t="str">
        <f>IF(E273="","",IF(E272="",IF(INDEX(Sheet1!$N:$N,INT((ROWS($A$10:$A273)+1)/2)+1)="","",INDEX(Sheet1!$N:$N,INT((ROWS($A$10:$A273)+1)/2)+1)),"〃"))</f>
        <v/>
      </c>
      <c r="E273" s="74" t="str">
        <f>IF(INDEX(Sheet1!$BA:$BA,INT((ROWS($A$10:$A273)+1)/2)+1)&lt;&gt;"","わな猟","")</f>
        <v/>
      </c>
      <c r="F273" s="77" t="str">
        <f>IF(E273="","",INDEX(Sheet1!$BC:$BC,INT((ROWS($A$10:$A273)+1)/2)+1)&amp;"")</f>
        <v/>
      </c>
      <c r="G273" s="76" t="str">
        <f>IF(E273="","",IF(INDEX(Sheet1!$BM:$BM,INT((ROWS($A$10:$A273)+1)/2)+1)="","",INDEX(Sheet1!$BM:$BM,INT((ROWS($A$10:$A273)+1)/2)+1)))</f>
        <v/>
      </c>
      <c r="H273" s="78"/>
      <c r="I273" s="73"/>
      <c r="J273" s="90"/>
    </row>
    <row r="274" spans="1:10" s="71" customFormat="1" ht="30" customHeight="1" x14ac:dyDescent="0.15">
      <c r="A274" s="74" t="str">
        <f>IF(AND(INDEX(Sheet1!$AM:$AM,INT((ROWS($A$10:$A274)+1)/2)+1)="",INDEX(Sheet1!$BA:$BA,INT((ROWS($A$10:$A274)+1)/2)+1)&lt;&gt;""),"",INDEX(Sheet1!$AC:$AC,INT((ROWS($A$10:$A274)+1)/2)+1)&amp;"")</f>
        <v/>
      </c>
      <c r="B274" s="74" t="str">
        <f>IF(AND(INDEX(Sheet1!$AM:$AM,INT((ROWS($A$10:$A274)+1)/2)+1)="",INDEX(Sheet1!$BA:$BA,INT((ROWS($A$10:$A274)+1)/2)+1)&lt;&gt;""),"",INDEX(Sheet1!$B:$B,INT((ROWS($A$10:$A274)+1)/2)+1)&amp;"")</f>
        <v/>
      </c>
      <c r="C274" s="74" t="str">
        <f>IF(AND(INDEX(Sheet1!$AM:$AM,INT((ROWS($A$10:$A274)+1)/2)+1)="",INDEX(Sheet1!$BA:$BA,INT((ROWS($A$10:$A274)+1)/2)+1)&lt;&gt;""),"",INDEX(Sheet1!$CN:$CN,INT((ROWS($A$10:$A274)+1)/2)+1)&amp;"")</f>
        <v/>
      </c>
      <c r="D274" s="76" t="str">
        <f>IF(OR(AND(INDEX(Sheet1!$AM:$AM,INT((ROWS($A$10:$A274)+1)/2)+1)="",INDEX(Sheet1!$BA:$BA,INT((ROWS($A$10:$A274)+1)/2)+1)&lt;&gt;""),INDEX(Sheet1!$N:$N,INT((ROWS($A$10:$A274)+1)/2)+1)=""),"",INDEX(Sheet1!$N:$N,INT((ROWS($A$10:$A274)+1)/2)+1))</f>
        <v/>
      </c>
      <c r="E274" s="74" t="str">
        <f>IF(INDEX(Sheet1!$AM:$AM,INT((ROWS($A$10:$A274)+1)/2)+1)&lt;&gt;"","第一種","")</f>
        <v/>
      </c>
      <c r="F274" s="77" t="str">
        <f>IF(E274="","",INDEX(Sheet1!$AO:$AO,INT((ROWS($A$10:$A274)+1)/2)+1)&amp;"")</f>
        <v/>
      </c>
      <c r="G274" s="76" t="str">
        <f>IF(OR(E274="",INDEX(Sheet1!$AY:$AY,INT((ROWS($A$10:$A274)+1)/2)+1)=""),"",INDEX(Sheet1!$AY:$AY,INT((ROWS($A$10:$A274)+1)/2)+1))</f>
        <v/>
      </c>
      <c r="H274" s="74" t="str">
        <f>IF(INDEX(Sheet1!$AD:$AD,INT((ROWS($A$10:$A274)+1)/2)+1)="","",INDEX(Sheet1!$AD:$AD,INT((ROWS($A$10:$A274)+1)/2)+1))</f>
        <v/>
      </c>
      <c r="I274" s="76" t="str">
        <f>IF(INDEX(Sheet1!$AK:$AK,INT((ROWS($A$10:$A274)+1)/2)+1)="","",INDEX(Sheet1!$AK:$AK,INT((ROWS($A$10:$A274)+1)/2)+1))</f>
        <v/>
      </c>
      <c r="J274" s="90"/>
    </row>
    <row r="275" spans="1:10" ht="30" customHeight="1" x14ac:dyDescent="0.15">
      <c r="A275" s="74" t="str">
        <f>IF(E275="","",IF(E274="",INDEX(Sheet1!$AC:$AC,INT((ROWS($A$10:$A275)+1)/2)+1)&amp;"","〃"))</f>
        <v/>
      </c>
      <c r="B275" s="74" t="str">
        <f>IF(E275="","",IF(E274="",INDEX(Sheet1!$B:$B,INT((ROWS($A$10:$A275)+1)/2)+1)&amp;"","〃"))</f>
        <v/>
      </c>
      <c r="C275" s="74" t="str">
        <f>IF(E275="","",IF(E274="",INDEX(Sheet1!$CN:$CN,INT((ROWS($A$10:$A275)+1)/2)+1)&amp;"","〃"))</f>
        <v/>
      </c>
      <c r="D275" s="76" t="str">
        <f>IF(E275="","",IF(E274="",IF(INDEX(Sheet1!$N:$N,INT((ROWS($A$10:$A275)+1)/2)+1)="","",INDEX(Sheet1!$N:$N,INT((ROWS($A$10:$A275)+1)/2)+1)),"〃"))</f>
        <v/>
      </c>
      <c r="E275" s="74" t="str">
        <f>IF(INDEX(Sheet1!$BA:$BA,INT((ROWS($A$10:$A275)+1)/2)+1)&lt;&gt;"","わな猟","")</f>
        <v/>
      </c>
      <c r="F275" s="77" t="str">
        <f>IF(E275="","",INDEX(Sheet1!$BC:$BC,INT((ROWS($A$10:$A275)+1)/2)+1)&amp;"")</f>
        <v/>
      </c>
      <c r="G275" s="76" t="str">
        <f>IF(E275="","",IF(INDEX(Sheet1!$BM:$BM,INT((ROWS($A$10:$A275)+1)/2)+1)="","",INDEX(Sheet1!$BM:$BM,INT((ROWS($A$10:$A275)+1)/2)+1)))</f>
        <v/>
      </c>
      <c r="H275" s="78"/>
      <c r="I275" s="73"/>
      <c r="J275" s="90"/>
    </row>
    <row r="276" spans="1:10" s="71" customFormat="1" ht="30" customHeight="1" x14ac:dyDescent="0.15">
      <c r="A276" s="74" t="str">
        <f>IF(AND(INDEX(Sheet1!$AM:$AM,INT((ROWS($A$10:$A276)+1)/2)+1)="",INDEX(Sheet1!$BA:$BA,INT((ROWS($A$10:$A276)+1)/2)+1)&lt;&gt;""),"",INDEX(Sheet1!$AC:$AC,INT((ROWS($A$10:$A276)+1)/2)+1)&amp;"")</f>
        <v/>
      </c>
      <c r="B276" s="74" t="str">
        <f>IF(AND(INDEX(Sheet1!$AM:$AM,INT((ROWS($A$10:$A276)+1)/2)+1)="",INDEX(Sheet1!$BA:$BA,INT((ROWS($A$10:$A276)+1)/2)+1)&lt;&gt;""),"",INDEX(Sheet1!$B:$B,INT((ROWS($A$10:$A276)+1)/2)+1)&amp;"")</f>
        <v/>
      </c>
      <c r="C276" s="74" t="str">
        <f>IF(AND(INDEX(Sheet1!$AM:$AM,INT((ROWS($A$10:$A276)+1)/2)+1)="",INDEX(Sheet1!$BA:$BA,INT((ROWS($A$10:$A276)+1)/2)+1)&lt;&gt;""),"",INDEX(Sheet1!$CN:$CN,INT((ROWS($A$10:$A276)+1)/2)+1)&amp;"")</f>
        <v/>
      </c>
      <c r="D276" s="76" t="str">
        <f>IF(OR(AND(INDEX(Sheet1!$AM:$AM,INT((ROWS($A$10:$A276)+1)/2)+1)="",INDEX(Sheet1!$BA:$BA,INT((ROWS($A$10:$A276)+1)/2)+1)&lt;&gt;""),INDEX(Sheet1!$N:$N,INT((ROWS($A$10:$A276)+1)/2)+1)=""),"",INDEX(Sheet1!$N:$N,INT((ROWS($A$10:$A276)+1)/2)+1))</f>
        <v/>
      </c>
      <c r="E276" s="74" t="str">
        <f>IF(INDEX(Sheet1!$AM:$AM,INT((ROWS($A$10:$A276)+1)/2)+1)&lt;&gt;"","第一種","")</f>
        <v/>
      </c>
      <c r="F276" s="77" t="str">
        <f>IF(E276="","",INDEX(Sheet1!$AO:$AO,INT((ROWS($A$10:$A276)+1)/2)+1)&amp;"")</f>
        <v/>
      </c>
      <c r="G276" s="76" t="str">
        <f>IF(OR(E276="",INDEX(Sheet1!$AY:$AY,INT((ROWS($A$10:$A276)+1)/2)+1)=""),"",INDEX(Sheet1!$AY:$AY,INT((ROWS($A$10:$A276)+1)/2)+1))</f>
        <v/>
      </c>
      <c r="H276" s="74" t="str">
        <f>IF(INDEX(Sheet1!$AD:$AD,INT((ROWS($A$10:$A276)+1)/2)+1)="","",INDEX(Sheet1!$AD:$AD,INT((ROWS($A$10:$A276)+1)/2)+1))</f>
        <v/>
      </c>
      <c r="I276" s="76" t="str">
        <f>IF(INDEX(Sheet1!$AK:$AK,INT((ROWS($A$10:$A276)+1)/2)+1)="","",INDEX(Sheet1!$AK:$AK,INT((ROWS($A$10:$A276)+1)/2)+1))</f>
        <v/>
      </c>
      <c r="J276" s="90"/>
    </row>
    <row r="277" spans="1:10" ht="30" customHeight="1" x14ac:dyDescent="0.15">
      <c r="A277" s="74" t="str">
        <f>IF(E277="","",IF(E276="",INDEX(Sheet1!$AC:$AC,INT((ROWS($A$10:$A277)+1)/2)+1)&amp;"","〃"))</f>
        <v/>
      </c>
      <c r="B277" s="74" t="str">
        <f>IF(E277="","",IF(E276="",INDEX(Sheet1!$B:$B,INT((ROWS($A$10:$A277)+1)/2)+1)&amp;"","〃"))</f>
        <v/>
      </c>
      <c r="C277" s="74" t="str">
        <f>IF(E277="","",IF(E276="",INDEX(Sheet1!$CN:$CN,INT((ROWS($A$10:$A277)+1)/2)+1)&amp;"","〃"))</f>
        <v/>
      </c>
      <c r="D277" s="76" t="str">
        <f>IF(E277="","",IF(E276="",IF(INDEX(Sheet1!$N:$N,INT((ROWS($A$10:$A277)+1)/2)+1)="","",INDEX(Sheet1!$N:$N,INT((ROWS($A$10:$A277)+1)/2)+1)),"〃"))</f>
        <v/>
      </c>
      <c r="E277" s="74" t="str">
        <f>IF(INDEX(Sheet1!$BA:$BA,INT((ROWS($A$10:$A277)+1)/2)+1)&lt;&gt;"","わな猟","")</f>
        <v/>
      </c>
      <c r="F277" s="77" t="str">
        <f>IF(E277="","",INDEX(Sheet1!$BC:$BC,INT((ROWS($A$10:$A277)+1)/2)+1)&amp;"")</f>
        <v/>
      </c>
      <c r="G277" s="76" t="str">
        <f>IF(E277="","",IF(INDEX(Sheet1!$BM:$BM,INT((ROWS($A$10:$A277)+1)/2)+1)="","",INDEX(Sheet1!$BM:$BM,INT((ROWS($A$10:$A277)+1)/2)+1)))</f>
        <v/>
      </c>
      <c r="H277" s="78"/>
      <c r="I277" s="73"/>
      <c r="J277" s="90"/>
    </row>
    <row r="278" spans="1:10" s="71" customFormat="1" ht="30" customHeight="1" x14ac:dyDescent="0.15">
      <c r="A278" s="74" t="str">
        <f>IF(AND(INDEX(Sheet1!$AM:$AM,INT((ROWS($A$10:$A278)+1)/2)+1)="",INDEX(Sheet1!$BA:$BA,INT((ROWS($A$10:$A278)+1)/2)+1)&lt;&gt;""),"",INDEX(Sheet1!$AC:$AC,INT((ROWS($A$10:$A278)+1)/2)+1)&amp;"")</f>
        <v/>
      </c>
      <c r="B278" s="74" t="str">
        <f>IF(AND(INDEX(Sheet1!$AM:$AM,INT((ROWS($A$10:$A278)+1)/2)+1)="",INDEX(Sheet1!$BA:$BA,INT((ROWS($A$10:$A278)+1)/2)+1)&lt;&gt;""),"",INDEX(Sheet1!$B:$B,INT((ROWS($A$10:$A278)+1)/2)+1)&amp;"")</f>
        <v/>
      </c>
      <c r="C278" s="74" t="str">
        <f>IF(AND(INDEX(Sheet1!$AM:$AM,INT((ROWS($A$10:$A278)+1)/2)+1)="",INDEX(Sheet1!$BA:$BA,INT((ROWS($A$10:$A278)+1)/2)+1)&lt;&gt;""),"",INDEX(Sheet1!$CN:$CN,INT((ROWS($A$10:$A278)+1)/2)+1)&amp;"")</f>
        <v/>
      </c>
      <c r="D278" s="76" t="str">
        <f>IF(OR(AND(INDEX(Sheet1!$AM:$AM,INT((ROWS($A$10:$A278)+1)/2)+1)="",INDEX(Sheet1!$BA:$BA,INT((ROWS($A$10:$A278)+1)/2)+1)&lt;&gt;""),INDEX(Sheet1!$N:$N,INT((ROWS($A$10:$A278)+1)/2)+1)=""),"",INDEX(Sheet1!$N:$N,INT((ROWS($A$10:$A278)+1)/2)+1))</f>
        <v/>
      </c>
      <c r="E278" s="74" t="str">
        <f>IF(INDEX(Sheet1!$AM:$AM,INT((ROWS($A$10:$A278)+1)/2)+1)&lt;&gt;"","第一種","")</f>
        <v/>
      </c>
      <c r="F278" s="77" t="str">
        <f>IF(E278="","",INDEX(Sheet1!$AO:$AO,INT((ROWS($A$10:$A278)+1)/2)+1)&amp;"")</f>
        <v/>
      </c>
      <c r="G278" s="76" t="str">
        <f>IF(OR(E278="",INDEX(Sheet1!$AY:$AY,INT((ROWS($A$10:$A278)+1)/2)+1)=""),"",INDEX(Sheet1!$AY:$AY,INT((ROWS($A$10:$A278)+1)/2)+1))</f>
        <v/>
      </c>
      <c r="H278" s="74" t="str">
        <f>IF(INDEX(Sheet1!$AD:$AD,INT((ROWS($A$10:$A278)+1)/2)+1)="","",INDEX(Sheet1!$AD:$AD,INT((ROWS($A$10:$A278)+1)/2)+1))</f>
        <v/>
      </c>
      <c r="I278" s="76" t="str">
        <f>IF(INDEX(Sheet1!$AK:$AK,INT((ROWS($A$10:$A278)+1)/2)+1)="","",INDEX(Sheet1!$AK:$AK,INT((ROWS($A$10:$A278)+1)/2)+1))</f>
        <v/>
      </c>
      <c r="J278" s="90"/>
    </row>
    <row r="279" spans="1:10" ht="30" customHeight="1" x14ac:dyDescent="0.15">
      <c r="A279" s="74" t="str">
        <f>IF(E279="","",IF(E278="",INDEX(Sheet1!$AC:$AC,INT((ROWS($A$10:$A279)+1)/2)+1)&amp;"","〃"))</f>
        <v/>
      </c>
      <c r="B279" s="74" t="str">
        <f>IF(E279="","",IF(E278="",INDEX(Sheet1!$B:$B,INT((ROWS($A$10:$A279)+1)/2)+1)&amp;"","〃"))</f>
        <v/>
      </c>
      <c r="C279" s="74" t="str">
        <f>IF(E279="","",IF(E278="",INDEX(Sheet1!$CN:$CN,INT((ROWS($A$10:$A279)+1)/2)+1)&amp;"","〃"))</f>
        <v/>
      </c>
      <c r="D279" s="76" t="str">
        <f>IF(E279="","",IF(E278="",IF(INDEX(Sheet1!$N:$N,INT((ROWS($A$10:$A279)+1)/2)+1)="","",INDEX(Sheet1!$N:$N,INT((ROWS($A$10:$A279)+1)/2)+1)),"〃"))</f>
        <v/>
      </c>
      <c r="E279" s="74" t="str">
        <f>IF(INDEX(Sheet1!$BA:$BA,INT((ROWS($A$10:$A279)+1)/2)+1)&lt;&gt;"","わな猟","")</f>
        <v/>
      </c>
      <c r="F279" s="77" t="str">
        <f>IF(E279="","",INDEX(Sheet1!$BC:$BC,INT((ROWS($A$10:$A279)+1)/2)+1)&amp;"")</f>
        <v/>
      </c>
      <c r="G279" s="76" t="str">
        <f>IF(E279="","",IF(INDEX(Sheet1!$BM:$BM,INT((ROWS($A$10:$A279)+1)/2)+1)="","",INDEX(Sheet1!$BM:$BM,INT((ROWS($A$10:$A279)+1)/2)+1)))</f>
        <v/>
      </c>
      <c r="H279" s="78"/>
      <c r="I279" s="73"/>
      <c r="J279" s="90"/>
    </row>
    <row r="280" spans="1:10" s="71" customFormat="1" ht="30" customHeight="1" x14ac:dyDescent="0.15">
      <c r="A280" s="74" t="str">
        <f>IF(AND(INDEX(Sheet1!$AM:$AM,INT((ROWS($A$10:$A280)+1)/2)+1)="",INDEX(Sheet1!$BA:$BA,INT((ROWS($A$10:$A280)+1)/2)+1)&lt;&gt;""),"",INDEX(Sheet1!$AC:$AC,INT((ROWS($A$10:$A280)+1)/2)+1)&amp;"")</f>
        <v/>
      </c>
      <c r="B280" s="74" t="str">
        <f>IF(AND(INDEX(Sheet1!$AM:$AM,INT((ROWS($A$10:$A280)+1)/2)+1)="",INDEX(Sheet1!$BA:$BA,INT((ROWS($A$10:$A280)+1)/2)+1)&lt;&gt;""),"",INDEX(Sheet1!$B:$B,INT((ROWS($A$10:$A280)+1)/2)+1)&amp;"")</f>
        <v/>
      </c>
      <c r="C280" s="74" t="str">
        <f>IF(AND(INDEX(Sheet1!$AM:$AM,INT((ROWS($A$10:$A280)+1)/2)+1)="",INDEX(Sheet1!$BA:$BA,INT((ROWS($A$10:$A280)+1)/2)+1)&lt;&gt;""),"",INDEX(Sheet1!$CN:$CN,INT((ROWS($A$10:$A280)+1)/2)+1)&amp;"")</f>
        <v/>
      </c>
      <c r="D280" s="76" t="str">
        <f>IF(OR(AND(INDEX(Sheet1!$AM:$AM,INT((ROWS($A$10:$A280)+1)/2)+1)="",INDEX(Sheet1!$BA:$BA,INT((ROWS($A$10:$A280)+1)/2)+1)&lt;&gt;""),INDEX(Sheet1!$N:$N,INT((ROWS($A$10:$A280)+1)/2)+1)=""),"",INDEX(Sheet1!$N:$N,INT((ROWS($A$10:$A280)+1)/2)+1))</f>
        <v/>
      </c>
      <c r="E280" s="74" t="str">
        <f>IF(INDEX(Sheet1!$AM:$AM,INT((ROWS($A$10:$A280)+1)/2)+1)&lt;&gt;"","第一種","")</f>
        <v/>
      </c>
      <c r="F280" s="77" t="str">
        <f>IF(E280="","",INDEX(Sheet1!$AO:$AO,INT((ROWS($A$10:$A280)+1)/2)+1)&amp;"")</f>
        <v/>
      </c>
      <c r="G280" s="76" t="str">
        <f>IF(OR(E280="",INDEX(Sheet1!$AY:$AY,INT((ROWS($A$10:$A280)+1)/2)+1)=""),"",INDEX(Sheet1!$AY:$AY,INT((ROWS($A$10:$A280)+1)/2)+1))</f>
        <v/>
      </c>
      <c r="H280" s="74" t="str">
        <f>IF(INDEX(Sheet1!$AD:$AD,INT((ROWS($A$10:$A280)+1)/2)+1)="","",INDEX(Sheet1!$AD:$AD,INT((ROWS($A$10:$A280)+1)/2)+1))</f>
        <v/>
      </c>
      <c r="I280" s="76" t="str">
        <f>IF(INDEX(Sheet1!$AK:$AK,INT((ROWS($A$10:$A280)+1)/2)+1)="","",INDEX(Sheet1!$AK:$AK,INT((ROWS($A$10:$A280)+1)/2)+1))</f>
        <v/>
      </c>
      <c r="J280" s="90"/>
    </row>
    <row r="281" spans="1:10" ht="30" customHeight="1" x14ac:dyDescent="0.15">
      <c r="A281" s="74" t="str">
        <f>IF(E281="","",IF(E280="",INDEX(Sheet1!$AC:$AC,INT((ROWS($A$10:$A281)+1)/2)+1)&amp;"","〃"))</f>
        <v/>
      </c>
      <c r="B281" s="74" t="str">
        <f>IF(E281="","",IF(E280="",INDEX(Sheet1!$B:$B,INT((ROWS($A$10:$A281)+1)/2)+1)&amp;"","〃"))</f>
        <v/>
      </c>
      <c r="C281" s="74" t="str">
        <f>IF(E281="","",IF(E280="",INDEX(Sheet1!$CN:$CN,INT((ROWS($A$10:$A281)+1)/2)+1)&amp;"","〃"))</f>
        <v/>
      </c>
      <c r="D281" s="76" t="str">
        <f>IF(E281="","",IF(E280="",IF(INDEX(Sheet1!$N:$N,INT((ROWS($A$10:$A281)+1)/2)+1)="","",INDEX(Sheet1!$N:$N,INT((ROWS($A$10:$A281)+1)/2)+1)),"〃"))</f>
        <v/>
      </c>
      <c r="E281" s="74" t="str">
        <f>IF(INDEX(Sheet1!$BA:$BA,INT((ROWS($A$10:$A281)+1)/2)+1)&lt;&gt;"","わな猟","")</f>
        <v/>
      </c>
      <c r="F281" s="77" t="str">
        <f>IF(E281="","",INDEX(Sheet1!$BC:$BC,INT((ROWS($A$10:$A281)+1)/2)+1)&amp;"")</f>
        <v/>
      </c>
      <c r="G281" s="76" t="str">
        <f>IF(E281="","",IF(INDEX(Sheet1!$BM:$BM,INT((ROWS($A$10:$A281)+1)/2)+1)="","",INDEX(Sheet1!$BM:$BM,INT((ROWS($A$10:$A281)+1)/2)+1)))</f>
        <v/>
      </c>
      <c r="H281" s="78"/>
      <c r="I281" s="73"/>
      <c r="J281" s="90"/>
    </row>
    <row r="282" spans="1:10" s="71" customFormat="1" ht="30" customHeight="1" x14ac:dyDescent="0.15">
      <c r="A282" s="74" t="str">
        <f>IF(AND(INDEX(Sheet1!$AM:$AM,INT((ROWS($A$10:$A282)+1)/2)+1)="",INDEX(Sheet1!$BA:$BA,INT((ROWS($A$10:$A282)+1)/2)+1)&lt;&gt;""),"",INDEX(Sheet1!$AC:$AC,INT((ROWS($A$10:$A282)+1)/2)+1)&amp;"")</f>
        <v/>
      </c>
      <c r="B282" s="74" t="str">
        <f>IF(AND(INDEX(Sheet1!$AM:$AM,INT((ROWS($A$10:$A282)+1)/2)+1)="",INDEX(Sheet1!$BA:$BA,INT((ROWS($A$10:$A282)+1)/2)+1)&lt;&gt;""),"",INDEX(Sheet1!$B:$B,INT((ROWS($A$10:$A282)+1)/2)+1)&amp;"")</f>
        <v/>
      </c>
      <c r="C282" s="74" t="str">
        <f>IF(AND(INDEX(Sheet1!$AM:$AM,INT((ROWS($A$10:$A282)+1)/2)+1)="",INDEX(Sheet1!$BA:$BA,INT((ROWS($A$10:$A282)+1)/2)+1)&lt;&gt;""),"",INDEX(Sheet1!$CN:$CN,INT((ROWS($A$10:$A282)+1)/2)+1)&amp;"")</f>
        <v/>
      </c>
      <c r="D282" s="76" t="str">
        <f>IF(OR(AND(INDEX(Sheet1!$AM:$AM,INT((ROWS($A$10:$A282)+1)/2)+1)="",INDEX(Sheet1!$BA:$BA,INT((ROWS($A$10:$A282)+1)/2)+1)&lt;&gt;""),INDEX(Sheet1!$N:$N,INT((ROWS($A$10:$A282)+1)/2)+1)=""),"",INDEX(Sheet1!$N:$N,INT((ROWS($A$10:$A282)+1)/2)+1))</f>
        <v/>
      </c>
      <c r="E282" s="74" t="str">
        <f>IF(INDEX(Sheet1!$AM:$AM,INT((ROWS($A$10:$A282)+1)/2)+1)&lt;&gt;"","第一種","")</f>
        <v/>
      </c>
      <c r="F282" s="77" t="str">
        <f>IF(E282="","",INDEX(Sheet1!$AO:$AO,INT((ROWS($A$10:$A282)+1)/2)+1)&amp;"")</f>
        <v/>
      </c>
      <c r="G282" s="76" t="str">
        <f>IF(OR(E282="",INDEX(Sheet1!$AY:$AY,INT((ROWS($A$10:$A282)+1)/2)+1)=""),"",INDEX(Sheet1!$AY:$AY,INT((ROWS($A$10:$A282)+1)/2)+1))</f>
        <v/>
      </c>
      <c r="H282" s="74" t="str">
        <f>IF(INDEX(Sheet1!$AD:$AD,INT((ROWS($A$10:$A282)+1)/2)+1)="","",INDEX(Sheet1!$AD:$AD,INT((ROWS($A$10:$A282)+1)/2)+1))</f>
        <v/>
      </c>
      <c r="I282" s="76" t="str">
        <f>IF(INDEX(Sheet1!$AK:$AK,INT((ROWS($A$10:$A282)+1)/2)+1)="","",INDEX(Sheet1!$AK:$AK,INT((ROWS($A$10:$A282)+1)/2)+1))</f>
        <v/>
      </c>
      <c r="J282" s="90"/>
    </row>
    <row r="283" spans="1:10" ht="30" customHeight="1" x14ac:dyDescent="0.15">
      <c r="A283" s="74" t="str">
        <f>IF(E283="","",IF(E282="",INDEX(Sheet1!$AC:$AC,INT((ROWS($A$10:$A283)+1)/2)+1)&amp;"","〃"))</f>
        <v/>
      </c>
      <c r="B283" s="74" t="str">
        <f>IF(E283="","",IF(E282="",INDEX(Sheet1!$B:$B,INT((ROWS($A$10:$A283)+1)/2)+1)&amp;"","〃"))</f>
        <v/>
      </c>
      <c r="C283" s="74" t="str">
        <f>IF(E283="","",IF(E282="",INDEX(Sheet1!$CN:$CN,INT((ROWS($A$10:$A283)+1)/2)+1)&amp;"","〃"))</f>
        <v/>
      </c>
      <c r="D283" s="76" t="str">
        <f>IF(E283="","",IF(E282="",IF(INDEX(Sheet1!$N:$N,INT((ROWS($A$10:$A283)+1)/2)+1)="","",INDEX(Sheet1!$N:$N,INT((ROWS($A$10:$A283)+1)/2)+1)),"〃"))</f>
        <v/>
      </c>
      <c r="E283" s="74" t="str">
        <f>IF(INDEX(Sheet1!$BA:$BA,INT((ROWS($A$10:$A283)+1)/2)+1)&lt;&gt;"","わな猟","")</f>
        <v/>
      </c>
      <c r="F283" s="77" t="str">
        <f>IF(E283="","",INDEX(Sheet1!$BC:$BC,INT((ROWS($A$10:$A283)+1)/2)+1)&amp;"")</f>
        <v/>
      </c>
      <c r="G283" s="76" t="str">
        <f>IF(E283="","",IF(INDEX(Sheet1!$BM:$BM,INT((ROWS($A$10:$A283)+1)/2)+1)="","",INDEX(Sheet1!$BM:$BM,INT((ROWS($A$10:$A283)+1)/2)+1)))</f>
        <v/>
      </c>
      <c r="H283" s="78"/>
      <c r="I283" s="73"/>
      <c r="J283" s="90"/>
    </row>
    <row r="284" spans="1:10" s="71" customFormat="1" ht="30" customHeight="1" x14ac:dyDescent="0.15">
      <c r="A284" s="74" t="str">
        <f>IF(AND(INDEX(Sheet1!$AM:$AM,INT((ROWS($A$10:$A284)+1)/2)+1)="",INDEX(Sheet1!$BA:$BA,INT((ROWS($A$10:$A284)+1)/2)+1)&lt;&gt;""),"",INDEX(Sheet1!$AC:$AC,INT((ROWS($A$10:$A284)+1)/2)+1)&amp;"")</f>
        <v/>
      </c>
      <c r="B284" s="74" t="str">
        <f>IF(AND(INDEX(Sheet1!$AM:$AM,INT((ROWS($A$10:$A284)+1)/2)+1)="",INDEX(Sheet1!$BA:$BA,INT((ROWS($A$10:$A284)+1)/2)+1)&lt;&gt;""),"",INDEX(Sheet1!$B:$B,INT((ROWS($A$10:$A284)+1)/2)+1)&amp;"")</f>
        <v/>
      </c>
      <c r="C284" s="74" t="str">
        <f>IF(AND(INDEX(Sheet1!$AM:$AM,INT((ROWS($A$10:$A284)+1)/2)+1)="",INDEX(Sheet1!$BA:$BA,INT((ROWS($A$10:$A284)+1)/2)+1)&lt;&gt;""),"",INDEX(Sheet1!$CN:$CN,INT((ROWS($A$10:$A284)+1)/2)+1)&amp;"")</f>
        <v/>
      </c>
      <c r="D284" s="76" t="str">
        <f>IF(OR(AND(INDEX(Sheet1!$AM:$AM,INT((ROWS($A$10:$A284)+1)/2)+1)="",INDEX(Sheet1!$BA:$BA,INT((ROWS($A$10:$A284)+1)/2)+1)&lt;&gt;""),INDEX(Sheet1!$N:$N,INT((ROWS($A$10:$A284)+1)/2)+1)=""),"",INDEX(Sheet1!$N:$N,INT((ROWS($A$10:$A284)+1)/2)+1))</f>
        <v/>
      </c>
      <c r="E284" s="74" t="str">
        <f>IF(INDEX(Sheet1!$AM:$AM,INT((ROWS($A$10:$A284)+1)/2)+1)&lt;&gt;"","第一種","")</f>
        <v/>
      </c>
      <c r="F284" s="77" t="str">
        <f>IF(E284="","",INDEX(Sheet1!$AO:$AO,INT((ROWS($A$10:$A284)+1)/2)+1)&amp;"")</f>
        <v/>
      </c>
      <c r="G284" s="76" t="str">
        <f>IF(OR(E284="",INDEX(Sheet1!$AY:$AY,INT((ROWS($A$10:$A284)+1)/2)+1)=""),"",INDEX(Sheet1!$AY:$AY,INT((ROWS($A$10:$A284)+1)/2)+1))</f>
        <v/>
      </c>
      <c r="H284" s="74" t="str">
        <f>IF(INDEX(Sheet1!$AD:$AD,INT((ROWS($A$10:$A284)+1)/2)+1)="","",INDEX(Sheet1!$AD:$AD,INT((ROWS($A$10:$A284)+1)/2)+1))</f>
        <v/>
      </c>
      <c r="I284" s="76" t="str">
        <f>IF(INDEX(Sheet1!$AK:$AK,INT((ROWS($A$10:$A284)+1)/2)+1)="","",INDEX(Sheet1!$AK:$AK,INT((ROWS($A$10:$A284)+1)/2)+1))</f>
        <v/>
      </c>
      <c r="J284" s="90"/>
    </row>
    <row r="285" spans="1:10" ht="30" customHeight="1" x14ac:dyDescent="0.15">
      <c r="A285" s="74" t="str">
        <f>IF(E285="","",IF(E284="",INDEX(Sheet1!$AC:$AC,INT((ROWS($A$10:$A285)+1)/2)+1)&amp;"","〃"))</f>
        <v/>
      </c>
      <c r="B285" s="74" t="str">
        <f>IF(E285="","",IF(E284="",INDEX(Sheet1!$B:$B,INT((ROWS($A$10:$A285)+1)/2)+1)&amp;"","〃"))</f>
        <v/>
      </c>
      <c r="C285" s="74" t="str">
        <f>IF(E285="","",IF(E284="",INDEX(Sheet1!$CN:$CN,INT((ROWS($A$10:$A285)+1)/2)+1)&amp;"","〃"))</f>
        <v/>
      </c>
      <c r="D285" s="76" t="str">
        <f>IF(E285="","",IF(E284="",IF(INDEX(Sheet1!$N:$N,INT((ROWS($A$10:$A285)+1)/2)+1)="","",INDEX(Sheet1!$N:$N,INT((ROWS($A$10:$A285)+1)/2)+1)),"〃"))</f>
        <v/>
      </c>
      <c r="E285" s="74" t="str">
        <f>IF(INDEX(Sheet1!$BA:$BA,INT((ROWS($A$10:$A285)+1)/2)+1)&lt;&gt;"","わな猟","")</f>
        <v/>
      </c>
      <c r="F285" s="77" t="str">
        <f>IF(E285="","",INDEX(Sheet1!$BC:$BC,INT((ROWS($A$10:$A285)+1)/2)+1)&amp;"")</f>
        <v/>
      </c>
      <c r="G285" s="76" t="str">
        <f>IF(E285="","",IF(INDEX(Sheet1!$BM:$BM,INT((ROWS($A$10:$A285)+1)/2)+1)="","",INDEX(Sheet1!$BM:$BM,INT((ROWS($A$10:$A285)+1)/2)+1)))</f>
        <v/>
      </c>
      <c r="H285" s="78"/>
      <c r="I285" s="73"/>
      <c r="J285" s="90"/>
    </row>
    <row r="286" spans="1:10" s="71" customFormat="1" ht="30" customHeight="1" x14ac:dyDescent="0.15">
      <c r="A286" s="74" t="str">
        <f>IF(AND(INDEX(Sheet1!$AM:$AM,INT((ROWS($A$10:$A286)+1)/2)+1)="",INDEX(Sheet1!$BA:$BA,INT((ROWS($A$10:$A286)+1)/2)+1)&lt;&gt;""),"",INDEX(Sheet1!$AC:$AC,INT((ROWS($A$10:$A286)+1)/2)+1)&amp;"")</f>
        <v/>
      </c>
      <c r="B286" s="74" t="str">
        <f>IF(AND(INDEX(Sheet1!$AM:$AM,INT((ROWS($A$10:$A286)+1)/2)+1)="",INDEX(Sheet1!$BA:$BA,INT((ROWS($A$10:$A286)+1)/2)+1)&lt;&gt;""),"",INDEX(Sheet1!$B:$B,INT((ROWS($A$10:$A286)+1)/2)+1)&amp;"")</f>
        <v/>
      </c>
      <c r="C286" s="74" t="str">
        <f>IF(AND(INDEX(Sheet1!$AM:$AM,INT((ROWS($A$10:$A286)+1)/2)+1)="",INDEX(Sheet1!$BA:$BA,INT((ROWS($A$10:$A286)+1)/2)+1)&lt;&gt;""),"",INDEX(Sheet1!$CN:$CN,INT((ROWS($A$10:$A286)+1)/2)+1)&amp;"")</f>
        <v/>
      </c>
      <c r="D286" s="76" t="str">
        <f>IF(OR(AND(INDEX(Sheet1!$AM:$AM,INT((ROWS($A$10:$A286)+1)/2)+1)="",INDEX(Sheet1!$BA:$BA,INT((ROWS($A$10:$A286)+1)/2)+1)&lt;&gt;""),INDEX(Sheet1!$N:$N,INT((ROWS($A$10:$A286)+1)/2)+1)=""),"",INDEX(Sheet1!$N:$N,INT((ROWS($A$10:$A286)+1)/2)+1))</f>
        <v/>
      </c>
      <c r="E286" s="74" t="str">
        <f>IF(INDEX(Sheet1!$AM:$AM,INT((ROWS($A$10:$A286)+1)/2)+1)&lt;&gt;"","第一種","")</f>
        <v/>
      </c>
      <c r="F286" s="77" t="str">
        <f>IF(E286="","",INDEX(Sheet1!$AO:$AO,INT((ROWS($A$10:$A286)+1)/2)+1)&amp;"")</f>
        <v/>
      </c>
      <c r="G286" s="76" t="str">
        <f>IF(OR(E286="",INDEX(Sheet1!$AY:$AY,INT((ROWS($A$10:$A286)+1)/2)+1)=""),"",INDEX(Sheet1!$AY:$AY,INT((ROWS($A$10:$A286)+1)/2)+1))</f>
        <v/>
      </c>
      <c r="H286" s="74" t="str">
        <f>IF(INDEX(Sheet1!$AD:$AD,INT((ROWS($A$10:$A286)+1)/2)+1)="","",INDEX(Sheet1!$AD:$AD,INT((ROWS($A$10:$A286)+1)/2)+1))</f>
        <v/>
      </c>
      <c r="I286" s="76" t="str">
        <f>IF(INDEX(Sheet1!$AK:$AK,INT((ROWS($A$10:$A286)+1)/2)+1)="","",INDEX(Sheet1!$AK:$AK,INT((ROWS($A$10:$A286)+1)/2)+1))</f>
        <v/>
      </c>
      <c r="J286" s="90"/>
    </row>
    <row r="287" spans="1:10" ht="30" customHeight="1" x14ac:dyDescent="0.15">
      <c r="A287" s="74" t="str">
        <f>IF(E287="","",IF(E286="",INDEX(Sheet1!$AC:$AC,INT((ROWS($A$10:$A287)+1)/2)+1)&amp;"","〃"))</f>
        <v/>
      </c>
      <c r="B287" s="74" t="str">
        <f>IF(E287="","",IF(E286="",INDEX(Sheet1!$B:$B,INT((ROWS($A$10:$A287)+1)/2)+1)&amp;"","〃"))</f>
        <v/>
      </c>
      <c r="C287" s="74" t="str">
        <f>IF(E287="","",IF(E286="",INDEX(Sheet1!$CN:$CN,INT((ROWS($A$10:$A287)+1)/2)+1)&amp;"","〃"))</f>
        <v/>
      </c>
      <c r="D287" s="76" t="str">
        <f>IF(E287="","",IF(E286="",IF(INDEX(Sheet1!$N:$N,INT((ROWS($A$10:$A287)+1)/2)+1)="","",INDEX(Sheet1!$N:$N,INT((ROWS($A$10:$A287)+1)/2)+1)),"〃"))</f>
        <v/>
      </c>
      <c r="E287" s="74" t="str">
        <f>IF(INDEX(Sheet1!$BA:$BA,INT((ROWS($A$10:$A287)+1)/2)+1)&lt;&gt;"","わな猟","")</f>
        <v/>
      </c>
      <c r="F287" s="77" t="str">
        <f>IF(E287="","",INDEX(Sheet1!$BC:$BC,INT((ROWS($A$10:$A287)+1)/2)+1)&amp;"")</f>
        <v/>
      </c>
      <c r="G287" s="76" t="str">
        <f>IF(E287="","",IF(INDEX(Sheet1!$BM:$BM,INT((ROWS($A$10:$A287)+1)/2)+1)="","",INDEX(Sheet1!$BM:$BM,INT((ROWS($A$10:$A287)+1)/2)+1)))</f>
        <v/>
      </c>
      <c r="H287" s="78"/>
      <c r="I287" s="73"/>
      <c r="J287" s="90"/>
    </row>
    <row r="288" spans="1:10" s="71" customFormat="1" ht="30" customHeight="1" x14ac:dyDescent="0.15">
      <c r="A288" s="74" t="str">
        <f>IF(AND(INDEX(Sheet1!$AM:$AM,INT((ROWS($A$10:$A288)+1)/2)+1)="",INDEX(Sheet1!$BA:$BA,INT((ROWS($A$10:$A288)+1)/2)+1)&lt;&gt;""),"",INDEX(Sheet1!$AC:$AC,INT((ROWS($A$10:$A288)+1)/2)+1)&amp;"")</f>
        <v/>
      </c>
      <c r="B288" s="74" t="str">
        <f>IF(AND(INDEX(Sheet1!$AM:$AM,INT((ROWS($A$10:$A288)+1)/2)+1)="",INDEX(Sheet1!$BA:$BA,INT((ROWS($A$10:$A288)+1)/2)+1)&lt;&gt;""),"",INDEX(Sheet1!$B:$B,INT((ROWS($A$10:$A288)+1)/2)+1)&amp;"")</f>
        <v/>
      </c>
      <c r="C288" s="74" t="str">
        <f>IF(AND(INDEX(Sheet1!$AM:$AM,INT((ROWS($A$10:$A288)+1)/2)+1)="",INDEX(Sheet1!$BA:$BA,INT((ROWS($A$10:$A288)+1)/2)+1)&lt;&gt;""),"",INDEX(Sheet1!$CN:$CN,INT((ROWS($A$10:$A288)+1)/2)+1)&amp;"")</f>
        <v/>
      </c>
      <c r="D288" s="76" t="str">
        <f>IF(OR(AND(INDEX(Sheet1!$AM:$AM,INT((ROWS($A$10:$A288)+1)/2)+1)="",INDEX(Sheet1!$BA:$BA,INT((ROWS($A$10:$A288)+1)/2)+1)&lt;&gt;""),INDEX(Sheet1!$N:$N,INT((ROWS($A$10:$A288)+1)/2)+1)=""),"",INDEX(Sheet1!$N:$N,INT((ROWS($A$10:$A288)+1)/2)+1))</f>
        <v/>
      </c>
      <c r="E288" s="74" t="str">
        <f>IF(INDEX(Sheet1!$AM:$AM,INT((ROWS($A$10:$A288)+1)/2)+1)&lt;&gt;"","第一種","")</f>
        <v/>
      </c>
      <c r="F288" s="77" t="str">
        <f>IF(E288="","",INDEX(Sheet1!$AO:$AO,INT((ROWS($A$10:$A288)+1)/2)+1)&amp;"")</f>
        <v/>
      </c>
      <c r="G288" s="76" t="str">
        <f>IF(OR(E288="",INDEX(Sheet1!$AY:$AY,INT((ROWS($A$10:$A288)+1)/2)+1)=""),"",INDEX(Sheet1!$AY:$AY,INT((ROWS($A$10:$A288)+1)/2)+1))</f>
        <v/>
      </c>
      <c r="H288" s="74" t="str">
        <f>IF(INDEX(Sheet1!$AD:$AD,INT((ROWS($A$10:$A288)+1)/2)+1)="","",INDEX(Sheet1!$AD:$AD,INT((ROWS($A$10:$A288)+1)/2)+1))</f>
        <v/>
      </c>
      <c r="I288" s="76" t="str">
        <f>IF(INDEX(Sheet1!$AK:$AK,INT((ROWS($A$10:$A288)+1)/2)+1)="","",INDEX(Sheet1!$AK:$AK,INT((ROWS($A$10:$A288)+1)/2)+1))</f>
        <v/>
      </c>
      <c r="J288" s="90"/>
    </row>
    <row r="289" spans="1:10" ht="30" customHeight="1" x14ac:dyDescent="0.15">
      <c r="A289" s="74" t="str">
        <f>IF(E289="","",IF(E288="",INDEX(Sheet1!$AC:$AC,INT((ROWS($A$10:$A289)+1)/2)+1)&amp;"","〃"))</f>
        <v/>
      </c>
      <c r="B289" s="74" t="str">
        <f>IF(E289="","",IF(E288="",INDEX(Sheet1!$B:$B,INT((ROWS($A$10:$A289)+1)/2)+1)&amp;"","〃"))</f>
        <v/>
      </c>
      <c r="C289" s="74" t="str">
        <f>IF(E289="","",IF(E288="",INDEX(Sheet1!$CN:$CN,INT((ROWS($A$10:$A289)+1)/2)+1)&amp;"","〃"))</f>
        <v/>
      </c>
      <c r="D289" s="76" t="str">
        <f>IF(E289="","",IF(E288="",IF(INDEX(Sheet1!$N:$N,INT((ROWS($A$10:$A289)+1)/2)+1)="","",INDEX(Sheet1!$N:$N,INT((ROWS($A$10:$A289)+1)/2)+1)),"〃"))</f>
        <v/>
      </c>
      <c r="E289" s="74" t="str">
        <f>IF(INDEX(Sheet1!$BA:$BA,INT((ROWS($A$10:$A289)+1)/2)+1)&lt;&gt;"","わな猟","")</f>
        <v/>
      </c>
      <c r="F289" s="77" t="str">
        <f>IF(E289="","",INDEX(Sheet1!$BC:$BC,INT((ROWS($A$10:$A289)+1)/2)+1)&amp;"")</f>
        <v/>
      </c>
      <c r="G289" s="76" t="str">
        <f>IF(E289="","",IF(INDEX(Sheet1!$BM:$BM,INT((ROWS($A$10:$A289)+1)/2)+1)="","",INDEX(Sheet1!$BM:$BM,INT((ROWS($A$10:$A289)+1)/2)+1)))</f>
        <v/>
      </c>
      <c r="H289" s="78"/>
      <c r="I289" s="73"/>
      <c r="J289" s="90"/>
    </row>
    <row r="290" spans="1:10" s="71" customFormat="1" ht="30" customHeight="1" x14ac:dyDescent="0.15">
      <c r="A290" s="74" t="str">
        <f>IF(AND(INDEX(Sheet1!$AM:$AM,INT((ROWS($A$10:$A290)+1)/2)+1)="",INDEX(Sheet1!$BA:$BA,INT((ROWS($A$10:$A290)+1)/2)+1)&lt;&gt;""),"",INDEX(Sheet1!$AC:$AC,INT((ROWS($A$10:$A290)+1)/2)+1)&amp;"")</f>
        <v/>
      </c>
      <c r="B290" s="74" t="str">
        <f>IF(AND(INDEX(Sheet1!$AM:$AM,INT((ROWS($A$10:$A290)+1)/2)+1)="",INDEX(Sheet1!$BA:$BA,INT((ROWS($A$10:$A290)+1)/2)+1)&lt;&gt;""),"",INDEX(Sheet1!$B:$B,INT((ROWS($A$10:$A290)+1)/2)+1)&amp;"")</f>
        <v/>
      </c>
      <c r="C290" s="74" t="str">
        <f>IF(AND(INDEX(Sheet1!$AM:$AM,INT((ROWS($A$10:$A290)+1)/2)+1)="",INDEX(Sheet1!$BA:$BA,INT((ROWS($A$10:$A290)+1)/2)+1)&lt;&gt;""),"",INDEX(Sheet1!$CN:$CN,INT((ROWS($A$10:$A290)+1)/2)+1)&amp;"")</f>
        <v/>
      </c>
      <c r="D290" s="76" t="str">
        <f>IF(OR(AND(INDEX(Sheet1!$AM:$AM,INT((ROWS($A$10:$A290)+1)/2)+1)="",INDEX(Sheet1!$BA:$BA,INT((ROWS($A$10:$A290)+1)/2)+1)&lt;&gt;""),INDEX(Sheet1!$N:$N,INT((ROWS($A$10:$A290)+1)/2)+1)=""),"",INDEX(Sheet1!$N:$N,INT((ROWS($A$10:$A290)+1)/2)+1))</f>
        <v/>
      </c>
      <c r="E290" s="74" t="str">
        <f>IF(INDEX(Sheet1!$AM:$AM,INT((ROWS($A$10:$A290)+1)/2)+1)&lt;&gt;"","第一種","")</f>
        <v/>
      </c>
      <c r="F290" s="77" t="str">
        <f>IF(E290="","",INDEX(Sheet1!$AO:$AO,INT((ROWS($A$10:$A290)+1)/2)+1)&amp;"")</f>
        <v/>
      </c>
      <c r="G290" s="76" t="str">
        <f>IF(OR(E290="",INDEX(Sheet1!$AY:$AY,INT((ROWS($A$10:$A290)+1)/2)+1)=""),"",INDEX(Sheet1!$AY:$AY,INT((ROWS($A$10:$A290)+1)/2)+1))</f>
        <v/>
      </c>
      <c r="H290" s="74" t="str">
        <f>IF(INDEX(Sheet1!$AD:$AD,INT((ROWS($A$10:$A290)+1)/2)+1)="","",INDEX(Sheet1!$AD:$AD,INT((ROWS($A$10:$A290)+1)/2)+1))</f>
        <v/>
      </c>
      <c r="I290" s="76" t="str">
        <f>IF(INDEX(Sheet1!$AK:$AK,INT((ROWS($A$10:$A290)+1)/2)+1)="","",INDEX(Sheet1!$AK:$AK,INT((ROWS($A$10:$A290)+1)/2)+1))</f>
        <v/>
      </c>
      <c r="J290" s="90"/>
    </row>
    <row r="291" spans="1:10" ht="30" customHeight="1" x14ac:dyDescent="0.15">
      <c r="A291" s="74" t="str">
        <f>IF(E291="","",IF(E290="",INDEX(Sheet1!$AC:$AC,INT((ROWS($A$10:$A291)+1)/2)+1)&amp;"","〃"))</f>
        <v/>
      </c>
      <c r="B291" s="74" t="str">
        <f>IF(E291="","",IF(E290="",INDEX(Sheet1!$B:$B,INT((ROWS($A$10:$A291)+1)/2)+1)&amp;"","〃"))</f>
        <v/>
      </c>
      <c r="C291" s="74" t="str">
        <f>IF(E291="","",IF(E290="",INDEX(Sheet1!$CN:$CN,INT((ROWS($A$10:$A291)+1)/2)+1)&amp;"","〃"))</f>
        <v/>
      </c>
      <c r="D291" s="76" t="str">
        <f>IF(E291="","",IF(E290="",IF(INDEX(Sheet1!$N:$N,INT((ROWS($A$10:$A291)+1)/2)+1)="","",INDEX(Sheet1!$N:$N,INT((ROWS($A$10:$A291)+1)/2)+1)),"〃"))</f>
        <v/>
      </c>
      <c r="E291" s="74" t="str">
        <f>IF(INDEX(Sheet1!$BA:$BA,INT((ROWS($A$10:$A291)+1)/2)+1)&lt;&gt;"","わな猟","")</f>
        <v/>
      </c>
      <c r="F291" s="77" t="str">
        <f>IF(E291="","",INDEX(Sheet1!$BC:$BC,INT((ROWS($A$10:$A291)+1)/2)+1)&amp;"")</f>
        <v/>
      </c>
      <c r="G291" s="76" t="str">
        <f>IF(E291="","",IF(INDEX(Sheet1!$BM:$BM,INT((ROWS($A$10:$A291)+1)/2)+1)="","",INDEX(Sheet1!$BM:$BM,INT((ROWS($A$10:$A291)+1)/2)+1)))</f>
        <v/>
      </c>
      <c r="H291" s="78"/>
      <c r="I291" s="73"/>
      <c r="J291" s="90"/>
    </row>
    <row r="292" spans="1:10" s="71" customFormat="1" ht="30" customHeight="1" x14ac:dyDescent="0.15">
      <c r="A292" s="74" t="str">
        <f>IF(AND(INDEX(Sheet1!$AM:$AM,INT((ROWS($A$10:$A292)+1)/2)+1)="",INDEX(Sheet1!$BA:$BA,INT((ROWS($A$10:$A292)+1)/2)+1)&lt;&gt;""),"",INDEX(Sheet1!$AC:$AC,INT((ROWS($A$10:$A292)+1)/2)+1)&amp;"")</f>
        <v/>
      </c>
      <c r="B292" s="74" t="str">
        <f>IF(AND(INDEX(Sheet1!$AM:$AM,INT((ROWS($A$10:$A292)+1)/2)+1)="",INDEX(Sheet1!$BA:$BA,INT((ROWS($A$10:$A292)+1)/2)+1)&lt;&gt;""),"",INDEX(Sheet1!$B:$B,INT((ROWS($A$10:$A292)+1)/2)+1)&amp;"")</f>
        <v/>
      </c>
      <c r="C292" s="74" t="str">
        <f>IF(AND(INDEX(Sheet1!$AM:$AM,INT((ROWS($A$10:$A292)+1)/2)+1)="",INDEX(Sheet1!$BA:$BA,INT((ROWS($A$10:$A292)+1)/2)+1)&lt;&gt;""),"",INDEX(Sheet1!$CN:$CN,INT((ROWS($A$10:$A292)+1)/2)+1)&amp;"")</f>
        <v/>
      </c>
      <c r="D292" s="76" t="str">
        <f>IF(OR(AND(INDEX(Sheet1!$AM:$AM,INT((ROWS($A$10:$A292)+1)/2)+1)="",INDEX(Sheet1!$BA:$BA,INT((ROWS($A$10:$A292)+1)/2)+1)&lt;&gt;""),INDEX(Sheet1!$N:$N,INT((ROWS($A$10:$A292)+1)/2)+1)=""),"",INDEX(Sheet1!$N:$N,INT((ROWS($A$10:$A292)+1)/2)+1))</f>
        <v/>
      </c>
      <c r="E292" s="74" t="str">
        <f>IF(INDEX(Sheet1!$AM:$AM,INT((ROWS($A$10:$A292)+1)/2)+1)&lt;&gt;"","第一種","")</f>
        <v/>
      </c>
      <c r="F292" s="77" t="str">
        <f>IF(E292="","",INDEX(Sheet1!$AO:$AO,INT((ROWS($A$10:$A292)+1)/2)+1)&amp;"")</f>
        <v/>
      </c>
      <c r="G292" s="76" t="str">
        <f>IF(OR(E292="",INDEX(Sheet1!$AY:$AY,INT((ROWS($A$10:$A292)+1)/2)+1)=""),"",INDEX(Sheet1!$AY:$AY,INT((ROWS($A$10:$A292)+1)/2)+1))</f>
        <v/>
      </c>
      <c r="H292" s="74" t="str">
        <f>IF(INDEX(Sheet1!$AD:$AD,INT((ROWS($A$10:$A292)+1)/2)+1)="","",INDEX(Sheet1!$AD:$AD,INT((ROWS($A$10:$A292)+1)/2)+1))</f>
        <v/>
      </c>
      <c r="I292" s="76" t="str">
        <f>IF(INDEX(Sheet1!$AK:$AK,INT((ROWS($A$10:$A292)+1)/2)+1)="","",INDEX(Sheet1!$AK:$AK,INT((ROWS($A$10:$A292)+1)/2)+1))</f>
        <v/>
      </c>
      <c r="J292" s="90"/>
    </row>
    <row r="293" spans="1:10" ht="30" customHeight="1" x14ac:dyDescent="0.15">
      <c r="A293" s="74" t="str">
        <f>IF(E293="","",IF(E292="",INDEX(Sheet1!$AC:$AC,INT((ROWS($A$10:$A293)+1)/2)+1)&amp;"","〃"))</f>
        <v/>
      </c>
      <c r="B293" s="74" t="str">
        <f>IF(E293="","",IF(E292="",INDEX(Sheet1!$B:$B,INT((ROWS($A$10:$A293)+1)/2)+1)&amp;"","〃"))</f>
        <v/>
      </c>
      <c r="C293" s="74" t="str">
        <f>IF(E293="","",IF(E292="",INDEX(Sheet1!$CN:$CN,INT((ROWS($A$10:$A293)+1)/2)+1)&amp;"","〃"))</f>
        <v/>
      </c>
      <c r="D293" s="76" t="str">
        <f>IF(E293="","",IF(E292="",IF(INDEX(Sheet1!$N:$N,INT((ROWS($A$10:$A293)+1)/2)+1)="","",INDEX(Sheet1!$N:$N,INT((ROWS($A$10:$A293)+1)/2)+1)),"〃"))</f>
        <v/>
      </c>
      <c r="E293" s="74" t="str">
        <f>IF(INDEX(Sheet1!$BA:$BA,INT((ROWS($A$10:$A293)+1)/2)+1)&lt;&gt;"","わな猟","")</f>
        <v/>
      </c>
      <c r="F293" s="77" t="str">
        <f>IF(E293="","",INDEX(Sheet1!$BC:$BC,INT((ROWS($A$10:$A293)+1)/2)+1)&amp;"")</f>
        <v/>
      </c>
      <c r="G293" s="76" t="str">
        <f>IF(E293="","",IF(INDEX(Sheet1!$BM:$BM,INT((ROWS($A$10:$A293)+1)/2)+1)="","",INDEX(Sheet1!$BM:$BM,INT((ROWS($A$10:$A293)+1)/2)+1)))</f>
        <v/>
      </c>
      <c r="H293" s="78"/>
      <c r="I293" s="73"/>
      <c r="J293" s="90"/>
    </row>
    <row r="294" spans="1:10" s="71" customFormat="1" ht="30" customHeight="1" x14ac:dyDescent="0.15">
      <c r="A294" s="74" t="str">
        <f>IF(AND(INDEX(Sheet1!$AM:$AM,INT((ROWS($A$10:$A294)+1)/2)+1)="",INDEX(Sheet1!$BA:$BA,INT((ROWS($A$10:$A294)+1)/2)+1)&lt;&gt;""),"",INDEX(Sheet1!$AC:$AC,INT((ROWS($A$10:$A294)+1)/2)+1)&amp;"")</f>
        <v/>
      </c>
      <c r="B294" s="74" t="str">
        <f>IF(AND(INDEX(Sheet1!$AM:$AM,INT((ROWS($A$10:$A294)+1)/2)+1)="",INDEX(Sheet1!$BA:$BA,INT((ROWS($A$10:$A294)+1)/2)+1)&lt;&gt;""),"",INDEX(Sheet1!$B:$B,INT((ROWS($A$10:$A294)+1)/2)+1)&amp;"")</f>
        <v/>
      </c>
      <c r="C294" s="74" t="str">
        <f>IF(AND(INDEX(Sheet1!$AM:$AM,INT((ROWS($A$10:$A294)+1)/2)+1)="",INDEX(Sheet1!$BA:$BA,INT((ROWS($A$10:$A294)+1)/2)+1)&lt;&gt;""),"",INDEX(Sheet1!$CN:$CN,INT((ROWS($A$10:$A294)+1)/2)+1)&amp;"")</f>
        <v/>
      </c>
      <c r="D294" s="76" t="str">
        <f>IF(OR(AND(INDEX(Sheet1!$AM:$AM,INT((ROWS($A$10:$A294)+1)/2)+1)="",INDEX(Sheet1!$BA:$BA,INT((ROWS($A$10:$A294)+1)/2)+1)&lt;&gt;""),INDEX(Sheet1!$N:$N,INT((ROWS($A$10:$A294)+1)/2)+1)=""),"",INDEX(Sheet1!$N:$N,INT((ROWS($A$10:$A294)+1)/2)+1))</f>
        <v/>
      </c>
      <c r="E294" s="74" t="str">
        <f>IF(INDEX(Sheet1!$AM:$AM,INT((ROWS($A$10:$A294)+1)/2)+1)&lt;&gt;"","第一種","")</f>
        <v/>
      </c>
      <c r="F294" s="77" t="str">
        <f>IF(E294="","",INDEX(Sheet1!$AO:$AO,INT((ROWS($A$10:$A294)+1)/2)+1)&amp;"")</f>
        <v/>
      </c>
      <c r="G294" s="76" t="str">
        <f>IF(OR(E294="",INDEX(Sheet1!$AY:$AY,INT((ROWS($A$10:$A294)+1)/2)+1)=""),"",INDEX(Sheet1!$AY:$AY,INT((ROWS($A$10:$A294)+1)/2)+1))</f>
        <v/>
      </c>
      <c r="H294" s="74" t="str">
        <f>IF(INDEX(Sheet1!$AD:$AD,INT((ROWS($A$10:$A294)+1)/2)+1)="","",INDEX(Sheet1!$AD:$AD,INT((ROWS($A$10:$A294)+1)/2)+1))</f>
        <v/>
      </c>
      <c r="I294" s="76" t="str">
        <f>IF(INDEX(Sheet1!$AK:$AK,INT((ROWS($A$10:$A294)+1)/2)+1)="","",INDEX(Sheet1!$AK:$AK,INT((ROWS($A$10:$A294)+1)/2)+1))</f>
        <v/>
      </c>
      <c r="J294" s="90"/>
    </row>
    <row r="295" spans="1:10" ht="30" customHeight="1" x14ac:dyDescent="0.15">
      <c r="A295" s="74" t="str">
        <f>IF(E295="","",IF(E294="",INDEX(Sheet1!$AC:$AC,INT((ROWS($A$10:$A295)+1)/2)+1)&amp;"","〃"))</f>
        <v/>
      </c>
      <c r="B295" s="74" t="str">
        <f>IF(E295="","",IF(E294="",INDEX(Sheet1!$B:$B,INT((ROWS($A$10:$A295)+1)/2)+1)&amp;"","〃"))</f>
        <v/>
      </c>
      <c r="C295" s="74" t="str">
        <f>IF(E295="","",IF(E294="",INDEX(Sheet1!$CN:$CN,INT((ROWS($A$10:$A295)+1)/2)+1)&amp;"","〃"))</f>
        <v/>
      </c>
      <c r="D295" s="76" t="str">
        <f>IF(E295="","",IF(E294="",IF(INDEX(Sheet1!$N:$N,INT((ROWS($A$10:$A295)+1)/2)+1)="","",INDEX(Sheet1!$N:$N,INT((ROWS($A$10:$A295)+1)/2)+1)),"〃"))</f>
        <v/>
      </c>
      <c r="E295" s="74" t="str">
        <f>IF(INDEX(Sheet1!$BA:$BA,INT((ROWS($A$10:$A295)+1)/2)+1)&lt;&gt;"","わな猟","")</f>
        <v/>
      </c>
      <c r="F295" s="77" t="str">
        <f>IF(E295="","",INDEX(Sheet1!$BC:$BC,INT((ROWS($A$10:$A295)+1)/2)+1)&amp;"")</f>
        <v/>
      </c>
      <c r="G295" s="76" t="str">
        <f>IF(E295="","",IF(INDEX(Sheet1!$BM:$BM,INT((ROWS($A$10:$A295)+1)/2)+1)="","",INDEX(Sheet1!$BM:$BM,INT((ROWS($A$10:$A295)+1)/2)+1)))</f>
        <v/>
      </c>
      <c r="H295" s="78"/>
      <c r="I295" s="73"/>
      <c r="J295" s="90"/>
    </row>
    <row r="296" spans="1:10" s="71" customFormat="1" ht="30" customHeight="1" x14ac:dyDescent="0.15">
      <c r="A296" s="74" t="str">
        <f>IF(AND(INDEX(Sheet1!$AM:$AM,INT((ROWS($A$10:$A296)+1)/2)+1)="",INDEX(Sheet1!$BA:$BA,INT((ROWS($A$10:$A296)+1)/2)+1)&lt;&gt;""),"",INDEX(Sheet1!$AC:$AC,INT((ROWS($A$10:$A296)+1)/2)+1)&amp;"")</f>
        <v/>
      </c>
      <c r="B296" s="74" t="str">
        <f>IF(AND(INDEX(Sheet1!$AM:$AM,INT((ROWS($A$10:$A296)+1)/2)+1)="",INDEX(Sheet1!$BA:$BA,INT((ROWS($A$10:$A296)+1)/2)+1)&lt;&gt;""),"",INDEX(Sheet1!$B:$B,INT((ROWS($A$10:$A296)+1)/2)+1)&amp;"")</f>
        <v/>
      </c>
      <c r="C296" s="74" t="str">
        <f>IF(AND(INDEX(Sheet1!$AM:$AM,INT((ROWS($A$10:$A296)+1)/2)+1)="",INDEX(Sheet1!$BA:$BA,INT((ROWS($A$10:$A296)+1)/2)+1)&lt;&gt;""),"",INDEX(Sheet1!$CN:$CN,INT((ROWS($A$10:$A296)+1)/2)+1)&amp;"")</f>
        <v/>
      </c>
      <c r="D296" s="76" t="str">
        <f>IF(OR(AND(INDEX(Sheet1!$AM:$AM,INT((ROWS($A$10:$A296)+1)/2)+1)="",INDEX(Sheet1!$BA:$BA,INT((ROWS($A$10:$A296)+1)/2)+1)&lt;&gt;""),INDEX(Sheet1!$N:$N,INT((ROWS($A$10:$A296)+1)/2)+1)=""),"",INDEX(Sheet1!$N:$N,INT((ROWS($A$10:$A296)+1)/2)+1))</f>
        <v/>
      </c>
      <c r="E296" s="74" t="str">
        <f>IF(INDEX(Sheet1!$AM:$AM,INT((ROWS($A$10:$A296)+1)/2)+1)&lt;&gt;"","第一種","")</f>
        <v/>
      </c>
      <c r="F296" s="77" t="str">
        <f>IF(E296="","",INDEX(Sheet1!$AO:$AO,INT((ROWS($A$10:$A296)+1)/2)+1)&amp;"")</f>
        <v/>
      </c>
      <c r="G296" s="76" t="str">
        <f>IF(OR(E296="",INDEX(Sheet1!$AY:$AY,INT((ROWS($A$10:$A296)+1)/2)+1)=""),"",INDEX(Sheet1!$AY:$AY,INT((ROWS($A$10:$A296)+1)/2)+1))</f>
        <v/>
      </c>
      <c r="H296" s="74" t="str">
        <f>IF(INDEX(Sheet1!$AD:$AD,INT((ROWS($A$10:$A296)+1)/2)+1)="","",INDEX(Sheet1!$AD:$AD,INT((ROWS($A$10:$A296)+1)/2)+1))</f>
        <v/>
      </c>
      <c r="I296" s="76" t="str">
        <f>IF(INDEX(Sheet1!$AK:$AK,INT((ROWS($A$10:$A296)+1)/2)+1)="","",INDEX(Sheet1!$AK:$AK,INT((ROWS($A$10:$A296)+1)/2)+1))</f>
        <v/>
      </c>
      <c r="J296" s="90"/>
    </row>
    <row r="297" spans="1:10" ht="30" customHeight="1" x14ac:dyDescent="0.15">
      <c r="A297" s="74" t="str">
        <f>IF(E297="","",IF(E296="",INDEX(Sheet1!$AC:$AC,INT((ROWS($A$10:$A297)+1)/2)+1)&amp;"","〃"))</f>
        <v/>
      </c>
      <c r="B297" s="74" t="str">
        <f>IF(E297="","",IF(E296="",INDEX(Sheet1!$B:$B,INT((ROWS($A$10:$A297)+1)/2)+1)&amp;"","〃"))</f>
        <v/>
      </c>
      <c r="C297" s="74" t="str">
        <f>IF(E297="","",IF(E296="",INDEX(Sheet1!$CN:$CN,INT((ROWS($A$10:$A297)+1)/2)+1)&amp;"","〃"))</f>
        <v/>
      </c>
      <c r="D297" s="76" t="str">
        <f>IF(E297="","",IF(E296="",IF(INDEX(Sheet1!$N:$N,INT((ROWS($A$10:$A297)+1)/2)+1)="","",INDEX(Sheet1!$N:$N,INT((ROWS($A$10:$A297)+1)/2)+1)),"〃"))</f>
        <v/>
      </c>
      <c r="E297" s="74" t="str">
        <f>IF(INDEX(Sheet1!$BA:$BA,INT((ROWS($A$10:$A297)+1)/2)+1)&lt;&gt;"","わな猟","")</f>
        <v/>
      </c>
      <c r="F297" s="77" t="str">
        <f>IF(E297="","",INDEX(Sheet1!$BC:$BC,INT((ROWS($A$10:$A297)+1)/2)+1)&amp;"")</f>
        <v/>
      </c>
      <c r="G297" s="76" t="str">
        <f>IF(E297="","",IF(INDEX(Sheet1!$BM:$BM,INT((ROWS($A$10:$A297)+1)/2)+1)="","",INDEX(Sheet1!$BM:$BM,INT((ROWS($A$10:$A297)+1)/2)+1)))</f>
        <v/>
      </c>
      <c r="H297" s="78"/>
      <c r="I297" s="73"/>
      <c r="J297" s="90"/>
    </row>
    <row r="298" spans="1:10" s="71" customFormat="1" ht="30" customHeight="1" x14ac:dyDescent="0.15">
      <c r="A298" s="74" t="str">
        <f>IF(AND(INDEX(Sheet1!$AM:$AM,INT((ROWS($A$10:$A298)+1)/2)+1)="",INDEX(Sheet1!$BA:$BA,INT((ROWS($A$10:$A298)+1)/2)+1)&lt;&gt;""),"",INDEX(Sheet1!$AC:$AC,INT((ROWS($A$10:$A298)+1)/2)+1)&amp;"")</f>
        <v/>
      </c>
      <c r="B298" s="74" t="str">
        <f>IF(AND(INDEX(Sheet1!$AM:$AM,INT((ROWS($A$10:$A298)+1)/2)+1)="",INDEX(Sheet1!$BA:$BA,INT((ROWS($A$10:$A298)+1)/2)+1)&lt;&gt;""),"",INDEX(Sheet1!$B:$B,INT((ROWS($A$10:$A298)+1)/2)+1)&amp;"")</f>
        <v/>
      </c>
      <c r="C298" s="74" t="str">
        <f>IF(AND(INDEX(Sheet1!$AM:$AM,INT((ROWS($A$10:$A298)+1)/2)+1)="",INDEX(Sheet1!$BA:$BA,INT((ROWS($A$10:$A298)+1)/2)+1)&lt;&gt;""),"",INDEX(Sheet1!$CN:$CN,INT((ROWS($A$10:$A298)+1)/2)+1)&amp;"")</f>
        <v/>
      </c>
      <c r="D298" s="76" t="str">
        <f>IF(OR(AND(INDEX(Sheet1!$AM:$AM,INT((ROWS($A$10:$A298)+1)/2)+1)="",INDEX(Sheet1!$BA:$BA,INT((ROWS($A$10:$A298)+1)/2)+1)&lt;&gt;""),INDEX(Sheet1!$N:$N,INT((ROWS($A$10:$A298)+1)/2)+1)=""),"",INDEX(Sheet1!$N:$N,INT((ROWS($A$10:$A298)+1)/2)+1))</f>
        <v/>
      </c>
      <c r="E298" s="74" t="str">
        <f>IF(INDEX(Sheet1!$AM:$AM,INT((ROWS($A$10:$A298)+1)/2)+1)&lt;&gt;"","第一種","")</f>
        <v/>
      </c>
      <c r="F298" s="77" t="str">
        <f>IF(E298="","",INDEX(Sheet1!$AO:$AO,INT((ROWS($A$10:$A298)+1)/2)+1)&amp;"")</f>
        <v/>
      </c>
      <c r="G298" s="76" t="str">
        <f>IF(OR(E298="",INDEX(Sheet1!$AY:$AY,INT((ROWS($A$10:$A298)+1)/2)+1)=""),"",INDEX(Sheet1!$AY:$AY,INT((ROWS($A$10:$A298)+1)/2)+1))</f>
        <v/>
      </c>
      <c r="H298" s="74" t="str">
        <f>IF(INDEX(Sheet1!$AD:$AD,INT((ROWS($A$10:$A298)+1)/2)+1)="","",INDEX(Sheet1!$AD:$AD,INT((ROWS($A$10:$A298)+1)/2)+1))</f>
        <v/>
      </c>
      <c r="I298" s="76" t="str">
        <f>IF(INDEX(Sheet1!$AK:$AK,INT((ROWS($A$10:$A298)+1)/2)+1)="","",INDEX(Sheet1!$AK:$AK,INT((ROWS($A$10:$A298)+1)/2)+1))</f>
        <v/>
      </c>
      <c r="J298" s="90"/>
    </row>
    <row r="299" spans="1:10" ht="30" customHeight="1" x14ac:dyDescent="0.15">
      <c r="A299" s="74" t="str">
        <f>IF(E299="","",IF(E298="",INDEX(Sheet1!$AC:$AC,INT((ROWS($A$10:$A299)+1)/2)+1)&amp;"","〃"))</f>
        <v/>
      </c>
      <c r="B299" s="74" t="str">
        <f>IF(E299="","",IF(E298="",INDEX(Sheet1!$B:$B,INT((ROWS($A$10:$A299)+1)/2)+1)&amp;"","〃"))</f>
        <v/>
      </c>
      <c r="C299" s="74" t="str">
        <f>IF(E299="","",IF(E298="",INDEX(Sheet1!$CN:$CN,INT((ROWS($A$10:$A299)+1)/2)+1)&amp;"","〃"))</f>
        <v/>
      </c>
      <c r="D299" s="76" t="str">
        <f>IF(E299="","",IF(E298="",IF(INDEX(Sheet1!$N:$N,INT((ROWS($A$10:$A299)+1)/2)+1)="","",INDEX(Sheet1!$N:$N,INT((ROWS($A$10:$A299)+1)/2)+1)),"〃"))</f>
        <v/>
      </c>
      <c r="E299" s="74" t="str">
        <f>IF(INDEX(Sheet1!$BA:$BA,INT((ROWS($A$10:$A299)+1)/2)+1)&lt;&gt;"","わな猟","")</f>
        <v/>
      </c>
      <c r="F299" s="77" t="str">
        <f>IF(E299="","",INDEX(Sheet1!$BC:$BC,INT((ROWS($A$10:$A299)+1)/2)+1)&amp;"")</f>
        <v/>
      </c>
      <c r="G299" s="76" t="str">
        <f>IF(E299="","",IF(INDEX(Sheet1!$BM:$BM,INT((ROWS($A$10:$A299)+1)/2)+1)="","",INDEX(Sheet1!$BM:$BM,INT((ROWS($A$10:$A299)+1)/2)+1)))</f>
        <v/>
      </c>
      <c r="H299" s="78"/>
      <c r="I299" s="73"/>
      <c r="J299" s="90"/>
    </row>
    <row r="300" spans="1:10" s="71" customFormat="1" ht="30" customHeight="1" x14ac:dyDescent="0.15">
      <c r="A300" s="74" t="str">
        <f>IF(AND(INDEX(Sheet1!$AM:$AM,INT((ROWS($A$10:$A300)+1)/2)+1)="",INDEX(Sheet1!$BA:$BA,INT((ROWS($A$10:$A300)+1)/2)+1)&lt;&gt;""),"",INDEX(Sheet1!$AC:$AC,INT((ROWS($A$10:$A300)+1)/2)+1)&amp;"")</f>
        <v/>
      </c>
      <c r="B300" s="74" t="str">
        <f>IF(AND(INDEX(Sheet1!$AM:$AM,INT((ROWS($A$10:$A300)+1)/2)+1)="",INDEX(Sheet1!$BA:$BA,INT((ROWS($A$10:$A300)+1)/2)+1)&lt;&gt;""),"",INDEX(Sheet1!$B:$B,INT((ROWS($A$10:$A300)+1)/2)+1)&amp;"")</f>
        <v/>
      </c>
      <c r="C300" s="74" t="str">
        <f>IF(AND(INDEX(Sheet1!$AM:$AM,INT((ROWS($A$10:$A300)+1)/2)+1)="",INDEX(Sheet1!$BA:$BA,INT((ROWS($A$10:$A300)+1)/2)+1)&lt;&gt;""),"",INDEX(Sheet1!$CN:$CN,INT((ROWS($A$10:$A300)+1)/2)+1)&amp;"")</f>
        <v/>
      </c>
      <c r="D300" s="76" t="str">
        <f>IF(OR(AND(INDEX(Sheet1!$AM:$AM,INT((ROWS($A$10:$A300)+1)/2)+1)="",INDEX(Sheet1!$BA:$BA,INT((ROWS($A$10:$A300)+1)/2)+1)&lt;&gt;""),INDEX(Sheet1!$N:$N,INT((ROWS($A$10:$A300)+1)/2)+1)=""),"",INDEX(Sheet1!$N:$N,INT((ROWS($A$10:$A300)+1)/2)+1))</f>
        <v/>
      </c>
      <c r="E300" s="74" t="str">
        <f>IF(INDEX(Sheet1!$AM:$AM,INT((ROWS($A$10:$A300)+1)/2)+1)&lt;&gt;"","第一種","")</f>
        <v/>
      </c>
      <c r="F300" s="77" t="str">
        <f>IF(E300="","",INDEX(Sheet1!$AO:$AO,INT((ROWS($A$10:$A300)+1)/2)+1)&amp;"")</f>
        <v/>
      </c>
      <c r="G300" s="76" t="str">
        <f>IF(OR(E300="",INDEX(Sheet1!$AY:$AY,INT((ROWS($A$10:$A300)+1)/2)+1)=""),"",INDEX(Sheet1!$AY:$AY,INT((ROWS($A$10:$A300)+1)/2)+1))</f>
        <v/>
      </c>
      <c r="H300" s="74" t="str">
        <f>IF(INDEX(Sheet1!$AD:$AD,INT((ROWS($A$10:$A300)+1)/2)+1)="","",INDEX(Sheet1!$AD:$AD,INT((ROWS($A$10:$A300)+1)/2)+1))</f>
        <v/>
      </c>
      <c r="I300" s="76" t="str">
        <f>IF(INDEX(Sheet1!$AK:$AK,INT((ROWS($A$10:$A300)+1)/2)+1)="","",INDEX(Sheet1!$AK:$AK,INT((ROWS($A$10:$A300)+1)/2)+1))</f>
        <v/>
      </c>
      <c r="J300" s="90"/>
    </row>
    <row r="301" spans="1:10" ht="30" customHeight="1" x14ac:dyDescent="0.15">
      <c r="A301" s="74" t="str">
        <f>IF(E301="","",IF(E300="",INDEX(Sheet1!$AC:$AC,INT((ROWS($A$10:$A301)+1)/2)+1)&amp;"","〃"))</f>
        <v/>
      </c>
      <c r="B301" s="74" t="str">
        <f>IF(E301="","",IF(E300="",INDEX(Sheet1!$B:$B,INT((ROWS($A$10:$A301)+1)/2)+1)&amp;"","〃"))</f>
        <v/>
      </c>
      <c r="C301" s="74" t="str">
        <f>IF(E301="","",IF(E300="",INDEX(Sheet1!$CN:$CN,INT((ROWS($A$10:$A301)+1)/2)+1)&amp;"","〃"))</f>
        <v/>
      </c>
      <c r="D301" s="76" t="str">
        <f>IF(E301="","",IF(E300="",IF(INDEX(Sheet1!$N:$N,INT((ROWS($A$10:$A301)+1)/2)+1)="","",INDEX(Sheet1!$N:$N,INT((ROWS($A$10:$A301)+1)/2)+1)),"〃"))</f>
        <v/>
      </c>
      <c r="E301" s="74" t="str">
        <f>IF(INDEX(Sheet1!$BA:$BA,INT((ROWS($A$10:$A301)+1)/2)+1)&lt;&gt;"","わな猟","")</f>
        <v/>
      </c>
      <c r="F301" s="77" t="str">
        <f>IF(E301="","",INDEX(Sheet1!$BC:$BC,INT((ROWS($A$10:$A301)+1)/2)+1)&amp;"")</f>
        <v/>
      </c>
      <c r="G301" s="76" t="str">
        <f>IF(E301="","",IF(INDEX(Sheet1!$BM:$BM,INT((ROWS($A$10:$A301)+1)/2)+1)="","",INDEX(Sheet1!$BM:$BM,INT((ROWS($A$10:$A301)+1)/2)+1)))</f>
        <v/>
      </c>
      <c r="H301" s="78"/>
      <c r="I301" s="73"/>
      <c r="J301" s="90"/>
    </row>
    <row r="302" spans="1:10" s="71" customFormat="1" ht="30" customHeight="1" x14ac:dyDescent="0.15">
      <c r="A302" s="74" t="str">
        <f>IF(AND(INDEX(Sheet1!$AM:$AM,INT((ROWS($A$10:$A302)+1)/2)+1)="",INDEX(Sheet1!$BA:$BA,INT((ROWS($A$10:$A302)+1)/2)+1)&lt;&gt;""),"",INDEX(Sheet1!$AC:$AC,INT((ROWS($A$10:$A302)+1)/2)+1)&amp;"")</f>
        <v/>
      </c>
      <c r="B302" s="74" t="str">
        <f>IF(AND(INDEX(Sheet1!$AM:$AM,INT((ROWS($A$10:$A302)+1)/2)+1)="",INDEX(Sheet1!$BA:$BA,INT((ROWS($A$10:$A302)+1)/2)+1)&lt;&gt;""),"",INDEX(Sheet1!$B:$B,INT((ROWS($A$10:$A302)+1)/2)+1)&amp;"")</f>
        <v/>
      </c>
      <c r="C302" s="74" t="str">
        <f>IF(AND(INDEX(Sheet1!$AM:$AM,INT((ROWS($A$10:$A302)+1)/2)+1)="",INDEX(Sheet1!$BA:$BA,INT((ROWS($A$10:$A302)+1)/2)+1)&lt;&gt;""),"",INDEX(Sheet1!$CN:$CN,INT((ROWS($A$10:$A302)+1)/2)+1)&amp;"")</f>
        <v/>
      </c>
      <c r="D302" s="76" t="str">
        <f>IF(OR(AND(INDEX(Sheet1!$AM:$AM,INT((ROWS($A$10:$A302)+1)/2)+1)="",INDEX(Sheet1!$BA:$BA,INT((ROWS($A$10:$A302)+1)/2)+1)&lt;&gt;""),INDEX(Sheet1!$N:$N,INT((ROWS($A$10:$A302)+1)/2)+1)=""),"",INDEX(Sheet1!$N:$N,INT((ROWS($A$10:$A302)+1)/2)+1))</f>
        <v/>
      </c>
      <c r="E302" s="74" t="str">
        <f>IF(INDEX(Sheet1!$AM:$AM,INT((ROWS($A$10:$A302)+1)/2)+1)&lt;&gt;"","第一種","")</f>
        <v/>
      </c>
      <c r="F302" s="77" t="str">
        <f>IF(E302="","",INDEX(Sheet1!$AO:$AO,INT((ROWS($A$10:$A302)+1)/2)+1)&amp;"")</f>
        <v/>
      </c>
      <c r="G302" s="76" t="str">
        <f>IF(OR(E302="",INDEX(Sheet1!$AY:$AY,INT((ROWS($A$10:$A302)+1)/2)+1)=""),"",INDEX(Sheet1!$AY:$AY,INT((ROWS($A$10:$A302)+1)/2)+1))</f>
        <v/>
      </c>
      <c r="H302" s="74" t="str">
        <f>IF(INDEX(Sheet1!$AD:$AD,INT((ROWS($A$10:$A302)+1)/2)+1)="","",INDEX(Sheet1!$AD:$AD,INT((ROWS($A$10:$A302)+1)/2)+1))</f>
        <v/>
      </c>
      <c r="I302" s="76" t="str">
        <f>IF(INDEX(Sheet1!$AK:$AK,INT((ROWS($A$10:$A302)+1)/2)+1)="","",INDEX(Sheet1!$AK:$AK,INT((ROWS($A$10:$A302)+1)/2)+1))</f>
        <v/>
      </c>
      <c r="J302" s="90"/>
    </row>
    <row r="303" spans="1:10" ht="30" customHeight="1" x14ac:dyDescent="0.15">
      <c r="A303" s="74" t="str">
        <f>IF(E303="","",IF(E302="",INDEX(Sheet1!$AC:$AC,INT((ROWS($A$10:$A303)+1)/2)+1)&amp;"","〃"))</f>
        <v/>
      </c>
      <c r="B303" s="74" t="str">
        <f>IF(E303="","",IF(E302="",INDEX(Sheet1!$B:$B,INT((ROWS($A$10:$A303)+1)/2)+1)&amp;"","〃"))</f>
        <v/>
      </c>
      <c r="C303" s="74" t="str">
        <f>IF(E303="","",IF(E302="",INDEX(Sheet1!$CN:$CN,INT((ROWS($A$10:$A303)+1)/2)+1)&amp;"","〃"))</f>
        <v/>
      </c>
      <c r="D303" s="76" t="str">
        <f>IF(E303="","",IF(E302="",IF(INDEX(Sheet1!$N:$N,INT((ROWS($A$10:$A303)+1)/2)+1)="","",INDEX(Sheet1!$N:$N,INT((ROWS($A$10:$A303)+1)/2)+1)),"〃"))</f>
        <v/>
      </c>
      <c r="E303" s="74" t="str">
        <f>IF(INDEX(Sheet1!$BA:$BA,INT((ROWS($A$10:$A303)+1)/2)+1)&lt;&gt;"","わな猟","")</f>
        <v/>
      </c>
      <c r="F303" s="77" t="str">
        <f>IF(E303="","",INDEX(Sheet1!$BC:$BC,INT((ROWS($A$10:$A303)+1)/2)+1)&amp;"")</f>
        <v/>
      </c>
      <c r="G303" s="76" t="str">
        <f>IF(E303="","",IF(INDEX(Sheet1!$BM:$BM,INT((ROWS($A$10:$A303)+1)/2)+1)="","",INDEX(Sheet1!$BM:$BM,INT((ROWS($A$10:$A303)+1)/2)+1)))</f>
        <v/>
      </c>
      <c r="H303" s="78"/>
      <c r="I303" s="73"/>
      <c r="J303" s="90"/>
    </row>
    <row r="304" spans="1:10" s="71" customFormat="1" ht="30" customHeight="1" x14ac:dyDescent="0.15">
      <c r="A304" s="74" t="str">
        <f>IF(AND(INDEX(Sheet1!$AM:$AM,INT((ROWS($A$10:$A304)+1)/2)+1)="",INDEX(Sheet1!$BA:$BA,INT((ROWS($A$10:$A304)+1)/2)+1)&lt;&gt;""),"",INDEX(Sheet1!$AC:$AC,INT((ROWS($A$10:$A304)+1)/2)+1)&amp;"")</f>
        <v/>
      </c>
      <c r="B304" s="74" t="str">
        <f>IF(AND(INDEX(Sheet1!$AM:$AM,INT((ROWS($A$10:$A304)+1)/2)+1)="",INDEX(Sheet1!$BA:$BA,INT((ROWS($A$10:$A304)+1)/2)+1)&lt;&gt;""),"",INDEX(Sheet1!$B:$B,INT((ROWS($A$10:$A304)+1)/2)+1)&amp;"")</f>
        <v/>
      </c>
      <c r="C304" s="74" t="str">
        <f>IF(AND(INDEX(Sheet1!$AM:$AM,INT((ROWS($A$10:$A304)+1)/2)+1)="",INDEX(Sheet1!$BA:$BA,INT((ROWS($A$10:$A304)+1)/2)+1)&lt;&gt;""),"",INDEX(Sheet1!$CN:$CN,INT((ROWS($A$10:$A304)+1)/2)+1)&amp;"")</f>
        <v/>
      </c>
      <c r="D304" s="76" t="str">
        <f>IF(OR(AND(INDEX(Sheet1!$AM:$AM,INT((ROWS($A$10:$A304)+1)/2)+1)="",INDEX(Sheet1!$BA:$BA,INT((ROWS($A$10:$A304)+1)/2)+1)&lt;&gt;""),INDEX(Sheet1!$N:$N,INT((ROWS($A$10:$A304)+1)/2)+1)=""),"",INDEX(Sheet1!$N:$N,INT((ROWS($A$10:$A304)+1)/2)+1))</f>
        <v/>
      </c>
      <c r="E304" s="74" t="str">
        <f>IF(INDEX(Sheet1!$AM:$AM,INT((ROWS($A$10:$A304)+1)/2)+1)&lt;&gt;"","第一種","")</f>
        <v/>
      </c>
      <c r="F304" s="77" t="str">
        <f>IF(E304="","",INDEX(Sheet1!$AO:$AO,INT((ROWS($A$10:$A304)+1)/2)+1)&amp;"")</f>
        <v/>
      </c>
      <c r="G304" s="76" t="str">
        <f>IF(OR(E304="",INDEX(Sheet1!$AY:$AY,INT((ROWS($A$10:$A304)+1)/2)+1)=""),"",INDEX(Sheet1!$AY:$AY,INT((ROWS($A$10:$A304)+1)/2)+1))</f>
        <v/>
      </c>
      <c r="H304" s="74" t="str">
        <f>IF(INDEX(Sheet1!$AD:$AD,INT((ROWS($A$10:$A304)+1)/2)+1)="","",INDEX(Sheet1!$AD:$AD,INT((ROWS($A$10:$A304)+1)/2)+1))</f>
        <v/>
      </c>
      <c r="I304" s="76" t="str">
        <f>IF(INDEX(Sheet1!$AK:$AK,INT((ROWS($A$10:$A304)+1)/2)+1)="","",INDEX(Sheet1!$AK:$AK,INT((ROWS($A$10:$A304)+1)/2)+1))</f>
        <v/>
      </c>
      <c r="J304" s="90"/>
    </row>
    <row r="305" spans="1:10" ht="30" customHeight="1" x14ac:dyDescent="0.15">
      <c r="A305" s="74" t="str">
        <f>IF(E305="","",IF(E304="",INDEX(Sheet1!$AC:$AC,INT((ROWS($A$10:$A305)+1)/2)+1)&amp;"","〃"))</f>
        <v/>
      </c>
      <c r="B305" s="74" t="str">
        <f>IF(E305="","",IF(E304="",INDEX(Sheet1!$B:$B,INT((ROWS($A$10:$A305)+1)/2)+1)&amp;"","〃"))</f>
        <v/>
      </c>
      <c r="C305" s="74" t="str">
        <f>IF(E305="","",IF(E304="",INDEX(Sheet1!$CN:$CN,INT((ROWS($A$10:$A305)+1)/2)+1)&amp;"","〃"))</f>
        <v/>
      </c>
      <c r="D305" s="76" t="str">
        <f>IF(E305="","",IF(E304="",IF(INDEX(Sheet1!$N:$N,INT((ROWS($A$10:$A305)+1)/2)+1)="","",INDEX(Sheet1!$N:$N,INT((ROWS($A$10:$A305)+1)/2)+1)),"〃"))</f>
        <v/>
      </c>
      <c r="E305" s="74" t="str">
        <f>IF(INDEX(Sheet1!$BA:$BA,INT((ROWS($A$10:$A305)+1)/2)+1)&lt;&gt;"","わな猟","")</f>
        <v/>
      </c>
      <c r="F305" s="77" t="str">
        <f>IF(E305="","",INDEX(Sheet1!$BC:$BC,INT((ROWS($A$10:$A305)+1)/2)+1)&amp;"")</f>
        <v/>
      </c>
      <c r="G305" s="76" t="str">
        <f>IF(E305="","",IF(INDEX(Sheet1!$BM:$BM,INT((ROWS($A$10:$A305)+1)/2)+1)="","",INDEX(Sheet1!$BM:$BM,INT((ROWS($A$10:$A305)+1)/2)+1)))</f>
        <v/>
      </c>
      <c r="H305" s="78"/>
      <c r="I305" s="73"/>
      <c r="J305" s="90"/>
    </row>
    <row r="306" spans="1:10" s="71" customFormat="1" ht="30" customHeight="1" x14ac:dyDescent="0.15">
      <c r="A306" s="74" t="str">
        <f>IF(AND(INDEX(Sheet1!$AM:$AM,INT((ROWS($A$10:$A306)+1)/2)+1)="",INDEX(Sheet1!$BA:$BA,INT((ROWS($A$10:$A306)+1)/2)+1)&lt;&gt;""),"",INDEX(Sheet1!$AC:$AC,INT((ROWS($A$10:$A306)+1)/2)+1)&amp;"")</f>
        <v/>
      </c>
      <c r="B306" s="74" t="str">
        <f>IF(AND(INDEX(Sheet1!$AM:$AM,INT((ROWS($A$10:$A306)+1)/2)+1)="",INDEX(Sheet1!$BA:$BA,INT((ROWS($A$10:$A306)+1)/2)+1)&lt;&gt;""),"",INDEX(Sheet1!$B:$B,INT((ROWS($A$10:$A306)+1)/2)+1)&amp;"")</f>
        <v/>
      </c>
      <c r="C306" s="74" t="str">
        <f>IF(AND(INDEX(Sheet1!$AM:$AM,INT((ROWS($A$10:$A306)+1)/2)+1)="",INDEX(Sheet1!$BA:$BA,INT((ROWS($A$10:$A306)+1)/2)+1)&lt;&gt;""),"",INDEX(Sheet1!$CN:$CN,INT((ROWS($A$10:$A306)+1)/2)+1)&amp;"")</f>
        <v/>
      </c>
      <c r="D306" s="76" t="str">
        <f>IF(OR(AND(INDEX(Sheet1!$AM:$AM,INT((ROWS($A$10:$A306)+1)/2)+1)="",INDEX(Sheet1!$BA:$BA,INT((ROWS($A$10:$A306)+1)/2)+1)&lt;&gt;""),INDEX(Sheet1!$N:$N,INT((ROWS($A$10:$A306)+1)/2)+1)=""),"",INDEX(Sheet1!$N:$N,INT((ROWS($A$10:$A306)+1)/2)+1))</f>
        <v/>
      </c>
      <c r="E306" s="74" t="str">
        <f>IF(INDEX(Sheet1!$AM:$AM,INT((ROWS($A$10:$A306)+1)/2)+1)&lt;&gt;"","第一種","")</f>
        <v/>
      </c>
      <c r="F306" s="77" t="str">
        <f>IF(E306="","",INDEX(Sheet1!$AO:$AO,INT((ROWS($A$10:$A306)+1)/2)+1)&amp;"")</f>
        <v/>
      </c>
      <c r="G306" s="76" t="str">
        <f>IF(OR(E306="",INDEX(Sheet1!$AY:$AY,INT((ROWS($A$10:$A306)+1)/2)+1)=""),"",INDEX(Sheet1!$AY:$AY,INT((ROWS($A$10:$A306)+1)/2)+1))</f>
        <v/>
      </c>
      <c r="H306" s="74" t="str">
        <f>IF(INDEX(Sheet1!$AD:$AD,INT((ROWS($A$10:$A306)+1)/2)+1)="","",INDEX(Sheet1!$AD:$AD,INT((ROWS($A$10:$A306)+1)/2)+1))</f>
        <v/>
      </c>
      <c r="I306" s="76" t="str">
        <f>IF(INDEX(Sheet1!$AK:$AK,INT((ROWS($A$10:$A306)+1)/2)+1)="","",INDEX(Sheet1!$AK:$AK,INT((ROWS($A$10:$A306)+1)/2)+1))</f>
        <v/>
      </c>
      <c r="J306" s="90"/>
    </row>
    <row r="307" spans="1:10" ht="30" customHeight="1" x14ac:dyDescent="0.15">
      <c r="A307" s="74" t="str">
        <f>IF(E307="","",IF(E306="",INDEX(Sheet1!$AC:$AC,INT((ROWS($A$10:$A307)+1)/2)+1)&amp;"","〃"))</f>
        <v/>
      </c>
      <c r="B307" s="74" t="str">
        <f>IF(E307="","",IF(E306="",INDEX(Sheet1!$B:$B,INT((ROWS($A$10:$A307)+1)/2)+1)&amp;"","〃"))</f>
        <v/>
      </c>
      <c r="C307" s="74" t="str">
        <f>IF(E307="","",IF(E306="",INDEX(Sheet1!$CN:$CN,INT((ROWS($A$10:$A307)+1)/2)+1)&amp;"","〃"))</f>
        <v/>
      </c>
      <c r="D307" s="76" t="str">
        <f>IF(E307="","",IF(E306="",IF(INDEX(Sheet1!$N:$N,INT((ROWS($A$10:$A307)+1)/2)+1)="","",INDEX(Sheet1!$N:$N,INT((ROWS($A$10:$A307)+1)/2)+1)),"〃"))</f>
        <v/>
      </c>
      <c r="E307" s="74" t="str">
        <f>IF(INDEX(Sheet1!$BA:$BA,INT((ROWS($A$10:$A307)+1)/2)+1)&lt;&gt;"","わな猟","")</f>
        <v/>
      </c>
      <c r="F307" s="77" t="str">
        <f>IF(E307="","",INDEX(Sheet1!$BC:$BC,INT((ROWS($A$10:$A307)+1)/2)+1)&amp;"")</f>
        <v/>
      </c>
      <c r="G307" s="76" t="str">
        <f>IF(E307="","",IF(INDEX(Sheet1!$BM:$BM,INT((ROWS($A$10:$A307)+1)/2)+1)="","",INDEX(Sheet1!$BM:$BM,INT((ROWS($A$10:$A307)+1)/2)+1)))</f>
        <v/>
      </c>
      <c r="H307" s="78"/>
      <c r="I307" s="73"/>
      <c r="J307" s="90"/>
    </row>
    <row r="308" spans="1:10" s="71" customFormat="1" ht="30" customHeight="1" x14ac:dyDescent="0.15">
      <c r="A308" s="74" t="str">
        <f>IF(AND(INDEX(Sheet1!$AM:$AM,INT((ROWS($A$10:$A308)+1)/2)+1)="",INDEX(Sheet1!$BA:$BA,INT((ROWS($A$10:$A308)+1)/2)+1)&lt;&gt;""),"",INDEX(Sheet1!$AC:$AC,INT((ROWS($A$10:$A308)+1)/2)+1)&amp;"")</f>
        <v/>
      </c>
      <c r="B308" s="74" t="str">
        <f>IF(AND(INDEX(Sheet1!$AM:$AM,INT((ROWS($A$10:$A308)+1)/2)+1)="",INDEX(Sheet1!$BA:$BA,INT((ROWS($A$10:$A308)+1)/2)+1)&lt;&gt;""),"",INDEX(Sheet1!$B:$B,INT((ROWS($A$10:$A308)+1)/2)+1)&amp;"")</f>
        <v/>
      </c>
      <c r="C308" s="74" t="str">
        <f>IF(AND(INDEX(Sheet1!$AM:$AM,INT((ROWS($A$10:$A308)+1)/2)+1)="",INDEX(Sheet1!$BA:$BA,INT((ROWS($A$10:$A308)+1)/2)+1)&lt;&gt;""),"",INDEX(Sheet1!$CN:$CN,INT((ROWS($A$10:$A308)+1)/2)+1)&amp;"")</f>
        <v/>
      </c>
      <c r="D308" s="76" t="str">
        <f>IF(OR(AND(INDEX(Sheet1!$AM:$AM,INT((ROWS($A$10:$A308)+1)/2)+1)="",INDEX(Sheet1!$BA:$BA,INT((ROWS($A$10:$A308)+1)/2)+1)&lt;&gt;""),INDEX(Sheet1!$N:$N,INT((ROWS($A$10:$A308)+1)/2)+1)=""),"",INDEX(Sheet1!$N:$N,INT((ROWS($A$10:$A308)+1)/2)+1))</f>
        <v/>
      </c>
      <c r="E308" s="74" t="str">
        <f>IF(INDEX(Sheet1!$AM:$AM,INT((ROWS($A$10:$A308)+1)/2)+1)&lt;&gt;"","第一種","")</f>
        <v/>
      </c>
      <c r="F308" s="77" t="str">
        <f>IF(E308="","",INDEX(Sheet1!$AO:$AO,INT((ROWS($A$10:$A308)+1)/2)+1)&amp;"")</f>
        <v/>
      </c>
      <c r="G308" s="76" t="str">
        <f>IF(OR(E308="",INDEX(Sheet1!$AY:$AY,INT((ROWS($A$10:$A308)+1)/2)+1)=""),"",INDEX(Sheet1!$AY:$AY,INT((ROWS($A$10:$A308)+1)/2)+1))</f>
        <v/>
      </c>
      <c r="H308" s="74" t="str">
        <f>IF(INDEX(Sheet1!$AD:$AD,INT((ROWS($A$10:$A308)+1)/2)+1)="","",INDEX(Sheet1!$AD:$AD,INT((ROWS($A$10:$A308)+1)/2)+1))</f>
        <v/>
      </c>
      <c r="I308" s="76" t="str">
        <f>IF(INDEX(Sheet1!$AK:$AK,INT((ROWS($A$10:$A308)+1)/2)+1)="","",INDEX(Sheet1!$AK:$AK,INT((ROWS($A$10:$A308)+1)/2)+1))</f>
        <v/>
      </c>
      <c r="J308" s="90"/>
    </row>
    <row r="309" spans="1:10" ht="30" customHeight="1" x14ac:dyDescent="0.15">
      <c r="A309" s="74" t="str">
        <f>IF(E309="","",IF(E308="",INDEX(Sheet1!$AC:$AC,INT((ROWS($A$10:$A309)+1)/2)+1)&amp;"","〃"))</f>
        <v/>
      </c>
      <c r="B309" s="74" t="str">
        <f>IF(E309="","",IF(E308="",INDEX(Sheet1!$B:$B,INT((ROWS($A$10:$A309)+1)/2)+1)&amp;"","〃"))</f>
        <v/>
      </c>
      <c r="C309" s="74" t="str">
        <f>IF(E309="","",IF(E308="",INDEX(Sheet1!$CN:$CN,INT((ROWS($A$10:$A309)+1)/2)+1)&amp;"","〃"))</f>
        <v/>
      </c>
      <c r="D309" s="76" t="str">
        <f>IF(E309="","",IF(E308="",IF(INDEX(Sheet1!$N:$N,INT((ROWS($A$10:$A309)+1)/2)+1)="","",INDEX(Sheet1!$N:$N,INT((ROWS($A$10:$A309)+1)/2)+1)),"〃"))</f>
        <v/>
      </c>
      <c r="E309" s="74" t="str">
        <f>IF(INDEX(Sheet1!$BA:$BA,INT((ROWS($A$10:$A309)+1)/2)+1)&lt;&gt;"","わな猟","")</f>
        <v/>
      </c>
      <c r="F309" s="77" t="str">
        <f>IF(E309="","",INDEX(Sheet1!$BC:$BC,INT((ROWS($A$10:$A309)+1)/2)+1)&amp;"")</f>
        <v/>
      </c>
      <c r="G309" s="76" t="str">
        <f>IF(E309="","",IF(INDEX(Sheet1!$BM:$BM,INT((ROWS($A$10:$A309)+1)/2)+1)="","",INDEX(Sheet1!$BM:$BM,INT((ROWS($A$10:$A309)+1)/2)+1)))</f>
        <v/>
      </c>
      <c r="H309" s="78"/>
      <c r="I309" s="73"/>
      <c r="J309" s="90"/>
    </row>
    <row r="310" spans="1:10" ht="30" customHeight="1" x14ac:dyDescent="0.15">
      <c r="A310" s="79"/>
    </row>
    <row r="311" spans="1:10" ht="30" customHeight="1" x14ac:dyDescent="0.15">
      <c r="A311" s="79"/>
    </row>
    <row r="312" spans="1:10" ht="30" customHeight="1" x14ac:dyDescent="0.15">
      <c r="A312" s="79"/>
    </row>
    <row r="313" spans="1:10" x14ac:dyDescent="0.15">
      <c r="A313" s="79"/>
    </row>
    <row r="314" spans="1:10" x14ac:dyDescent="0.15">
      <c r="A314" s="79"/>
    </row>
    <row r="315" spans="1:10" x14ac:dyDescent="0.15">
      <c r="A315" s="79"/>
    </row>
    <row r="316" spans="1:10" x14ac:dyDescent="0.15">
      <c r="A316" s="79"/>
    </row>
    <row r="317" spans="1:10" x14ac:dyDescent="0.15">
      <c r="A317" s="79"/>
    </row>
    <row r="318" spans="1:10" x14ac:dyDescent="0.15">
      <c r="A318" s="79"/>
    </row>
    <row r="319" spans="1:10" x14ac:dyDescent="0.15">
      <c r="A319" s="79"/>
    </row>
    <row r="320" spans="1:10" x14ac:dyDescent="0.15">
      <c r="A320" s="79"/>
    </row>
    <row r="321" spans="1:1" x14ac:dyDescent="0.15">
      <c r="A321" s="79"/>
    </row>
    <row r="322" spans="1:1" x14ac:dyDescent="0.15">
      <c r="A322" s="79"/>
    </row>
    <row r="323" spans="1:1" x14ac:dyDescent="0.15">
      <c r="A323" s="79"/>
    </row>
    <row r="324" spans="1:1" x14ac:dyDescent="0.15">
      <c r="A324" s="79"/>
    </row>
    <row r="325" spans="1:1" x14ac:dyDescent="0.15">
      <c r="A325" s="79"/>
    </row>
    <row r="326" spans="1:1" x14ac:dyDescent="0.15">
      <c r="A326" s="79"/>
    </row>
    <row r="327" spans="1:1" x14ac:dyDescent="0.15">
      <c r="A327" s="79"/>
    </row>
    <row r="328" spans="1:1" x14ac:dyDescent="0.15">
      <c r="A328" s="79"/>
    </row>
    <row r="329" spans="1:1" x14ac:dyDescent="0.15">
      <c r="A329" s="79"/>
    </row>
    <row r="330" spans="1:1" x14ac:dyDescent="0.15">
      <c r="A330" s="79"/>
    </row>
    <row r="331" spans="1:1" x14ac:dyDescent="0.15">
      <c r="A331" s="79"/>
    </row>
    <row r="332" spans="1:1" x14ac:dyDescent="0.15">
      <c r="A332" s="79"/>
    </row>
    <row r="333" spans="1:1" x14ac:dyDescent="0.15">
      <c r="A333" s="79"/>
    </row>
    <row r="334" spans="1:1" x14ac:dyDescent="0.15">
      <c r="A334" s="79"/>
    </row>
    <row r="335" spans="1:1" x14ac:dyDescent="0.15">
      <c r="A335" s="79"/>
    </row>
    <row r="336" spans="1:1" x14ac:dyDescent="0.15">
      <c r="A336" s="79"/>
    </row>
    <row r="337" spans="1:1" x14ac:dyDescent="0.15">
      <c r="A337" s="79"/>
    </row>
    <row r="338" spans="1:1" x14ac:dyDescent="0.15">
      <c r="A338" s="79"/>
    </row>
    <row r="339" spans="1:1" x14ac:dyDescent="0.15">
      <c r="A339" s="79"/>
    </row>
    <row r="340" spans="1:1" x14ac:dyDescent="0.15">
      <c r="A340" s="79"/>
    </row>
    <row r="341" spans="1:1" x14ac:dyDescent="0.15">
      <c r="A341" s="79"/>
    </row>
    <row r="342" spans="1:1" x14ac:dyDescent="0.15">
      <c r="A342" s="79"/>
    </row>
    <row r="343" spans="1:1" x14ac:dyDescent="0.15">
      <c r="A343" s="79"/>
    </row>
    <row r="344" spans="1:1" x14ac:dyDescent="0.15">
      <c r="A344" s="79"/>
    </row>
    <row r="345" spans="1:1" x14ac:dyDescent="0.15">
      <c r="A345" s="79"/>
    </row>
    <row r="346" spans="1:1" x14ac:dyDescent="0.15">
      <c r="A346" s="79"/>
    </row>
    <row r="347" spans="1:1" x14ac:dyDescent="0.15">
      <c r="A347" s="79"/>
    </row>
    <row r="348" spans="1:1" x14ac:dyDescent="0.15">
      <c r="A348" s="79"/>
    </row>
    <row r="349" spans="1:1" x14ac:dyDescent="0.15">
      <c r="A349" s="79"/>
    </row>
    <row r="350" spans="1:1" x14ac:dyDescent="0.15">
      <c r="A350" s="79"/>
    </row>
    <row r="351" spans="1:1" x14ac:dyDescent="0.15">
      <c r="A351" s="79"/>
    </row>
    <row r="352" spans="1:1" x14ac:dyDescent="0.15">
      <c r="A352" s="79"/>
    </row>
    <row r="353" spans="1:1" x14ac:dyDescent="0.15">
      <c r="A353" s="79"/>
    </row>
    <row r="354" spans="1:1" x14ac:dyDescent="0.15">
      <c r="A354" s="79"/>
    </row>
    <row r="355" spans="1:1" x14ac:dyDescent="0.15">
      <c r="A355" s="79"/>
    </row>
    <row r="356" spans="1:1" x14ac:dyDescent="0.15">
      <c r="A356" s="79"/>
    </row>
    <row r="357" spans="1:1" x14ac:dyDescent="0.15">
      <c r="A357" s="79"/>
    </row>
    <row r="358" spans="1:1" x14ac:dyDescent="0.15">
      <c r="A358" s="79"/>
    </row>
    <row r="359" spans="1:1" x14ac:dyDescent="0.15">
      <c r="A359" s="79"/>
    </row>
    <row r="360" spans="1:1" x14ac:dyDescent="0.15">
      <c r="A360" s="79"/>
    </row>
    <row r="361" spans="1:1" x14ac:dyDescent="0.15">
      <c r="A361" s="79"/>
    </row>
    <row r="362" spans="1:1" x14ac:dyDescent="0.15">
      <c r="A362" s="79"/>
    </row>
    <row r="363" spans="1:1" x14ac:dyDescent="0.15">
      <c r="A363" s="79"/>
    </row>
    <row r="364" spans="1:1" x14ac:dyDescent="0.15">
      <c r="A364" s="79"/>
    </row>
    <row r="365" spans="1:1" x14ac:dyDescent="0.15">
      <c r="A365" s="79"/>
    </row>
    <row r="366" spans="1:1" x14ac:dyDescent="0.15">
      <c r="A366" s="79"/>
    </row>
    <row r="367" spans="1:1" x14ac:dyDescent="0.15">
      <c r="A367" s="79"/>
    </row>
    <row r="368" spans="1:1" x14ac:dyDescent="0.15">
      <c r="A368" s="79"/>
    </row>
    <row r="369" spans="1:1" x14ac:dyDescent="0.15">
      <c r="A369" s="79"/>
    </row>
    <row r="370" spans="1:1" x14ac:dyDescent="0.15">
      <c r="A370" s="79"/>
    </row>
    <row r="371" spans="1:1" x14ac:dyDescent="0.15">
      <c r="A371" s="79"/>
    </row>
    <row r="372" spans="1:1" x14ac:dyDescent="0.15">
      <c r="A372" s="79"/>
    </row>
    <row r="373" spans="1:1" x14ac:dyDescent="0.15">
      <c r="A373" s="79"/>
    </row>
    <row r="374" spans="1:1" x14ac:dyDescent="0.15">
      <c r="A374" s="79"/>
    </row>
    <row r="375" spans="1:1" x14ac:dyDescent="0.15">
      <c r="A375" s="79"/>
    </row>
    <row r="376" spans="1:1" x14ac:dyDescent="0.15">
      <c r="A376" s="79"/>
    </row>
    <row r="377" spans="1:1" x14ac:dyDescent="0.15">
      <c r="A377" s="79"/>
    </row>
    <row r="378" spans="1:1" x14ac:dyDescent="0.15">
      <c r="A378" s="79"/>
    </row>
    <row r="379" spans="1:1" x14ac:dyDescent="0.15">
      <c r="A379" s="79"/>
    </row>
    <row r="380" spans="1:1" x14ac:dyDescent="0.15">
      <c r="A380" s="79"/>
    </row>
    <row r="381" spans="1:1" x14ac:dyDescent="0.15">
      <c r="A381" s="79"/>
    </row>
    <row r="382" spans="1:1" x14ac:dyDescent="0.15">
      <c r="A382" s="79"/>
    </row>
    <row r="383" spans="1:1" x14ac:dyDescent="0.15">
      <c r="A383" s="79"/>
    </row>
    <row r="384" spans="1:1" x14ac:dyDescent="0.15">
      <c r="A384" s="79"/>
    </row>
    <row r="385" spans="1:1" x14ac:dyDescent="0.15">
      <c r="A385" s="79"/>
    </row>
    <row r="386" spans="1:1" x14ac:dyDescent="0.15">
      <c r="A386" s="79"/>
    </row>
    <row r="387" spans="1:1" x14ac:dyDescent="0.15">
      <c r="A387" s="79"/>
    </row>
    <row r="388" spans="1:1" x14ac:dyDescent="0.15">
      <c r="A388" s="79"/>
    </row>
    <row r="389" spans="1:1" x14ac:dyDescent="0.15">
      <c r="A389" s="79"/>
    </row>
    <row r="390" spans="1:1" x14ac:dyDescent="0.15">
      <c r="A390" s="79"/>
    </row>
    <row r="391" spans="1:1" x14ac:dyDescent="0.15">
      <c r="A391" s="79"/>
    </row>
    <row r="392" spans="1:1" x14ac:dyDescent="0.15">
      <c r="A392" s="79"/>
    </row>
    <row r="393" spans="1:1" x14ac:dyDescent="0.15">
      <c r="A393" s="79"/>
    </row>
    <row r="394" spans="1:1" x14ac:dyDescent="0.15">
      <c r="A394" s="79"/>
    </row>
    <row r="395" spans="1:1" x14ac:dyDescent="0.15">
      <c r="A395" s="79"/>
    </row>
    <row r="396" spans="1:1" x14ac:dyDescent="0.15">
      <c r="A396" s="79"/>
    </row>
    <row r="397" spans="1:1" x14ac:dyDescent="0.15">
      <c r="A397" s="79"/>
    </row>
    <row r="398" spans="1:1" x14ac:dyDescent="0.15">
      <c r="A398" s="79"/>
    </row>
    <row r="399" spans="1:1" x14ac:dyDescent="0.15">
      <c r="A399" s="79"/>
    </row>
    <row r="400" spans="1:1" x14ac:dyDescent="0.15">
      <c r="A400" s="79"/>
    </row>
    <row r="401" spans="1:1" x14ac:dyDescent="0.15">
      <c r="A401" s="79"/>
    </row>
    <row r="402" spans="1:1" x14ac:dyDescent="0.15">
      <c r="A402" s="79"/>
    </row>
    <row r="403" spans="1:1" x14ac:dyDescent="0.15">
      <c r="A403" s="79"/>
    </row>
  </sheetData>
  <sheetProtection sheet="1" objects="1" formatColumns="0" formatRows="0"/>
  <mergeCells count="14">
    <mergeCell ref="J6:J9"/>
    <mergeCell ref="C6:C9"/>
    <mergeCell ref="E6:G6"/>
    <mergeCell ref="B3:G5"/>
    <mergeCell ref="G7:G9"/>
    <mergeCell ref="H6:I6"/>
    <mergeCell ref="E7:E9"/>
    <mergeCell ref="I7:I9"/>
    <mergeCell ref="A4:A5"/>
    <mergeCell ref="H7:H9"/>
    <mergeCell ref="F7:F9"/>
    <mergeCell ref="A6:A9"/>
    <mergeCell ref="D6:D9"/>
    <mergeCell ref="B6:B9"/>
  </mergeCells>
  <phoneticPr fontId="5"/>
  <printOptions horizontalCentered="1"/>
  <pageMargins left="0" right="0" top="0.78740157480314965" bottom="0.94488188976377963" header="0" footer="0.39370078740157483"/>
  <pageSetup paperSize="9" fitToHeight="0" orientation="landscape" r:id="rId1"/>
  <headerFooter alignWithMargins="0">
    <oddFooter>&amp;R&amp;"ＭＳ Ｐ明朝,標準"No.&amp;P&amp;L&amp;"ＭＳ Ｐ明朝,標準"　注 １　○○県以外の都道府県においてのみ狩猟免許を受けた者は、備考欄にその都道府県名を記載してください。
　　　２　用紙の大きさは、日本工業規格Ａ列４番とします。
　　　３　銃器所持許可証及び狩猟免状(登録証)の写しを添付してください。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Sheet1</vt:lpstr>
      <vt:lpstr>会員名簿</vt:lpstr>
      <vt:lpstr>会費および登録費用等</vt:lpstr>
      <vt:lpstr>狩猟登録会計</vt:lpstr>
      <vt:lpstr>各種設定金額</vt:lpstr>
      <vt:lpstr>有害安全講習参加名簿</vt:lpstr>
      <vt:lpstr>有害従事者名簿</vt:lpstr>
      <vt:lpstr>会費および登録費用等!Print_Area</vt:lpstr>
      <vt:lpstr>狩猟登録会計!Print_Area</vt:lpstr>
      <vt:lpstr>有害従事者名簿!Print_Area</vt:lpstr>
      <vt:lpstr>有害安全講習参加名簿!Print_Titles</vt:lpstr>
      <vt:lpstr>有害従事者名簿!Print_Titles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2026-09-30T14:20:07Z</cp:lastPrinted>
  <dcterms:created xsi:type="dcterms:W3CDTF">2026-09-26T09:22:40Z</dcterms:created>
  <dcterms:modified xsi:type="dcterms:W3CDTF">2026-10-24T01:59:16Z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1041-10.8.2.6709</vt:lpwstr>
  </property>
</Properties>
</file>